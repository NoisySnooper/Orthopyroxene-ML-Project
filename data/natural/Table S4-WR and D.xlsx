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le S4a Reconstructed WR" sheetId="1" r:id="rId1"/>
    <sheet name="Table S4b Inter-mineral 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3" i="1" l="1"/>
  <c r="AK5" i="1"/>
  <c r="AK6" i="1"/>
  <c r="AK7" i="1"/>
  <c r="AK8" i="1"/>
  <c r="AK9" i="1"/>
  <c r="AK10" i="1"/>
  <c r="AK11" i="1"/>
  <c r="AK4" i="1"/>
</calcChain>
</file>

<file path=xl/sharedStrings.xml><?xml version="1.0" encoding="utf-8"?>
<sst xmlns="http://schemas.openxmlformats.org/spreadsheetml/2006/main" count="147" uniqueCount="116">
  <si>
    <t>Sample</t>
  </si>
  <si>
    <t>Li</t>
  </si>
  <si>
    <t>Sc</t>
  </si>
  <si>
    <t>Ti</t>
  </si>
  <si>
    <t>V</t>
  </si>
  <si>
    <t>Cr</t>
  </si>
  <si>
    <t>Co</t>
  </si>
  <si>
    <t>Ni</t>
  </si>
  <si>
    <t>Cu</t>
  </si>
  <si>
    <t>Zn</t>
  </si>
  <si>
    <t>Ga</t>
  </si>
  <si>
    <t>Rb</t>
  </si>
  <si>
    <t>Sr</t>
  </si>
  <si>
    <t>Y</t>
  </si>
  <si>
    <t>17DSH02</t>
  </si>
  <si>
    <t>17DSH04</t>
  </si>
  <si>
    <t>17DSH06</t>
  </si>
  <si>
    <t>17DSH09</t>
  </si>
  <si>
    <t>17DSH10</t>
  </si>
  <si>
    <t>b.d.l.</t>
  </si>
  <si>
    <t>17DSH13</t>
  </si>
  <si>
    <t>17DSH14</t>
  </si>
  <si>
    <t>17DSH15</t>
  </si>
  <si>
    <t>17DSH20</t>
  </si>
  <si>
    <t>Zr</t>
  </si>
  <si>
    <t>Nb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</si>
  <si>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</si>
  <si>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</si>
  <si>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</si>
  <si>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</si>
  <si>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</si>
  <si>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</si>
  <si>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</si>
  <si>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</si>
  <si>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</si>
  <si>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</si>
  <si>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</si>
  <si>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</si>
  <si>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</si>
  <si>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</si>
  <si>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</si>
  <si>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</si>
  <si>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</si>
  <si>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Pb</t>
  </si>
  <si>
    <t>Th</t>
  </si>
  <si>
    <t>U</t>
  </si>
  <si>
    <t>References</t>
    <phoneticPr fontId="2" type="noConversion"/>
  </si>
  <si>
    <t>b.d.l. below detection limit.</t>
    <phoneticPr fontId="2" type="noConversion"/>
  </si>
  <si>
    <t>Lherzolite</t>
    <phoneticPr fontId="2" type="noConversion"/>
  </si>
  <si>
    <t>Harzburgite</t>
    <phoneticPr fontId="2" type="noConversion"/>
  </si>
  <si>
    <t>Lherzolite</t>
    <phoneticPr fontId="2" type="noConversion"/>
  </si>
  <si>
    <t>Harzburgite</t>
    <phoneticPr fontId="2" type="noConversion"/>
  </si>
  <si>
    <t>17DSH17*</t>
    <phoneticPr fontId="2" type="noConversion"/>
  </si>
  <si>
    <t>17DSH18*</t>
    <phoneticPr fontId="2" type="noConversion"/>
  </si>
  <si>
    <t>17DSH19*</t>
    <phoneticPr fontId="2" type="noConversion"/>
  </si>
  <si>
    <t>References</t>
    <phoneticPr fontId="2" type="noConversion"/>
  </si>
  <si>
    <r>
      <rPr>
        <b/>
        <sz val="10"/>
        <color theme="1"/>
        <rFont val="Times New Roman"/>
        <family val="1"/>
      </rPr>
      <t>Table S4b</t>
    </r>
    <r>
      <rPr>
        <sz val="10"/>
        <color theme="1"/>
        <rFont val="Times New Roman"/>
        <family val="1"/>
      </rPr>
      <t xml:space="preserve"> Inter-mineral distribution coefficients (D) on a wt.ppm basis for trace elements in spinel peridotite xenoliths from Jiaohe</t>
    </r>
    <phoneticPr fontId="2" type="noConversion"/>
  </si>
  <si>
    <t>Samples marked with asterisk (*) have cloudy Cpx.</t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</si>
  <si>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Li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</si>
  <si>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Sc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</si>
  <si>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Ti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</si>
  <si>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V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</si>
  <si>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Cr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</si>
  <si>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Mn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</si>
  <si>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Co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</si>
  <si>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Ni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</si>
  <si>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Cu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</si>
  <si>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Zn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</si>
  <si>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Ga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</si>
  <si>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Sr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</si>
  <si>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Y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</si>
  <si>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Zr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</si>
  <si>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Nb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</si>
  <si>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Nd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</si>
  <si>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Sm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</si>
  <si>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Eu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</si>
  <si>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Gd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</si>
  <si>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Dy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</si>
  <si>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Ho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</si>
  <si>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Er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</si>
  <si>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Tm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</si>
  <si>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Yb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</si>
  <si>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Lu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</si>
  <si>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Hf</t>
    </r>
    <r>
      <rPr>
        <b/>
        <i/>
        <vertAlign val="superscript"/>
        <sz val="10"/>
        <color theme="1"/>
        <rFont val="Times New Roman"/>
        <family val="1"/>
      </rPr>
      <t>Opx/Ol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</si>
  <si>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Li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</si>
  <si>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Sc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</si>
  <si>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Ti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</si>
  <si>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V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</si>
  <si>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Cr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</si>
  <si>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Mn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</si>
  <si>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Co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</si>
  <si>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Ni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</si>
  <si>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Cu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</si>
  <si>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Zn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</si>
  <si>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Ga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</si>
  <si>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Sr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</si>
  <si>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Y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</si>
  <si>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Zr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</si>
  <si>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Nb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</si>
  <si>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Nd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</si>
  <si>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Sm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</si>
  <si>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Eu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</si>
  <si>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Gd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</si>
  <si>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Dy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</si>
  <si>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Ho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</si>
  <si>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Er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</si>
  <si>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Tm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</si>
  <si>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Yb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</si>
  <si>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Lu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</si>
  <si>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>D</t>
    </r>
    <r>
      <rPr>
        <b/>
        <i/>
        <vertAlign val="subscript"/>
        <sz val="10"/>
        <color theme="1"/>
        <rFont val="Times New Roman"/>
        <family val="1"/>
      </rPr>
      <t>Hf</t>
    </r>
    <r>
      <rPr>
        <b/>
        <i/>
        <vertAlign val="superscript"/>
        <sz val="10"/>
        <color theme="1"/>
        <rFont val="Times New Roman"/>
        <family val="1"/>
      </rPr>
      <t>Opx/Cpx</t>
    </r>
    <phoneticPr fontId="2" type="noConversion"/>
  </si>
  <si>
    <r>
      <t xml:space="preserve">Modal contents for all minerals and trace element abundances of Cpx used in calculation are from </t>
    </r>
    <r>
      <rPr>
        <sz val="10"/>
        <color rgb="FF0000FF"/>
        <rFont val="Times New Roman"/>
        <family val="1"/>
      </rPr>
      <t>Lin et al. (2023).</t>
    </r>
    <phoneticPr fontId="2" type="noConversion"/>
  </si>
  <si>
    <r>
      <t xml:space="preserve">Trace element abundances of Cpx used in calculation are from </t>
    </r>
    <r>
      <rPr>
        <sz val="10"/>
        <color rgb="FF0000FF"/>
        <rFont val="Times New Roman"/>
        <family val="1"/>
      </rPr>
      <t>Lin et al. (2023)</t>
    </r>
    <r>
      <rPr>
        <sz val="10"/>
        <color theme="1"/>
        <rFont val="Times New Roman"/>
        <family val="1"/>
      </rPr>
      <t>.</t>
    </r>
    <phoneticPr fontId="2" type="noConversion"/>
  </si>
  <si>
    <r>
      <t>Lin, A. B., Aulbach, S., Zheng, J. P., Cai, R., Liu, J., Xiong, Q., &amp; Pan, S. K. (2023). Lithospheric mantle provinces and crust-mantle decoupling beneath northeastern China: Insights from peridotite xenoliths. </t>
    </r>
    <r>
      <rPr>
        <i/>
        <sz val="10"/>
        <color theme="1"/>
        <rFont val="Times New Roman"/>
        <family val="1"/>
      </rPr>
      <t>Geological Society of America Bulletin</t>
    </r>
    <r>
      <rPr>
        <sz val="10"/>
        <color theme="1"/>
        <rFont val="Times New Roman"/>
        <family val="1"/>
      </rPr>
      <t>, 135(3–4), 990–1008.</t>
    </r>
    <phoneticPr fontId="2" type="noConversion"/>
  </si>
  <si>
    <r>
      <t>Lin, A. B., Aulbach, S., Zheng, J. P., Cai, R., Liu, J., Xiong, Q., &amp; Pan, S. K. (2023). Lithospheric mantle provinces and crust-mantle decoupling beneath northeastern China: Insights from peridotite xenoliths. </t>
    </r>
    <r>
      <rPr>
        <i/>
        <sz val="10"/>
        <color theme="1"/>
        <rFont val="Times New Roman"/>
        <family val="1"/>
      </rPr>
      <t>Geological Society of America Bulletin</t>
    </r>
    <r>
      <rPr>
        <sz val="10"/>
        <color theme="1"/>
        <rFont val="Times New Roman"/>
        <family val="1"/>
      </rPr>
      <t>, 135(3–4), 990–1008.</t>
    </r>
    <phoneticPr fontId="2" type="noConversion"/>
  </si>
  <si>
    <t>V/Sc</t>
    <phoneticPr fontId="2" type="noConversion"/>
  </si>
  <si>
    <r>
      <rPr>
        <b/>
        <sz val="10"/>
        <color theme="1"/>
        <rFont val="Times New Roman"/>
        <family val="1"/>
      </rPr>
      <t>Table S4a</t>
    </r>
    <r>
      <rPr>
        <sz val="10"/>
        <color theme="1"/>
        <rFont val="Times New Roman"/>
        <family val="1"/>
      </rPr>
      <t xml:space="preserve"> Reconstructed whole-rock trace element compositions (µg/g) using modal contents and trace element abundances of all rock-forming silicate minerals for spinel peridotite xenoliths from Jiaohe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</si>
</sst>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0_ "/>
    <numFmt numFmtId="177" formatCode="0.0000_ "/>
    <numFmt numFmtId="178" formatCode="0.000_ "/>
    <numFmt numFmtId="179" formatCode="0.0_ "/>
    <numFmt numFmtId="180" formatCode="0.0000_);[Red]\(0.0000\)"/>
    <numFmt numFmtId="181" formatCode="0_);[Red]\(0\)"/>
  </numFmts>
  <fonts count="9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/>
      <name val="Times New Roman"/>
      <family val="1"/>
    </font>
    <font>
      <sz val="10"/>
      <color rgb="FF0000FF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i/>
      <vertAlign val="subscript"/>
      <sz val="10"/>
      <color theme="1"/>
      <name val="Times New Roman"/>
      <family val="1"/>
    </font>
    <font>
      <b/>
      <i/>
      <vertAlign val="superscript"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Alignment="1">
      <alignment horizontal="right"/>
    </xf>
    <xf numFmtId="176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right"/>
    </xf>
    <xf numFmtId="176" fontId="1" fillId="0" borderId="2" xfId="0" applyNumberFormat="1" applyFont="1" applyBorder="1" applyAlignment="1">
      <alignment horizontal="right"/>
    </xf>
    <xf numFmtId="177" fontId="1" fillId="0" borderId="0" xfId="0" applyNumberFormat="1" applyFont="1" applyAlignment="1">
      <alignment horizontal="right"/>
    </xf>
    <xf numFmtId="177" fontId="1" fillId="0" borderId="2" xfId="0" applyNumberFormat="1" applyFont="1" applyBorder="1" applyAlignment="1">
      <alignment horizontal="right"/>
    </xf>
    <xf numFmtId="178" fontId="1" fillId="0" borderId="0" xfId="0" applyNumberFormat="1" applyFont="1" applyAlignment="1">
      <alignment horizontal="right"/>
    </xf>
    <xf numFmtId="178" fontId="1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Border="1"/>
    <xf numFmtId="176" fontId="1" fillId="0" borderId="0" xfId="0" applyNumberFormat="1" applyFont="1"/>
    <xf numFmtId="176" fontId="1" fillId="0" borderId="0" xfId="0" applyNumberFormat="1" applyFont="1" applyBorder="1"/>
    <xf numFmtId="179" fontId="1" fillId="0" borderId="0" xfId="0" applyNumberFormat="1" applyFont="1"/>
    <xf numFmtId="176" fontId="1" fillId="0" borderId="2" xfId="0" applyNumberFormat="1" applyFont="1" applyBorder="1"/>
    <xf numFmtId="179" fontId="1" fillId="0" borderId="2" xfId="0" applyNumberFormat="1" applyFont="1" applyBorder="1"/>
    <xf numFmtId="180" fontId="1" fillId="0" borderId="0" xfId="0" applyNumberFormat="1" applyFont="1"/>
    <xf numFmtId="178" fontId="1" fillId="0" borderId="0" xfId="0" applyNumberFormat="1" applyFont="1"/>
    <xf numFmtId="180" fontId="1" fillId="0" borderId="2" xfId="0" applyNumberFormat="1" applyFont="1" applyBorder="1"/>
    <xf numFmtId="178" fontId="1" fillId="0" borderId="2" xfId="0" applyNumberFormat="1" applyFont="1" applyBorder="1"/>
    <xf numFmtId="0" fontId="3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81" fontId="1" fillId="0" borderId="0" xfId="0" applyNumberFormat="1" applyFont="1" applyAlignment="1">
      <alignment horizontal="left" vertical="center"/>
    </xf>
    <xf numFmtId="0" fontId="1" fillId="0" borderId="0" xfId="0" applyFont="1"/>
    <xf numFmtId="0" fontId="3" fillId="0" borderId="1" xfId="0" applyFont="1" applyBorder="1"/>
    <xf numFmtId="176" fontId="6" fillId="0" borderId="1" xfId="0" applyNumberFormat="1" applyFont="1" applyBorder="1"/>
    <xf numFmtId="179" fontId="1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8"/>
  <sheetViews>
    <sheetView tabSelected="1" workbookViewId="0"/>
  </sheetViews>
  <sheetFormatPr defaultRowHeight="12.75" x14ac:dyDescent="0.2"/>
  <cols>
    <col min="1" max="1" width="9" style="1"/>
    <col min="2" max="36" width="5.875" style="1" customWidth="1"/>
    <col min="37" max="37" width="4.625" style="17" customWidth="1"/>
    <col min="38" max="16384" width="9" style="1"/>
  </cols>
  <sheetData>
    <row r="1" spans="1:37" x14ac:dyDescent="0.2">
      <c r="A1" s="1" t="s">
        <v>115</v>
      </c>
    </row>
    <row r="2" spans="1:37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36</v>
      </c>
      <c r="AB2" s="2" t="s">
        <v>37</v>
      </c>
      <c r="AC2" s="2" t="s">
        <v>38</v>
      </c>
      <c r="AD2" s="2" t="s">
        <v>39</v>
      </c>
      <c r="AE2" s="2" t="s">
        <v>40</v>
      </c>
      <c r="AF2" s="2" t="s">
        <v>41</v>
      </c>
      <c r="AG2" s="2" t="s">
        <v>42</v>
      </c>
      <c r="AH2" s="2" t="s">
        <v>43</v>
      </c>
      <c r="AI2" s="2" t="s">
        <v>44</v>
      </c>
      <c r="AJ2" s="2" t="s">
        <v>45</v>
      </c>
      <c r="AK2" s="30" t="s">
        <v>114</v>
      </c>
    </row>
    <row r="3" spans="1:37" x14ac:dyDescent="0.2">
      <c r="A3" s="14" t="s">
        <v>48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1:37" x14ac:dyDescent="0.2">
      <c r="A4" s="1" t="s">
        <v>14</v>
      </c>
      <c r="B4" s="4">
        <v>2.17</v>
      </c>
      <c r="C4" s="4">
        <v>15</v>
      </c>
      <c r="D4" s="4">
        <v>870</v>
      </c>
      <c r="E4" s="4">
        <v>69</v>
      </c>
      <c r="F4" s="4">
        <v>1166</v>
      </c>
      <c r="G4" s="4">
        <v>106</v>
      </c>
      <c r="H4" s="4">
        <v>1987</v>
      </c>
      <c r="I4" s="5">
        <v>0.86</v>
      </c>
      <c r="J4" s="4">
        <v>39</v>
      </c>
      <c r="K4" s="5">
        <v>1.44</v>
      </c>
      <c r="L4" s="4">
        <v>0.01</v>
      </c>
      <c r="M4" s="5">
        <v>12.03</v>
      </c>
      <c r="N4" s="4">
        <v>3.18</v>
      </c>
      <c r="O4" s="5">
        <v>5.59</v>
      </c>
      <c r="P4" s="4">
        <v>8.0000000000000002E-3</v>
      </c>
      <c r="Q4" s="4">
        <v>8.0000000000000002E-3</v>
      </c>
      <c r="R4" s="4">
        <v>0.13200000000000001</v>
      </c>
      <c r="S4" s="4">
        <v>0.58599999999999997</v>
      </c>
      <c r="T4" s="4">
        <v>0.114</v>
      </c>
      <c r="U4" s="4">
        <v>0.73299999999999998</v>
      </c>
      <c r="V4" s="10">
        <v>0.3</v>
      </c>
      <c r="W4" s="10">
        <v>0.12</v>
      </c>
      <c r="X4" s="10">
        <v>0.41199999999999998</v>
      </c>
      <c r="Y4" s="8">
        <v>7.3599999999999999E-2</v>
      </c>
      <c r="Z4" s="8">
        <v>0.57289999999999996</v>
      </c>
      <c r="AA4" s="8">
        <v>0.1239</v>
      </c>
      <c r="AB4" s="8">
        <v>0.38059999999999999</v>
      </c>
      <c r="AC4" s="8">
        <v>5.4800000000000001E-2</v>
      </c>
      <c r="AD4" s="8">
        <v>0.39729999999999999</v>
      </c>
      <c r="AE4" s="8">
        <v>6.0100000000000001E-2</v>
      </c>
      <c r="AF4" s="8">
        <v>0.17960000000000001</v>
      </c>
      <c r="AG4" s="8">
        <v>8.0000000000000004E-4</v>
      </c>
      <c r="AH4" s="8">
        <v>1.55E-2</v>
      </c>
      <c r="AI4" s="8">
        <v>5.9999999999999995E-4</v>
      </c>
      <c r="AJ4" s="8">
        <v>5.0000000000000001E-4</v>
      </c>
      <c r="AK4" s="17">
        <f>E4/C4</f>
        <v>4.5999999999999996</v>
      </c>
    </row>
    <row r="5" spans="1:37" x14ac:dyDescent="0.2">
      <c r="A5" s="1" t="s">
        <v>15</v>
      </c>
      <c r="B5" s="4">
        <v>2.34</v>
      </c>
      <c r="C5" s="4">
        <v>12</v>
      </c>
      <c r="D5" s="4">
        <v>522</v>
      </c>
      <c r="E5" s="4">
        <v>61</v>
      </c>
      <c r="F5" s="4">
        <v>1194</v>
      </c>
      <c r="G5" s="4">
        <v>104</v>
      </c>
      <c r="H5" s="4">
        <v>2068</v>
      </c>
      <c r="I5" s="5">
        <v>0.31</v>
      </c>
      <c r="J5" s="4">
        <v>26</v>
      </c>
      <c r="K5" s="5">
        <v>1.0900000000000001</v>
      </c>
      <c r="L5" s="4">
        <v>0.01</v>
      </c>
      <c r="M5" s="5">
        <v>9.4600000000000009</v>
      </c>
      <c r="N5" s="4">
        <v>2.12</v>
      </c>
      <c r="O5" s="5">
        <v>2.29</v>
      </c>
      <c r="P5" s="4">
        <v>7.0999999999999994E-2</v>
      </c>
      <c r="Q5" s="4">
        <v>0.01</v>
      </c>
      <c r="R5" s="4">
        <v>0.19500000000000001</v>
      </c>
      <c r="S5" s="4">
        <v>0.60899999999999999</v>
      </c>
      <c r="T5" s="4">
        <v>9.4E-2</v>
      </c>
      <c r="U5" s="4">
        <v>0.53700000000000003</v>
      </c>
      <c r="V5" s="10">
        <v>0.19700000000000001</v>
      </c>
      <c r="W5" s="10">
        <v>7.8E-2</v>
      </c>
      <c r="X5" s="10">
        <v>0.27</v>
      </c>
      <c r="Y5" s="8">
        <v>4.9099999999999998E-2</v>
      </c>
      <c r="Z5" s="8">
        <v>0.37009999999999998</v>
      </c>
      <c r="AA5" s="8">
        <v>8.3599999999999994E-2</v>
      </c>
      <c r="AB5" s="8">
        <v>0.25419999999999998</v>
      </c>
      <c r="AC5" s="8">
        <v>3.8399999999999997E-2</v>
      </c>
      <c r="AD5" s="8">
        <v>0.2747</v>
      </c>
      <c r="AE5" s="8">
        <v>4.24E-2</v>
      </c>
      <c r="AF5" s="8">
        <v>9.0800000000000006E-2</v>
      </c>
      <c r="AG5" s="8">
        <v>8.8999999999999999E-3</v>
      </c>
      <c r="AH5" s="8">
        <v>1.9699999999999999E-2</v>
      </c>
      <c r="AI5" s="8">
        <v>1.23E-2</v>
      </c>
      <c r="AJ5" s="8">
        <v>4.7999999999999996E-3</v>
      </c>
      <c r="AK5" s="17">
        <f t="shared" ref="AK5:AK11" si="0">E5/C5</f>
        <v>5.083333333333333</v>
      </c>
    </row>
    <row r="6" spans="1:37" x14ac:dyDescent="0.2">
      <c r="A6" s="1" t="s">
        <v>16</v>
      </c>
      <c r="B6" s="4">
        <v>2.2599999999999998</v>
      </c>
      <c r="C6" s="4">
        <v>14</v>
      </c>
      <c r="D6" s="4">
        <v>375</v>
      </c>
      <c r="E6" s="4">
        <v>64</v>
      </c>
      <c r="F6" s="4">
        <v>1175</v>
      </c>
      <c r="G6" s="4">
        <v>103</v>
      </c>
      <c r="H6" s="4">
        <v>2053</v>
      </c>
      <c r="I6" s="5">
        <v>0.34</v>
      </c>
      <c r="J6" s="4">
        <v>26</v>
      </c>
      <c r="K6" s="5">
        <v>0.93</v>
      </c>
      <c r="L6" s="4">
        <v>0.01</v>
      </c>
      <c r="M6" s="5">
        <v>5.57</v>
      </c>
      <c r="N6" s="4">
        <v>1.61</v>
      </c>
      <c r="O6" s="5">
        <v>0.69</v>
      </c>
      <c r="P6" s="4">
        <v>6.0999999999999999E-2</v>
      </c>
      <c r="Q6" s="4">
        <v>6.0000000000000001E-3</v>
      </c>
      <c r="R6" s="4">
        <v>0.317</v>
      </c>
      <c r="S6" s="4">
        <v>0.72599999999999998</v>
      </c>
      <c r="T6" s="4">
        <v>8.5999999999999993E-2</v>
      </c>
      <c r="U6" s="4">
        <v>0.379</v>
      </c>
      <c r="V6" s="10">
        <v>0.13400000000000001</v>
      </c>
      <c r="W6" s="10">
        <v>5.3999999999999999E-2</v>
      </c>
      <c r="X6" s="10">
        <v>0.20699999999999999</v>
      </c>
      <c r="Y6" s="8">
        <v>4.0500000000000001E-2</v>
      </c>
      <c r="Z6" s="8">
        <v>0.2999</v>
      </c>
      <c r="AA6" s="8">
        <v>6.4100000000000004E-2</v>
      </c>
      <c r="AB6" s="8">
        <v>0.1915</v>
      </c>
      <c r="AC6" s="8">
        <v>2.9499999999999998E-2</v>
      </c>
      <c r="AD6" s="8">
        <v>0.19689999999999999</v>
      </c>
      <c r="AE6" s="8">
        <v>3.0099999999999998E-2</v>
      </c>
      <c r="AF6" s="8">
        <v>3.5499999999999997E-2</v>
      </c>
      <c r="AG6" s="8">
        <v>1.24E-2</v>
      </c>
      <c r="AH6" s="8">
        <v>3.1099999999999999E-2</v>
      </c>
      <c r="AI6" s="8">
        <v>3.0800000000000001E-2</v>
      </c>
      <c r="AJ6" s="8">
        <v>7.7999999999999996E-3</v>
      </c>
      <c r="AK6" s="17">
        <f t="shared" si="0"/>
        <v>4.5714285714285712</v>
      </c>
    </row>
    <row r="7" spans="1:37" x14ac:dyDescent="0.2">
      <c r="A7" s="1" t="s">
        <v>17</v>
      </c>
      <c r="B7" s="4">
        <v>2.25</v>
      </c>
      <c r="C7" s="4">
        <v>12</v>
      </c>
      <c r="D7" s="4">
        <v>200</v>
      </c>
      <c r="E7" s="4">
        <v>52</v>
      </c>
      <c r="F7" s="4">
        <v>1073</v>
      </c>
      <c r="G7" s="4">
        <v>113</v>
      </c>
      <c r="H7" s="4">
        <v>2227</v>
      </c>
      <c r="I7" s="5">
        <v>0.86</v>
      </c>
      <c r="J7" s="4">
        <v>46</v>
      </c>
      <c r="K7" s="5">
        <v>0.77</v>
      </c>
      <c r="L7" s="4">
        <v>0.02</v>
      </c>
      <c r="M7" s="5">
        <v>0.22</v>
      </c>
      <c r="N7" s="4">
        <v>1.1299999999999999</v>
      </c>
      <c r="O7" s="5">
        <v>0.12</v>
      </c>
      <c r="P7" s="4">
        <v>1.4999999999999999E-2</v>
      </c>
      <c r="Q7" s="4">
        <v>4.0000000000000001E-3</v>
      </c>
      <c r="R7" s="4">
        <v>8.9999999999999993E-3</v>
      </c>
      <c r="S7" s="4">
        <v>2.5000000000000001E-2</v>
      </c>
      <c r="T7" s="4">
        <v>4.0000000000000001E-3</v>
      </c>
      <c r="U7" s="4">
        <v>3.1E-2</v>
      </c>
      <c r="V7" s="10">
        <v>3.3000000000000002E-2</v>
      </c>
      <c r="W7" s="10">
        <v>1.7000000000000001E-2</v>
      </c>
      <c r="X7" s="10">
        <v>8.7999999999999995E-2</v>
      </c>
      <c r="Y7" s="8">
        <v>1.9300000000000001E-2</v>
      </c>
      <c r="Z7" s="8">
        <v>0.1764</v>
      </c>
      <c r="AA7" s="8">
        <v>4.2900000000000001E-2</v>
      </c>
      <c r="AB7" s="8">
        <v>0.14899999999999999</v>
      </c>
      <c r="AC7" s="8">
        <v>2.3199999999999998E-2</v>
      </c>
      <c r="AD7" s="8">
        <v>0.17560000000000001</v>
      </c>
      <c r="AE7" s="8">
        <v>2.8199999999999999E-2</v>
      </c>
      <c r="AF7" s="8">
        <v>1.35E-2</v>
      </c>
      <c r="AG7" s="8">
        <v>8.9999999999999998E-4</v>
      </c>
      <c r="AH7" s="8">
        <v>6.9999999999999999E-4</v>
      </c>
      <c r="AI7" s="8">
        <v>1.1999999999999999E-3</v>
      </c>
      <c r="AJ7" s="8">
        <v>6.9999999999999999E-4</v>
      </c>
      <c r="AK7" s="17">
        <f t="shared" si="0"/>
        <v>4.333333333333333</v>
      </c>
    </row>
    <row r="8" spans="1:37" x14ac:dyDescent="0.2">
      <c r="A8" s="1" t="s">
        <v>18</v>
      </c>
      <c r="B8" s="4">
        <v>2.2599999999999998</v>
      </c>
      <c r="C8" s="4">
        <v>15</v>
      </c>
      <c r="D8" s="4">
        <v>773</v>
      </c>
      <c r="E8" s="4">
        <v>67</v>
      </c>
      <c r="F8" s="4">
        <v>1215</v>
      </c>
      <c r="G8" s="4">
        <v>106</v>
      </c>
      <c r="H8" s="4">
        <v>1995</v>
      </c>
      <c r="I8" s="5">
        <v>0.71</v>
      </c>
      <c r="J8" s="4">
        <v>39</v>
      </c>
      <c r="K8" s="5">
        <v>1.2</v>
      </c>
      <c r="L8" s="4" t="s">
        <v>19</v>
      </c>
      <c r="M8" s="5">
        <v>10.35</v>
      </c>
      <c r="N8" s="4">
        <v>2.88</v>
      </c>
      <c r="O8" s="5">
        <v>4.93</v>
      </c>
      <c r="P8" s="4">
        <v>2.1999999999999999E-2</v>
      </c>
      <c r="Q8" s="4">
        <v>7.0000000000000001E-3</v>
      </c>
      <c r="R8" s="4">
        <v>0.17599999999999999</v>
      </c>
      <c r="S8" s="4">
        <v>0.629</v>
      </c>
      <c r="T8" s="4">
        <v>0.107</v>
      </c>
      <c r="U8" s="4">
        <v>0.622</v>
      </c>
      <c r="V8" s="10">
        <v>0.249</v>
      </c>
      <c r="W8" s="10">
        <v>0.10100000000000001</v>
      </c>
      <c r="X8" s="10">
        <v>0.36</v>
      </c>
      <c r="Y8" s="8">
        <v>6.5000000000000002E-2</v>
      </c>
      <c r="Z8" s="8">
        <v>0.498</v>
      </c>
      <c r="AA8" s="8">
        <v>0.1069</v>
      </c>
      <c r="AB8" s="8">
        <v>0.34420000000000001</v>
      </c>
      <c r="AC8" s="8">
        <v>0.05</v>
      </c>
      <c r="AD8" s="8">
        <v>0.35049999999999998</v>
      </c>
      <c r="AE8" s="8">
        <v>5.1700000000000003E-2</v>
      </c>
      <c r="AF8" s="8">
        <v>0.14549999999999999</v>
      </c>
      <c r="AG8" s="8">
        <v>2.2000000000000001E-3</v>
      </c>
      <c r="AH8" s="8">
        <v>6.7999999999999996E-3</v>
      </c>
      <c r="AI8" s="8">
        <v>2.5000000000000001E-3</v>
      </c>
      <c r="AJ8" s="8">
        <v>6.9999999999999999E-4</v>
      </c>
      <c r="AK8" s="17">
        <f t="shared" si="0"/>
        <v>4.4666666666666668</v>
      </c>
    </row>
    <row r="9" spans="1:37" x14ac:dyDescent="0.2">
      <c r="A9" s="1" t="s">
        <v>20</v>
      </c>
      <c r="B9" s="4">
        <v>1.63</v>
      </c>
      <c r="C9" s="4">
        <v>12</v>
      </c>
      <c r="D9" s="4">
        <v>187</v>
      </c>
      <c r="E9" s="4">
        <v>52</v>
      </c>
      <c r="F9" s="4">
        <v>1071</v>
      </c>
      <c r="G9" s="4">
        <v>107</v>
      </c>
      <c r="H9" s="4">
        <v>2155</v>
      </c>
      <c r="I9" s="5">
        <v>0.37</v>
      </c>
      <c r="J9" s="4">
        <v>31</v>
      </c>
      <c r="K9" s="5">
        <v>0.65</v>
      </c>
      <c r="L9" s="4" t="s">
        <v>19</v>
      </c>
      <c r="M9" s="5">
        <v>1.21</v>
      </c>
      <c r="N9" s="4">
        <v>1.03</v>
      </c>
      <c r="O9" s="5">
        <v>0.19</v>
      </c>
      <c r="P9" s="4">
        <v>2.1000000000000001E-2</v>
      </c>
      <c r="Q9" s="4">
        <v>4.0000000000000001E-3</v>
      </c>
      <c r="R9" s="4">
        <v>1.2E-2</v>
      </c>
      <c r="S9" s="4">
        <v>3.4000000000000002E-2</v>
      </c>
      <c r="T9" s="4">
        <v>6.0000000000000001E-3</v>
      </c>
      <c r="U9" s="4">
        <v>4.8000000000000001E-2</v>
      </c>
      <c r="V9" s="10">
        <v>3.4000000000000002E-2</v>
      </c>
      <c r="W9" s="10">
        <v>1.7000000000000001E-2</v>
      </c>
      <c r="X9" s="10">
        <v>0.08</v>
      </c>
      <c r="Y9" s="8">
        <v>1.7500000000000002E-2</v>
      </c>
      <c r="Z9" s="8">
        <v>0.1628</v>
      </c>
      <c r="AA9" s="8">
        <v>3.7400000000000003E-2</v>
      </c>
      <c r="AB9" s="8">
        <v>0.13</v>
      </c>
      <c r="AC9" s="8">
        <v>2.0899999999999998E-2</v>
      </c>
      <c r="AD9" s="8">
        <v>0.1618</v>
      </c>
      <c r="AE9" s="8">
        <v>2.63E-2</v>
      </c>
      <c r="AF9" s="8">
        <v>1.35E-2</v>
      </c>
      <c r="AG9" s="8">
        <v>1.1000000000000001E-3</v>
      </c>
      <c r="AH9" s="8">
        <v>2.3E-3</v>
      </c>
      <c r="AI9" s="8">
        <v>2.2000000000000001E-3</v>
      </c>
      <c r="AJ9" s="8">
        <v>8.9999999999999998E-4</v>
      </c>
      <c r="AK9" s="17">
        <f t="shared" si="0"/>
        <v>4.333333333333333</v>
      </c>
    </row>
    <row r="10" spans="1:37" x14ac:dyDescent="0.2">
      <c r="A10" s="1" t="s">
        <v>21</v>
      </c>
      <c r="B10" s="4">
        <v>1.99</v>
      </c>
      <c r="C10" s="4">
        <v>13</v>
      </c>
      <c r="D10" s="4">
        <v>797</v>
      </c>
      <c r="E10" s="4">
        <v>63</v>
      </c>
      <c r="F10" s="4">
        <v>1280</v>
      </c>
      <c r="G10" s="4">
        <v>101</v>
      </c>
      <c r="H10" s="4">
        <v>1911</v>
      </c>
      <c r="I10" s="5">
        <v>0.7</v>
      </c>
      <c r="J10" s="4">
        <v>38</v>
      </c>
      <c r="K10" s="5">
        <v>1.1000000000000001</v>
      </c>
      <c r="L10" s="4" t="s">
        <v>19</v>
      </c>
      <c r="M10" s="5">
        <v>8.59</v>
      </c>
      <c r="N10" s="4">
        <v>2.64</v>
      </c>
      <c r="O10" s="5">
        <v>4.17</v>
      </c>
      <c r="P10" s="4">
        <v>2.3E-2</v>
      </c>
      <c r="Q10" s="4" t="s">
        <v>19</v>
      </c>
      <c r="R10" s="4">
        <v>0.113</v>
      </c>
      <c r="S10" s="4">
        <v>0.46400000000000002</v>
      </c>
      <c r="T10" s="4">
        <v>8.7999999999999995E-2</v>
      </c>
      <c r="U10" s="4">
        <v>0.56100000000000005</v>
      </c>
      <c r="V10" s="10">
        <v>0.22500000000000001</v>
      </c>
      <c r="W10" s="10">
        <v>9.5000000000000001E-2</v>
      </c>
      <c r="X10" s="10">
        <v>0.34200000000000003</v>
      </c>
      <c r="Y10" s="8">
        <v>6.3100000000000003E-2</v>
      </c>
      <c r="Z10" s="8">
        <v>0.48270000000000002</v>
      </c>
      <c r="AA10" s="8">
        <v>0.1057</v>
      </c>
      <c r="AB10" s="8">
        <v>0.32219999999999999</v>
      </c>
      <c r="AC10" s="8">
        <v>5.0299999999999997E-2</v>
      </c>
      <c r="AD10" s="8">
        <v>0.35930000000000001</v>
      </c>
      <c r="AE10" s="8">
        <v>5.2699999999999997E-2</v>
      </c>
      <c r="AF10" s="8">
        <v>0.14369999999999999</v>
      </c>
      <c r="AG10" s="8">
        <v>1.1000000000000001E-3</v>
      </c>
      <c r="AH10" s="8">
        <v>1.03E-2</v>
      </c>
      <c r="AI10" s="8">
        <v>3.2000000000000002E-3</v>
      </c>
      <c r="AJ10" s="8">
        <v>1.2999999999999999E-3</v>
      </c>
      <c r="AK10" s="17">
        <f t="shared" si="0"/>
        <v>4.8461538461538458</v>
      </c>
    </row>
    <row r="11" spans="1:37" x14ac:dyDescent="0.2">
      <c r="A11" s="1" t="s">
        <v>22</v>
      </c>
      <c r="B11" s="4">
        <v>1.76</v>
      </c>
      <c r="C11" s="4">
        <v>12</v>
      </c>
      <c r="D11" s="4">
        <v>501</v>
      </c>
      <c r="E11" s="4">
        <v>57</v>
      </c>
      <c r="F11" s="4">
        <v>1197</v>
      </c>
      <c r="G11" s="4">
        <v>105</v>
      </c>
      <c r="H11" s="4">
        <v>1984</v>
      </c>
      <c r="I11" s="5">
        <v>0.56999999999999995</v>
      </c>
      <c r="J11" s="4">
        <v>36</v>
      </c>
      <c r="K11" s="5">
        <v>0.93</v>
      </c>
      <c r="L11" s="4" t="s">
        <v>19</v>
      </c>
      <c r="M11" s="5">
        <v>2.2000000000000002</v>
      </c>
      <c r="N11" s="4">
        <v>2.0499999999999998</v>
      </c>
      <c r="O11" s="5">
        <v>1.29</v>
      </c>
      <c r="P11" s="4">
        <v>6.0000000000000001E-3</v>
      </c>
      <c r="Q11" s="4" t="s">
        <v>19</v>
      </c>
      <c r="R11" s="4">
        <v>1.0999999999999999E-2</v>
      </c>
      <c r="S11" s="4">
        <v>8.7999999999999995E-2</v>
      </c>
      <c r="T11" s="4">
        <v>2.7E-2</v>
      </c>
      <c r="U11" s="4">
        <v>0.224</v>
      </c>
      <c r="V11" s="10">
        <v>0.13</v>
      </c>
      <c r="W11" s="10">
        <v>5.8999999999999997E-2</v>
      </c>
      <c r="X11" s="10">
        <v>0.23100000000000001</v>
      </c>
      <c r="Y11" s="8">
        <v>4.6199999999999998E-2</v>
      </c>
      <c r="Z11" s="8">
        <v>0.35389999999999999</v>
      </c>
      <c r="AA11" s="8">
        <v>8.0500000000000002E-2</v>
      </c>
      <c r="AB11" s="8">
        <v>0.24959999999999999</v>
      </c>
      <c r="AC11" s="8">
        <v>3.9100000000000003E-2</v>
      </c>
      <c r="AD11" s="8">
        <v>0.28360000000000002</v>
      </c>
      <c r="AE11" s="8">
        <v>4.3400000000000001E-2</v>
      </c>
      <c r="AF11" s="8">
        <v>6.8699999999999997E-2</v>
      </c>
      <c r="AG11" s="8" t="s">
        <v>19</v>
      </c>
      <c r="AH11" s="8">
        <v>3.7000000000000002E-3</v>
      </c>
      <c r="AI11" s="8" t="s">
        <v>19</v>
      </c>
      <c r="AJ11" s="8" t="s">
        <v>19</v>
      </c>
      <c r="AK11" s="17">
        <f t="shared" si="0"/>
        <v>4.75</v>
      </c>
    </row>
    <row r="12" spans="1:37" x14ac:dyDescent="0.2">
      <c r="A12" s="1" t="s">
        <v>49</v>
      </c>
      <c r="B12" s="4"/>
      <c r="C12" s="4"/>
      <c r="D12" s="4"/>
      <c r="E12" s="4"/>
      <c r="F12" s="4"/>
      <c r="G12" s="4"/>
      <c r="H12" s="4"/>
      <c r="I12" s="5"/>
      <c r="J12" s="4"/>
      <c r="K12" s="5"/>
      <c r="L12" s="4"/>
      <c r="M12" s="5"/>
      <c r="N12" s="4"/>
      <c r="O12" s="5"/>
      <c r="P12" s="4"/>
      <c r="Q12" s="4"/>
      <c r="R12" s="4"/>
      <c r="S12" s="4"/>
      <c r="T12" s="4"/>
      <c r="U12" s="4"/>
      <c r="V12" s="10"/>
      <c r="W12" s="10"/>
      <c r="X12" s="10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1:37" x14ac:dyDescent="0.2">
      <c r="A13" s="3" t="s">
        <v>23</v>
      </c>
      <c r="B13" s="6">
        <v>1.49</v>
      </c>
      <c r="C13" s="6">
        <v>7</v>
      </c>
      <c r="D13" s="6">
        <v>28</v>
      </c>
      <c r="E13" s="6">
        <v>15</v>
      </c>
      <c r="F13" s="6">
        <v>659</v>
      </c>
      <c r="G13" s="6">
        <v>123</v>
      </c>
      <c r="H13" s="6">
        <v>2635</v>
      </c>
      <c r="I13" s="7">
        <v>1.0900000000000001</v>
      </c>
      <c r="J13" s="6">
        <v>47</v>
      </c>
      <c r="K13" s="7">
        <v>0.24</v>
      </c>
      <c r="L13" s="6" t="s">
        <v>19</v>
      </c>
      <c r="M13" s="7">
        <v>0.9</v>
      </c>
      <c r="N13" s="6">
        <v>0.09</v>
      </c>
      <c r="O13" s="7">
        <v>0.1</v>
      </c>
      <c r="P13" s="6">
        <v>1.2E-2</v>
      </c>
      <c r="Q13" s="6">
        <v>6.2E-2</v>
      </c>
      <c r="R13" s="6">
        <v>2.4E-2</v>
      </c>
      <c r="S13" s="6">
        <v>6.6000000000000003E-2</v>
      </c>
      <c r="T13" s="6">
        <v>7.0000000000000001E-3</v>
      </c>
      <c r="U13" s="6">
        <v>2.8000000000000001E-2</v>
      </c>
      <c r="V13" s="11">
        <v>8.9999999999999993E-3</v>
      </c>
      <c r="W13" s="11">
        <v>3.0000000000000001E-3</v>
      </c>
      <c r="X13" s="11">
        <v>1.0999999999999999E-2</v>
      </c>
      <c r="Y13" s="9">
        <v>2E-3</v>
      </c>
      <c r="Z13" s="9">
        <v>1.5100000000000001E-2</v>
      </c>
      <c r="AA13" s="9">
        <v>3.3999999999999998E-3</v>
      </c>
      <c r="AB13" s="9">
        <v>1.2500000000000001E-2</v>
      </c>
      <c r="AC13" s="9">
        <v>2.7000000000000001E-3</v>
      </c>
      <c r="AD13" s="9">
        <v>2.1499999999999998E-2</v>
      </c>
      <c r="AE13" s="9">
        <v>4.5999999999999999E-3</v>
      </c>
      <c r="AF13" s="9">
        <v>3.7000000000000002E-3</v>
      </c>
      <c r="AG13" s="9">
        <v>4.0000000000000002E-4</v>
      </c>
      <c r="AH13" s="9">
        <v>1.5E-3</v>
      </c>
      <c r="AI13" s="9">
        <v>3.5999999999999999E-3</v>
      </c>
      <c r="AJ13" s="9">
        <v>6.9999999999999999E-4</v>
      </c>
      <c r="AK13" s="19">
        <f>E13/C13</f>
        <v>2.1428571428571428</v>
      </c>
    </row>
    <row r="14" spans="1:37" x14ac:dyDescent="0.2">
      <c r="A14" s="1" t="s">
        <v>47</v>
      </c>
    </row>
    <row r="15" spans="1:37" x14ac:dyDescent="0.2">
      <c r="A15" s="27" t="s">
        <v>110</v>
      </c>
    </row>
    <row r="17" spans="1:1" x14ac:dyDescent="0.2">
      <c r="A17" s="12" t="s">
        <v>46</v>
      </c>
    </row>
    <row r="18" spans="1:1" x14ac:dyDescent="0.2">
      <c r="A18" s="13" t="s">
        <v>112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/>
  </sheetViews>
  <sheetFormatPr defaultRowHeight="12.75" x14ac:dyDescent="0.2"/>
  <cols>
    <col min="1" max="1" width="9.125" style="1" customWidth="1"/>
    <col min="2" max="27" width="8.25" style="15" customWidth="1"/>
    <col min="28" max="16384" width="9" style="1"/>
  </cols>
  <sheetData>
    <row r="1" spans="1:27" x14ac:dyDescent="0.2">
      <c r="A1" s="27" t="s">
        <v>56</v>
      </c>
    </row>
    <row r="2" spans="1:27" s="27" customFormat="1" ht="15.75" x14ac:dyDescent="0.25">
      <c r="A2" s="28" t="s">
        <v>0</v>
      </c>
      <c r="B2" s="29" t="s">
        <v>58</v>
      </c>
      <c r="C2" s="29" t="s">
        <v>59</v>
      </c>
      <c r="D2" s="29" t="s">
        <v>60</v>
      </c>
      <c r="E2" s="29" t="s">
        <v>61</v>
      </c>
      <c r="F2" s="29" t="s">
        <v>62</v>
      </c>
      <c r="G2" s="29" t="s">
        <v>63</v>
      </c>
      <c r="H2" s="29" t="s">
        <v>64</v>
      </c>
      <c r="I2" s="29" t="s">
        <v>65</v>
      </c>
      <c r="J2" s="29" t="s">
        <v>66</v>
      </c>
      <c r="K2" s="29" t="s">
        <v>67</v>
      </c>
      <c r="L2" s="29" t="s">
        <v>68</v>
      </c>
      <c r="M2" s="29" t="s">
        <v>69</v>
      </c>
      <c r="N2" s="29" t="s">
        <v>70</v>
      </c>
      <c r="O2" s="29" t="s">
        <v>71</v>
      </c>
      <c r="P2" s="29" t="s">
        <v>72</v>
      </c>
      <c r="Q2" s="29" t="s">
        <v>73</v>
      </c>
      <c r="R2" s="29" t="s">
        <v>74</v>
      </c>
      <c r="S2" s="29" t="s">
        <v>75</v>
      </c>
      <c r="T2" s="29" t="s">
        <v>76</v>
      </c>
      <c r="U2" s="29" t="s">
        <v>77</v>
      </c>
      <c r="V2" s="29" t="s">
        <v>78</v>
      </c>
      <c r="W2" s="29" t="s">
        <v>79</v>
      </c>
      <c r="X2" s="29" t="s">
        <v>80</v>
      </c>
      <c r="Y2" s="29" t="s">
        <v>81</v>
      </c>
      <c r="Z2" s="29" t="s">
        <v>82</v>
      </c>
      <c r="AA2" s="29" t="s">
        <v>83</v>
      </c>
    </row>
    <row r="3" spans="1:27" x14ac:dyDescent="0.2">
      <c r="A3" s="14" t="s">
        <v>50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">
      <c r="A4" s="1" t="s">
        <v>14</v>
      </c>
      <c r="B4" s="15">
        <v>0.8571428571428571</v>
      </c>
      <c r="C4" s="15">
        <v>8.0020650490449139</v>
      </c>
      <c r="D4" s="17">
        <v>35.955675227837617</v>
      </c>
      <c r="E4" s="17">
        <v>36.73946360153257</v>
      </c>
      <c r="F4" s="17">
        <v>45.46726114649681</v>
      </c>
      <c r="G4" s="15">
        <v>1.0694941798941797</v>
      </c>
      <c r="H4" s="15">
        <v>0.4333154073675719</v>
      </c>
      <c r="I4" s="15">
        <v>0.2757226561186118</v>
      </c>
      <c r="J4" s="15">
        <v>0.93203883495145634</v>
      </c>
      <c r="K4" s="15">
        <v>0.61443219191332954</v>
      </c>
      <c r="L4" s="17">
        <v>72.259507829977636</v>
      </c>
      <c r="M4" s="17">
        <v>36.677966101694921</v>
      </c>
      <c r="N4" s="17">
        <v>28.958990536277604</v>
      </c>
      <c r="O4" s="17">
        <v>89.20289855072464</v>
      </c>
      <c r="P4" s="17">
        <v>15.81818181818182</v>
      </c>
      <c r="Q4" s="17">
        <v>49.333333333333336</v>
      </c>
      <c r="R4" s="17">
        <v>15.042735042735043</v>
      </c>
      <c r="S4" s="17">
        <v>14.339622641509434</v>
      </c>
      <c r="T4" s="17">
        <v>19.264367816091955</v>
      </c>
      <c r="U4" s="17">
        <v>33.432835820895527</v>
      </c>
      <c r="V4" s="17">
        <v>28.583333333333332</v>
      </c>
      <c r="W4" s="17">
        <v>21.060606060606062</v>
      </c>
      <c r="X4" s="17">
        <v>14.345549738219896</v>
      </c>
      <c r="Y4" s="17">
        <v>11.835748792270531</v>
      </c>
      <c r="Z4" s="17">
        <v>9.3426294820717128</v>
      </c>
      <c r="AA4" s="17">
        <v>41.25</v>
      </c>
    </row>
    <row r="5" spans="1:27" x14ac:dyDescent="0.2">
      <c r="A5" s="1" t="s">
        <v>15</v>
      </c>
      <c r="B5" s="15">
        <v>1.1266375545851528</v>
      </c>
      <c r="C5" s="15">
        <v>13.086627417998317</v>
      </c>
      <c r="D5" s="17">
        <v>74.935943060498232</v>
      </c>
      <c r="E5" s="17">
        <v>93.144475920679895</v>
      </c>
      <c r="F5" s="17">
        <v>163.85203657522862</v>
      </c>
      <c r="G5" s="15">
        <v>1.0866452429978202</v>
      </c>
      <c r="H5" s="15">
        <v>0.38232059389606821</v>
      </c>
      <c r="I5" s="15">
        <v>0.2231272944065891</v>
      </c>
      <c r="J5" s="15">
        <v>1.0248226950354611</v>
      </c>
      <c r="K5" s="15">
        <v>0.66790467347570404</v>
      </c>
      <c r="L5" s="17">
        <v>96.197718631178716</v>
      </c>
      <c r="M5" s="17">
        <v>12.661971830985914</v>
      </c>
      <c r="N5" s="17">
        <v>69.148936170212764</v>
      </c>
      <c r="O5" s="17">
        <v>128.3740701381509</v>
      </c>
      <c r="P5" s="17">
        <v>16.18181818181818</v>
      </c>
      <c r="Q5" s="17">
        <v>22.666666666666664</v>
      </c>
      <c r="R5" s="17">
        <v>16.417910447761191</v>
      </c>
      <c r="S5" s="17">
        <v>80.166666666666671</v>
      </c>
      <c r="T5" s="17">
        <v>12.169312169312168</v>
      </c>
      <c r="U5" s="17">
        <v>100.4225352112676</v>
      </c>
      <c r="V5" s="17">
        <v>60.78947368421052</v>
      </c>
      <c r="W5" s="17">
        <v>47.945205479452049</v>
      </c>
      <c r="X5" s="17">
        <v>24.235294117647062</v>
      </c>
      <c r="Y5" s="17">
        <v>22.777777777777779</v>
      </c>
      <c r="Z5" s="17">
        <v>14.329501915708814</v>
      </c>
      <c r="AA5" s="17">
        <v>49.152542372881356</v>
      </c>
    </row>
    <row r="6" spans="1:27" x14ac:dyDescent="0.2">
      <c r="A6" s="1" t="s">
        <v>16</v>
      </c>
      <c r="B6" s="15">
        <v>0.82547169811320753</v>
      </c>
      <c r="C6" s="15">
        <v>14.934533551554829</v>
      </c>
      <c r="D6" s="17">
        <v>59.38273116962646</v>
      </c>
      <c r="E6" s="17">
        <v>94.626865671641795</v>
      </c>
      <c r="F6" s="17">
        <v>193.66512488436635</v>
      </c>
      <c r="G6" s="15">
        <v>1.0942734501191358</v>
      </c>
      <c r="H6" s="15">
        <v>0.38162568541573261</v>
      </c>
      <c r="I6" s="15">
        <v>0.21615657385643089</v>
      </c>
      <c r="J6" s="15">
        <v>1.0129509713228493</v>
      </c>
      <c r="K6" s="15">
        <v>0.70063694267515919</v>
      </c>
      <c r="L6" s="17">
        <v>63.690476190476197</v>
      </c>
      <c r="M6" s="17">
        <v>12.829581993569132</v>
      </c>
      <c r="N6" s="17">
        <v>86.290322580645167</v>
      </c>
      <c r="O6" s="17">
        <v>104.54545454545456</v>
      </c>
      <c r="P6" s="17">
        <v>18.545454545454547</v>
      </c>
      <c r="Q6" s="17">
        <v>26.250000000000004</v>
      </c>
      <c r="R6" s="17">
        <v>12.105263157894736</v>
      </c>
      <c r="S6" s="17">
        <v>22.967741935483868</v>
      </c>
      <c r="T6" s="17">
        <v>12.278481012658228</v>
      </c>
      <c r="U6" s="17">
        <v>106.71875000000001</v>
      </c>
      <c r="V6" s="17">
        <v>62.727272727272727</v>
      </c>
      <c r="W6" s="17">
        <v>64.615384615384627</v>
      </c>
      <c r="X6" s="17">
        <v>40</v>
      </c>
      <c r="Y6" s="17">
        <v>39.066339066339069</v>
      </c>
      <c r="Z6" s="17">
        <v>18.575498575498575</v>
      </c>
      <c r="AA6" s="17">
        <v>67.111111111111114</v>
      </c>
    </row>
    <row r="7" spans="1:27" x14ac:dyDescent="0.2">
      <c r="A7" s="1" t="s">
        <v>17</v>
      </c>
      <c r="B7" s="15">
        <v>1.172093023255814</v>
      </c>
      <c r="C7" s="15">
        <v>7.6943396226415102</v>
      </c>
      <c r="D7" s="17">
        <v>31.755154639175256</v>
      </c>
      <c r="E7" s="17">
        <v>34.820359281437128</v>
      </c>
      <c r="F7" s="17">
        <v>37.11012084592145</v>
      </c>
      <c r="G7" s="15">
        <v>0.97929410078900947</v>
      </c>
      <c r="H7" s="15">
        <v>0.4149229074889868</v>
      </c>
      <c r="I7" s="15">
        <v>0.26559919723818037</v>
      </c>
      <c r="J7" s="15">
        <v>0.9714625445897741</v>
      </c>
      <c r="K7" s="15">
        <v>0.6826676438255771</v>
      </c>
      <c r="L7" s="17">
        <v>63.733333333333341</v>
      </c>
      <c r="M7" s="17">
        <v>23.137931034482758</v>
      </c>
      <c r="N7" s="17">
        <v>30.818181818181824</v>
      </c>
      <c r="O7" s="17">
        <v>35.440180586907452</v>
      </c>
      <c r="P7" s="17">
        <v>8.52112676056338</v>
      </c>
      <c r="Q7" s="17">
        <v>5.5</v>
      </c>
      <c r="R7" s="17">
        <v>12.608695652173912</v>
      </c>
      <c r="S7" s="17">
        <v>8.32258064516129</v>
      </c>
      <c r="T7" s="17">
        <v>9</v>
      </c>
      <c r="U7" s="17">
        <v>38.232323232323232</v>
      </c>
      <c r="V7" s="17">
        <v>34.507042253521128</v>
      </c>
      <c r="W7" s="17">
        <v>22.937625754527165</v>
      </c>
      <c r="X7" s="17">
        <v>15.782312925170068</v>
      </c>
      <c r="Y7" s="17">
        <v>13.684210526315789</v>
      </c>
      <c r="Z7" s="17">
        <v>8.3549783549783552</v>
      </c>
      <c r="AA7" s="17">
        <v>19.166666666666664</v>
      </c>
    </row>
    <row r="8" spans="1:27" x14ac:dyDescent="0.2">
      <c r="A8" s="1" t="s">
        <v>18</v>
      </c>
      <c r="B8" s="15">
        <v>1.0295454545454543</v>
      </c>
      <c r="C8" s="15">
        <v>7.8085916258836319</v>
      </c>
      <c r="D8" s="17">
        <v>36.550831353919236</v>
      </c>
      <c r="E8" s="17">
        <v>39.817391304347836</v>
      </c>
      <c r="F8" s="17">
        <v>50.509067357512947</v>
      </c>
      <c r="G8" s="15">
        <v>0.99281024916428295</v>
      </c>
      <c r="H8" s="15">
        <v>0.40691736304549675</v>
      </c>
      <c r="I8" s="15">
        <v>0.25359872369017711</v>
      </c>
      <c r="J8" s="15">
        <v>0.96147798742138357</v>
      </c>
      <c r="K8" s="15">
        <v>0.68377350940376147</v>
      </c>
      <c r="L8" s="17">
        <v>58.152173913043477</v>
      </c>
      <c r="M8" s="17">
        <v>15.038684719535784</v>
      </c>
      <c r="N8" s="17">
        <v>30.426356589147289</v>
      </c>
      <c r="O8" s="17">
        <v>97.36363636363636</v>
      </c>
      <c r="P8" s="17">
        <v>10.444444444444445</v>
      </c>
      <c r="Q8" s="17">
        <v>25.241935483870968</v>
      </c>
      <c r="R8" s="17">
        <v>37.121212121212125</v>
      </c>
      <c r="S8" s="17">
        <v>22.352941176470587</v>
      </c>
      <c r="T8" s="17">
        <v>22.87037037037037</v>
      </c>
      <c r="U8" s="17">
        <v>30.362537764350456</v>
      </c>
      <c r="V8" s="17">
        <v>33.876404494382022</v>
      </c>
      <c r="W8" s="17">
        <v>21.981132075471695</v>
      </c>
      <c r="X8" s="17">
        <v>16.49006622516556</v>
      </c>
      <c r="Y8" s="17">
        <v>13.102409638554217</v>
      </c>
      <c r="Z8" s="17">
        <v>9.3218390804597711</v>
      </c>
      <c r="AA8" s="17">
        <v>39.833333333333336</v>
      </c>
    </row>
    <row r="9" spans="1:27" x14ac:dyDescent="0.2">
      <c r="A9" s="1" t="s">
        <v>20</v>
      </c>
      <c r="B9" s="15">
        <v>0.83987915407854985</v>
      </c>
      <c r="C9" s="15">
        <v>12.062780269058296</v>
      </c>
      <c r="D9" s="17">
        <v>50.125401929260448</v>
      </c>
      <c r="E9" s="17">
        <v>84.499605988967701</v>
      </c>
      <c r="F9" s="17">
        <v>132.94877903513998</v>
      </c>
      <c r="G9" s="15">
        <v>0.99950965879653597</v>
      </c>
      <c r="H9" s="15">
        <v>0.36901485965877817</v>
      </c>
      <c r="I9" s="15">
        <v>0.20729578270836482</v>
      </c>
      <c r="J9" s="15">
        <v>1.5719178082191783</v>
      </c>
      <c r="K9" s="15">
        <v>0.67338816662244627</v>
      </c>
      <c r="L9" s="17">
        <v>68.615984405458093</v>
      </c>
      <c r="M9" s="17">
        <v>3.2034220532319391</v>
      </c>
      <c r="N9" s="17">
        <v>53.233256351039266</v>
      </c>
      <c r="O9" s="17">
        <v>31.612903225806452</v>
      </c>
      <c r="P9" s="17">
        <v>7.3015873015873014</v>
      </c>
      <c r="Q9" s="17">
        <v>3.8961038961038956</v>
      </c>
      <c r="R9" s="17">
        <v>4.647887323943662</v>
      </c>
      <c r="S9" s="17">
        <v>6.88</v>
      </c>
      <c r="T9" s="17">
        <v>4.0154440154440154</v>
      </c>
      <c r="U9" s="17">
        <v>45.575221238938056</v>
      </c>
      <c r="V9" s="17">
        <v>38.46153846153846</v>
      </c>
      <c r="W9" s="17">
        <v>21.229050279329609</v>
      </c>
      <c r="X9" s="17">
        <v>23.108108108108109</v>
      </c>
      <c r="Y9" s="17">
        <v>22.307692307692307</v>
      </c>
      <c r="Z9" s="17">
        <v>14.732510288065845</v>
      </c>
      <c r="AA9" s="17">
        <v>6.9607843137254903</v>
      </c>
    </row>
    <row r="10" spans="1:27" x14ac:dyDescent="0.2">
      <c r="A10" s="1" t="s">
        <v>21</v>
      </c>
      <c r="B10" s="15">
        <v>0.73622928795342579</v>
      </c>
      <c r="C10" s="15">
        <v>8.4204413472706161</v>
      </c>
      <c r="D10" s="17">
        <v>39.252231094410519</v>
      </c>
      <c r="E10" s="17">
        <v>48.796833773087073</v>
      </c>
      <c r="F10" s="17">
        <v>70.759142962689324</v>
      </c>
      <c r="G10" s="15">
        <v>1.8724968095416294</v>
      </c>
      <c r="H10" s="15">
        <v>0.404980065748059</v>
      </c>
      <c r="I10" s="15">
        <v>0.24509631104336677</v>
      </c>
      <c r="J10" s="15">
        <v>0.92879256965944268</v>
      </c>
      <c r="K10" s="15">
        <v>0.63616251005631541</v>
      </c>
      <c r="L10" s="17">
        <v>84.911660777385165</v>
      </c>
      <c r="M10" s="17">
        <v>13.692307692307692</v>
      </c>
      <c r="N10" s="17">
        <v>33.766816143497756</v>
      </c>
      <c r="O10" s="17">
        <v>91.904761904761898</v>
      </c>
      <c r="P10" s="17">
        <v>18.124999999999996</v>
      </c>
      <c r="Q10" s="17">
        <v>44.516129032258064</v>
      </c>
      <c r="R10" s="17">
        <v>22.641509433962266</v>
      </c>
      <c r="S10" s="17">
        <v>29.259259259259263</v>
      </c>
      <c r="T10" s="17">
        <v>34.299999999999997</v>
      </c>
      <c r="U10" s="17">
        <v>37.704280155642024</v>
      </c>
      <c r="V10" s="17">
        <v>31.910112359550567</v>
      </c>
      <c r="W10" s="17">
        <v>21.079136690647481</v>
      </c>
      <c r="X10" s="17">
        <v>16.47058823529412</v>
      </c>
      <c r="Y10" s="17">
        <v>15.354838709677418</v>
      </c>
      <c r="Z10" s="17">
        <v>9.9764705882352942</v>
      </c>
      <c r="AA10" s="17">
        <v>84.468085106382986</v>
      </c>
    </row>
    <row r="11" spans="1:27" x14ac:dyDescent="0.2">
      <c r="A11" s="1" t="s">
        <v>22</v>
      </c>
      <c r="B11" s="15">
        <v>0.96132286995515703</v>
      </c>
      <c r="C11" s="15">
        <v>8.9917936694021101</v>
      </c>
      <c r="D11" s="17">
        <v>38.552992518703242</v>
      </c>
      <c r="E11" s="17">
        <v>54.165251839275605</v>
      </c>
      <c r="F11" s="17">
        <v>80.193327974276528</v>
      </c>
      <c r="G11" s="15">
        <v>1.6775815129017571</v>
      </c>
      <c r="H11" s="15">
        <v>0.41332679372197312</v>
      </c>
      <c r="I11" s="15">
        <v>0.24849088589454552</v>
      </c>
      <c r="J11" s="15">
        <v>1.0173076923076922</v>
      </c>
      <c r="K11" s="15">
        <v>0.67698046960719771</v>
      </c>
      <c r="L11" s="17">
        <v>71.0625</v>
      </c>
      <c r="M11" s="17">
        <v>8.144329896907216</v>
      </c>
      <c r="N11" s="17">
        <v>36.32432432432433</v>
      </c>
      <c r="O11" s="17">
        <v>83.715596330275218</v>
      </c>
      <c r="P11" s="17">
        <v>16.885245901639344</v>
      </c>
      <c r="Q11" s="17">
        <v>8.3695652173913047</v>
      </c>
      <c r="R11" s="17">
        <v>12.777777777777777</v>
      </c>
      <c r="S11" s="17">
        <v>37.36</v>
      </c>
      <c r="T11" s="17">
        <v>60.749999999999993</v>
      </c>
      <c r="U11" s="17">
        <v>54.870129870129865</v>
      </c>
      <c r="V11" s="17">
        <v>33.75</v>
      </c>
      <c r="W11" s="17">
        <v>23.100616016427104</v>
      </c>
      <c r="X11" s="17">
        <v>17.829457364341085</v>
      </c>
      <c r="Y11" s="17">
        <v>14.295302013422818</v>
      </c>
      <c r="Z11" s="17">
        <v>11.77142857142857</v>
      </c>
      <c r="AA11" s="17">
        <v>27.674418604651166</v>
      </c>
    </row>
    <row r="12" spans="1:27" x14ac:dyDescent="0.2">
      <c r="A12" s="1" t="s">
        <v>51</v>
      </c>
      <c r="D12" s="17"/>
      <c r="E12" s="17"/>
      <c r="F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x14ac:dyDescent="0.2">
      <c r="A13" s="1" t="s">
        <v>52</v>
      </c>
      <c r="B13" s="15">
        <v>1.3994169096209912</v>
      </c>
      <c r="C13" s="15">
        <v>4.935467217346412</v>
      </c>
      <c r="D13" s="17">
        <v>26.526636225266362</v>
      </c>
      <c r="E13" s="17">
        <v>25.562157221206579</v>
      </c>
      <c r="F13" s="17">
        <v>24.687947055284443</v>
      </c>
      <c r="G13" s="15">
        <v>1.4725635548854548</v>
      </c>
      <c r="H13" s="15">
        <v>0.43172246413020199</v>
      </c>
      <c r="I13" s="15">
        <v>0.25250989263331991</v>
      </c>
      <c r="J13" s="15">
        <v>1.1661849710982661</v>
      </c>
      <c r="K13" s="15">
        <v>0.69666877313351994</v>
      </c>
      <c r="L13" s="17">
        <v>36.172695449241544</v>
      </c>
      <c r="M13" s="17">
        <v>72.205882352941174</v>
      </c>
      <c r="N13" s="17">
        <v>18.395904436860068</v>
      </c>
      <c r="O13" s="17">
        <v>45.204678362573098</v>
      </c>
      <c r="P13" s="17">
        <v>15.613207547169811</v>
      </c>
      <c r="Q13" s="17">
        <v>166.12903225806451</v>
      </c>
      <c r="R13" s="17">
        <v>83.76811594202897</v>
      </c>
      <c r="S13" s="17">
        <v>72.857142857142847</v>
      </c>
      <c r="T13" s="17">
        <v>41.148325358851672</v>
      </c>
      <c r="U13" s="17">
        <v>25</v>
      </c>
      <c r="V13" s="17">
        <v>17.903225806451612</v>
      </c>
      <c r="W13" s="17">
        <v>13.995215311004786</v>
      </c>
      <c r="X13" s="17">
        <v>9.2427184466019412</v>
      </c>
      <c r="Y13" s="17">
        <v>7.9749999999999996</v>
      </c>
      <c r="Z13" s="17">
        <v>5.886904761904761</v>
      </c>
      <c r="AA13" s="17">
        <v>22.499999999999996</v>
      </c>
    </row>
    <row r="14" spans="1:27" x14ac:dyDescent="0.2">
      <c r="A14" s="1" t="s">
        <v>53</v>
      </c>
      <c r="B14" s="15">
        <v>1.1133720930232558</v>
      </c>
      <c r="C14" s="15">
        <v>4.8826086956521744</v>
      </c>
      <c r="D14" s="17">
        <v>28.266347687400319</v>
      </c>
      <c r="E14" s="17">
        <v>22.937728937728938</v>
      </c>
      <c r="F14" s="17">
        <v>23.931884241122205</v>
      </c>
      <c r="G14" s="15">
        <v>1.4105843182654425</v>
      </c>
      <c r="H14" s="15">
        <v>0.41009046624913015</v>
      </c>
      <c r="I14" s="15">
        <v>0.25204262060171034</v>
      </c>
      <c r="J14" s="15">
        <v>1.3040847201210286</v>
      </c>
      <c r="K14" s="15">
        <v>0.63762007449519698</v>
      </c>
      <c r="L14" s="17">
        <v>31.629139072847682</v>
      </c>
      <c r="M14" s="17">
        <v>105.88235294117648</v>
      </c>
      <c r="N14" s="17">
        <v>19.111111111111111</v>
      </c>
      <c r="O14" s="17">
        <v>42.34309623430962</v>
      </c>
      <c r="P14" s="17">
        <v>17.3</v>
      </c>
      <c r="Q14" s="17">
        <v>246.97674418604652</v>
      </c>
      <c r="R14" s="17">
        <v>59.090909090909093</v>
      </c>
      <c r="S14" s="17">
        <v>48.666666666666664</v>
      </c>
      <c r="T14" s="17">
        <v>44.535519125683059</v>
      </c>
      <c r="U14" s="17">
        <v>23.621495327102803</v>
      </c>
      <c r="V14" s="17">
        <v>21.111111111111111</v>
      </c>
      <c r="W14" s="17">
        <v>13.493150684931505</v>
      </c>
      <c r="X14" s="17">
        <v>9.5168539325842705</v>
      </c>
      <c r="Y14" s="17">
        <v>7.382716049382716</v>
      </c>
      <c r="Z14" s="17">
        <v>5.5895953757225429</v>
      </c>
      <c r="AA14" s="17">
        <v>21.584158415841582</v>
      </c>
    </row>
    <row r="15" spans="1:27" x14ac:dyDescent="0.2">
      <c r="A15" s="1" t="s">
        <v>54</v>
      </c>
      <c r="B15" s="15">
        <v>1.2614107883817427</v>
      </c>
      <c r="C15" s="15">
        <v>5.7261410788381744</v>
      </c>
      <c r="D15" s="17">
        <v>43.694362017804153</v>
      </c>
      <c r="E15" s="17">
        <v>26.3508064516129</v>
      </c>
      <c r="F15" s="17">
        <v>26.967811317955942</v>
      </c>
      <c r="G15" s="15">
        <v>1.2056966545724652</v>
      </c>
      <c r="H15" s="15">
        <v>0.42334596327601282</v>
      </c>
      <c r="I15" s="15">
        <v>0.25474197235931517</v>
      </c>
      <c r="J15" s="15">
        <v>0.95915985997666275</v>
      </c>
      <c r="K15" s="15">
        <v>0.6797752808988764</v>
      </c>
      <c r="L15" s="17">
        <v>37.017045454545453</v>
      </c>
      <c r="M15" s="17">
        <v>10.879265091863518</v>
      </c>
      <c r="N15" s="17">
        <v>19.864864864864863</v>
      </c>
      <c r="O15" s="17">
        <v>34.830917874396135</v>
      </c>
      <c r="P15" s="17">
        <v>7.2877358490566042</v>
      </c>
      <c r="Q15" s="17">
        <v>28.962264150943398</v>
      </c>
      <c r="R15" s="17">
        <v>18.482142857142858</v>
      </c>
      <c r="S15" s="17">
        <v>62.222222222222214</v>
      </c>
      <c r="T15" s="17">
        <v>30.357142857142854</v>
      </c>
      <c r="U15" s="17">
        <v>22.362637362637361</v>
      </c>
      <c r="V15" s="17">
        <v>19.782608695652176</v>
      </c>
      <c r="W15" s="17">
        <v>13.664921465968588</v>
      </c>
      <c r="X15" s="17">
        <v>13.34375</v>
      </c>
      <c r="Y15" s="17">
        <v>8.8939393939393945</v>
      </c>
      <c r="Z15" s="17">
        <v>6.8027210884353746</v>
      </c>
      <c r="AA15" s="17">
        <v>23.333333333333332</v>
      </c>
    </row>
    <row r="16" spans="1:27" x14ac:dyDescent="0.2">
      <c r="A16" s="3" t="s">
        <v>23</v>
      </c>
      <c r="B16" s="18">
        <v>0.86231884057971009</v>
      </c>
      <c r="C16" s="18">
        <v>8.3582089552238799</v>
      </c>
      <c r="D16" s="19">
        <v>36.765463917525778</v>
      </c>
      <c r="E16" s="19">
        <v>39.583333333333336</v>
      </c>
      <c r="F16" s="19">
        <v>52.181590089383718</v>
      </c>
      <c r="G16" s="18">
        <v>1.1288315029187692</v>
      </c>
      <c r="H16" s="18">
        <v>0.41897030861488954</v>
      </c>
      <c r="I16" s="18">
        <v>0.25019506283513454</v>
      </c>
      <c r="J16" s="18">
        <v>0.96011131725417431</v>
      </c>
      <c r="K16" s="18">
        <v>0.69823657618387169</v>
      </c>
      <c r="L16" s="19">
        <v>28.596491228070175</v>
      </c>
      <c r="M16" s="19">
        <v>45.354691075514872</v>
      </c>
      <c r="N16" s="19">
        <v>28.095890410958905</v>
      </c>
      <c r="O16" s="19">
        <v>46.450304259634883</v>
      </c>
      <c r="P16" s="19">
        <v>16.492146596858639</v>
      </c>
      <c r="Q16" s="19">
        <v>2.6211849192100538</v>
      </c>
      <c r="R16" s="19">
        <v>4.112676056338028</v>
      </c>
      <c r="S16" s="19">
        <v>10.76470588235294</v>
      </c>
      <c r="T16" s="19">
        <v>15.287356321839079</v>
      </c>
      <c r="U16" s="19">
        <v>36.071428571428569</v>
      </c>
      <c r="V16" s="19">
        <v>20.833333333333332</v>
      </c>
      <c r="W16" s="19">
        <v>33.596491228070178</v>
      </c>
      <c r="X16" s="19">
        <v>12.771929824561404</v>
      </c>
      <c r="Y16" s="19">
        <v>19.404145077720205</v>
      </c>
      <c r="Z16" s="19">
        <v>11.811594202898551</v>
      </c>
      <c r="AA16" s="19">
        <v>18.160919540229887</v>
      </c>
    </row>
    <row r="18" spans="1:27" s="27" customFormat="1" ht="15.75" x14ac:dyDescent="0.25">
      <c r="A18" s="28" t="s">
        <v>0</v>
      </c>
      <c r="B18" s="29" t="s">
        <v>84</v>
      </c>
      <c r="C18" s="29" t="s">
        <v>85</v>
      </c>
      <c r="D18" s="29" t="s">
        <v>86</v>
      </c>
      <c r="E18" s="29" t="s">
        <v>87</v>
      </c>
      <c r="F18" s="29" t="s">
        <v>88</v>
      </c>
      <c r="G18" s="29" t="s">
        <v>89</v>
      </c>
      <c r="H18" s="29" t="s">
        <v>90</v>
      </c>
      <c r="I18" s="29" t="s">
        <v>91</v>
      </c>
      <c r="J18" s="29" t="s">
        <v>92</v>
      </c>
      <c r="K18" s="29" t="s">
        <v>93</v>
      </c>
      <c r="L18" s="29" t="s">
        <v>94</v>
      </c>
      <c r="M18" s="29" t="s">
        <v>95</v>
      </c>
      <c r="N18" s="29" t="s">
        <v>96</v>
      </c>
      <c r="O18" s="29" t="s">
        <v>97</v>
      </c>
      <c r="P18" s="29" t="s">
        <v>98</v>
      </c>
      <c r="Q18" s="29" t="s">
        <v>99</v>
      </c>
      <c r="R18" s="29" t="s">
        <v>100</v>
      </c>
      <c r="S18" s="29" t="s">
        <v>101</v>
      </c>
      <c r="T18" s="29" t="s">
        <v>102</v>
      </c>
      <c r="U18" s="29" t="s">
        <v>103</v>
      </c>
      <c r="V18" s="29" t="s">
        <v>104</v>
      </c>
      <c r="W18" s="29" t="s">
        <v>105</v>
      </c>
      <c r="X18" s="29" t="s">
        <v>106</v>
      </c>
      <c r="Y18" s="29" t="s">
        <v>107</v>
      </c>
      <c r="Z18" s="29" t="s">
        <v>108</v>
      </c>
      <c r="AA18" s="29" t="s">
        <v>109</v>
      </c>
    </row>
    <row r="19" spans="1:27" x14ac:dyDescent="0.2">
      <c r="A19" s="14" t="s">
        <v>50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x14ac:dyDescent="0.2">
      <c r="A20" s="1" t="s">
        <v>14</v>
      </c>
      <c r="B20" s="15">
        <v>0.89189189189189177</v>
      </c>
      <c r="C20" s="15">
        <v>0.22743947175348495</v>
      </c>
      <c r="D20" s="15">
        <v>0.20369909693408184</v>
      </c>
      <c r="E20" s="15">
        <v>0.33095188789949609</v>
      </c>
      <c r="F20" s="15">
        <v>0.38426126294891916</v>
      </c>
      <c r="G20" s="15">
        <v>1.663427608363617</v>
      </c>
      <c r="H20" s="15">
        <v>2.9340009103322711</v>
      </c>
      <c r="I20" s="15">
        <v>2.147715363655418</v>
      </c>
      <c r="J20" s="15">
        <v>0.59627329192546585</v>
      </c>
      <c r="K20" s="15">
        <v>4.2177954847277555</v>
      </c>
      <c r="L20" s="15">
        <v>0.79556650246305427</v>
      </c>
      <c r="M20" s="20">
        <v>1.351824087956022E-3</v>
      </c>
      <c r="N20" s="20">
        <v>4.6908533469596322E-2</v>
      </c>
      <c r="O20" s="20">
        <v>3.5021337126600285E-2</v>
      </c>
      <c r="P20" s="21">
        <v>0.23835616438356164</v>
      </c>
      <c r="Q20" s="20">
        <v>4.5773195876288664E-3</v>
      </c>
      <c r="R20" s="20">
        <v>8.9340101522842642E-3</v>
      </c>
      <c r="S20" s="20">
        <v>9.6202531645569623E-3</v>
      </c>
      <c r="T20" s="21">
        <v>1.5634328358208955E-2</v>
      </c>
      <c r="U20" s="21">
        <v>3.0939226519337015E-2</v>
      </c>
      <c r="V20" s="21">
        <v>4.4895287958115176E-2</v>
      </c>
      <c r="W20" s="21">
        <v>6.0964912280701763E-2</v>
      </c>
      <c r="X20" s="21">
        <v>8.7820512820512828E-2</v>
      </c>
      <c r="Y20" s="15">
        <v>0.11342592592592592</v>
      </c>
      <c r="Z20" s="15">
        <v>0.15478547854785479</v>
      </c>
      <c r="AA20" s="21">
        <v>4.1249999999999995E-2</v>
      </c>
    </row>
    <row r="21" spans="1:27" x14ac:dyDescent="0.2">
      <c r="A21" s="1" t="s">
        <v>15</v>
      </c>
      <c r="B21" s="15">
        <v>1.0530612244897959</v>
      </c>
      <c r="C21" s="15">
        <v>0.24282147315855182</v>
      </c>
      <c r="D21" s="15">
        <v>0.2147694588180897</v>
      </c>
      <c r="E21" s="15">
        <v>0.34025526043463267</v>
      </c>
      <c r="F21" s="15">
        <v>0.35099209210973825</v>
      </c>
      <c r="G21" s="15">
        <v>1.762376514315257</v>
      </c>
      <c r="H21" s="15">
        <v>2.8611111111111107</v>
      </c>
      <c r="I21" s="15">
        <v>2.2194147221864124</v>
      </c>
      <c r="J21" s="15">
        <v>0.49827586206896551</v>
      </c>
      <c r="K21" s="15">
        <v>4.333333333333333</v>
      </c>
      <c r="L21" s="15">
        <v>0.72701149425287348</v>
      </c>
      <c r="M21" s="20">
        <v>1.1442026218658522E-3</v>
      </c>
      <c r="N21" s="20">
        <v>4.004929143561306E-2</v>
      </c>
      <c r="O21" s="20">
        <v>3.3970753655793023E-2</v>
      </c>
      <c r="P21" s="21">
        <v>1.5586690017513135E-2</v>
      </c>
      <c r="Q21" s="20">
        <v>2.6741573033707867E-3</v>
      </c>
      <c r="R21" s="20">
        <v>6.7901234567901226E-3</v>
      </c>
      <c r="S21" s="20">
        <v>7.50390015600624E-3</v>
      </c>
      <c r="T21" s="21">
        <v>1.0454545454545454E-2</v>
      </c>
      <c r="U21" s="21">
        <v>2.4334470989761093E-2</v>
      </c>
      <c r="V21" s="21">
        <v>3.5703245749613602E-2</v>
      </c>
      <c r="W21" s="21">
        <v>5.5851063829787238E-2</v>
      </c>
      <c r="X21" s="21">
        <v>7.6014760147601473E-2</v>
      </c>
      <c r="Y21" s="15">
        <v>0.11388888888888887</v>
      </c>
      <c r="Z21" s="15">
        <v>0.1444015444015444</v>
      </c>
      <c r="AA21" s="21">
        <v>4.1786743515850149E-2</v>
      </c>
    </row>
    <row r="22" spans="1:27" x14ac:dyDescent="0.2">
      <c r="A22" s="1" t="s">
        <v>16</v>
      </c>
      <c r="B22" s="15">
        <v>0.40603248259860791</v>
      </c>
      <c r="C22" s="15">
        <v>0.26015680684248038</v>
      </c>
      <c r="D22" s="15">
        <v>0.2481765274941265</v>
      </c>
      <c r="E22" s="15">
        <v>0.36885159197489509</v>
      </c>
      <c r="F22" s="15">
        <v>0.43165093824161915</v>
      </c>
      <c r="G22" s="15">
        <v>1.8623522979253366</v>
      </c>
      <c r="H22" s="15">
        <v>2.8418079096045199</v>
      </c>
      <c r="I22" s="15">
        <v>2.0150903614457829</v>
      </c>
      <c r="J22" s="15">
        <v>0.17921440261865795</v>
      </c>
      <c r="K22" s="15">
        <v>4.5463709677419359</v>
      </c>
      <c r="L22" s="15">
        <v>0.81368821292775673</v>
      </c>
      <c r="M22" s="20">
        <v>8.6158497084862869E-4</v>
      </c>
      <c r="N22" s="20">
        <v>4.4069192751235588E-2</v>
      </c>
      <c r="O22" s="20">
        <v>4.4061302681992341E-2</v>
      </c>
      <c r="P22" s="21">
        <v>2.0944558521560578E-2</v>
      </c>
      <c r="Q22" s="20">
        <v>3.3546325878594254E-3</v>
      </c>
      <c r="R22" s="20">
        <v>7.351598173515982E-3</v>
      </c>
      <c r="S22" s="20">
        <v>8.0361173814898421E-3</v>
      </c>
      <c r="T22" s="21">
        <v>1.1547619047619048E-2</v>
      </c>
      <c r="U22" s="21">
        <v>2.9188034188034191E-2</v>
      </c>
      <c r="V22" s="21">
        <v>4.2592592592592592E-2</v>
      </c>
      <c r="W22" s="21">
        <v>6.0000000000000005E-2</v>
      </c>
      <c r="X22" s="21">
        <v>8.5714285714285701E-2</v>
      </c>
      <c r="Y22" s="15">
        <v>0.12720000000000001</v>
      </c>
      <c r="Z22" s="15">
        <v>0.19638554216867468</v>
      </c>
      <c r="AA22" s="21">
        <v>5.7854406130268196E-2</v>
      </c>
    </row>
    <row r="23" spans="1:27" x14ac:dyDescent="0.2">
      <c r="A23" s="1" t="s">
        <v>17</v>
      </c>
      <c r="B23" s="15">
        <v>0.90322580645161288</v>
      </c>
      <c r="C23" s="15">
        <v>0.30638617580766342</v>
      </c>
      <c r="D23" s="15">
        <v>0.30085708006739437</v>
      </c>
      <c r="E23" s="15">
        <v>0.43822299257696223</v>
      </c>
      <c r="F23" s="15">
        <v>0.4525991348499252</v>
      </c>
      <c r="G23" s="15">
        <v>1.6524163568773234</v>
      </c>
      <c r="H23" s="15">
        <v>2.6578483245149913</v>
      </c>
      <c r="I23" s="15">
        <v>2.0627854765038323</v>
      </c>
      <c r="J23" s="15">
        <v>0.64738510301109342</v>
      </c>
      <c r="K23" s="15">
        <v>4.1262458471760795</v>
      </c>
      <c r="L23" s="15">
        <v>0.99583333333333346</v>
      </c>
      <c r="M23" s="20">
        <v>2.7499999999999997E-2</v>
      </c>
      <c r="N23" s="20">
        <v>6.3364485981308422E-2</v>
      </c>
      <c r="O23" s="20">
        <v>7.2416974169741688E-2</v>
      </c>
      <c r="P23" s="21">
        <v>0.1</v>
      </c>
      <c r="Q23" s="20">
        <v>1.6034985422740521E-2</v>
      </c>
      <c r="R23" s="20">
        <v>1.5977961432506887E-2</v>
      </c>
      <c r="S23" s="20">
        <v>1.441340782122905E-2</v>
      </c>
      <c r="T23" s="21">
        <v>2.0170757737459976E-2</v>
      </c>
      <c r="U23" s="21">
        <v>4.3011363636363639E-2</v>
      </c>
      <c r="V23" s="21">
        <v>5.9466019417475736E-2</v>
      </c>
      <c r="W23" s="21">
        <v>8.5074626865671646E-2</v>
      </c>
      <c r="X23" s="21">
        <v>0.12210526315789473</v>
      </c>
      <c r="Y23" s="15">
        <v>0.156390977443609</v>
      </c>
      <c r="Z23" s="15">
        <v>0.20864864864864865</v>
      </c>
      <c r="AA23" s="21">
        <v>7.2440944881889763E-2</v>
      </c>
    </row>
    <row r="24" spans="1:27" x14ac:dyDescent="0.2">
      <c r="A24" s="1" t="s">
        <v>18</v>
      </c>
      <c r="B24" s="15">
        <v>0.81182795698924715</v>
      </c>
      <c r="C24" s="15">
        <v>0.21649329112015678</v>
      </c>
      <c r="D24" s="15">
        <v>0.20294555199755218</v>
      </c>
      <c r="E24" s="15">
        <v>0.32482088387600205</v>
      </c>
      <c r="F24" s="15">
        <v>0.34785569426024276</v>
      </c>
      <c r="G24" s="15">
        <v>1.7134073809736226</v>
      </c>
      <c r="H24" s="15">
        <v>2.9841926070038909</v>
      </c>
      <c r="I24" s="15">
        <v>2.2288727272727273</v>
      </c>
      <c r="J24" s="15">
        <v>0.48647573587907716</v>
      </c>
      <c r="K24" s="15">
        <v>4.4383116883116882</v>
      </c>
      <c r="L24" s="15">
        <v>0.78908554572271383</v>
      </c>
      <c r="M24" s="20">
        <v>1.1292665214233842E-3</v>
      </c>
      <c r="N24" s="20">
        <v>4.4076361594609773E-2</v>
      </c>
      <c r="O24" s="20">
        <v>3.4526112185686651E-2</v>
      </c>
      <c r="P24" s="21">
        <v>5.3007518796992482E-2</v>
      </c>
      <c r="Q24" s="20">
        <v>3.7985436893203882E-3</v>
      </c>
      <c r="R24" s="20">
        <v>7.4695121951219518E-3</v>
      </c>
      <c r="S24" s="20">
        <v>1.1550151975683889E-2</v>
      </c>
      <c r="T24" s="21">
        <v>1.5833333333333335E-2</v>
      </c>
      <c r="U24" s="21">
        <v>3.2006369426751592E-2</v>
      </c>
      <c r="V24" s="21">
        <v>4.5751138088012136E-2</v>
      </c>
      <c r="W24" s="21">
        <v>5.600961538461538E-2</v>
      </c>
      <c r="X24" s="21">
        <v>8.7062937062937065E-2</v>
      </c>
      <c r="Y24" s="15">
        <v>0.11387434554973823</v>
      </c>
      <c r="Z24" s="15">
        <v>0.15596153846153846</v>
      </c>
      <c r="AA24" s="21">
        <v>3.9395604395604397E-2</v>
      </c>
    </row>
    <row r="25" spans="1:27" x14ac:dyDescent="0.2">
      <c r="A25" s="1" t="s">
        <v>20</v>
      </c>
      <c r="B25" s="15">
        <v>0.54509803921568623</v>
      </c>
      <c r="C25" s="15">
        <v>0.2915311967796872</v>
      </c>
      <c r="D25" s="15">
        <v>0.27624887030178447</v>
      </c>
      <c r="E25" s="15">
        <v>0.41726982644563776</v>
      </c>
      <c r="F25" s="15">
        <v>0.41852943492592054</v>
      </c>
      <c r="G25" s="15">
        <v>1.8456163728303947</v>
      </c>
      <c r="H25" s="15">
        <v>2.8916442048517519</v>
      </c>
      <c r="I25" s="15">
        <v>2.087042372058395</v>
      </c>
      <c r="J25" s="15">
        <v>0.59610389610389614</v>
      </c>
      <c r="K25" s="15">
        <v>4.345890410958904</v>
      </c>
      <c r="L25" s="15">
        <v>0.89795918367346939</v>
      </c>
      <c r="M25" s="20">
        <v>1.2584017923823749E-3</v>
      </c>
      <c r="N25" s="20">
        <v>4.6007984031936129E-2</v>
      </c>
      <c r="O25" s="20">
        <v>4.9273743016759776E-2</v>
      </c>
      <c r="P25" s="21">
        <v>4.5771144278606964E-2</v>
      </c>
      <c r="Q25" s="20">
        <v>5.5762081784386614E-3</v>
      </c>
      <c r="R25" s="20">
        <v>8.6387434554973819E-3</v>
      </c>
      <c r="S25" s="20">
        <v>9.2473118279569888E-3</v>
      </c>
      <c r="T25" s="21">
        <v>1.1724915445321307E-2</v>
      </c>
      <c r="U25" s="21">
        <v>3.1024096385542169E-2</v>
      </c>
      <c r="V25" s="21">
        <v>4.0322580645161289E-2</v>
      </c>
      <c r="W25" s="21">
        <v>6.3333333333333339E-2</v>
      </c>
      <c r="X25" s="21">
        <v>9.6067415730337086E-2</v>
      </c>
      <c r="Y25" s="15">
        <v>0.14032258064516129</v>
      </c>
      <c r="Z25" s="15">
        <v>0.20813953488372094</v>
      </c>
      <c r="AA25" s="21">
        <v>5.503875968992248E-2</v>
      </c>
    </row>
    <row r="26" spans="1:27" x14ac:dyDescent="0.2">
      <c r="A26" s="1" t="s">
        <v>21</v>
      </c>
      <c r="B26" s="15">
        <v>0.84742268041237112</v>
      </c>
      <c r="C26" s="15">
        <v>0.23527502839526204</v>
      </c>
      <c r="D26" s="15">
        <v>0.19427731850432875</v>
      </c>
      <c r="E26" s="15">
        <v>0.32941469844323323</v>
      </c>
      <c r="F26" s="15">
        <v>0.33310841479384307</v>
      </c>
      <c r="G26" s="15">
        <v>1.7180613637364091</v>
      </c>
      <c r="H26" s="15">
        <v>2.9707542329399694</v>
      </c>
      <c r="I26" s="15">
        <v>2.2110941348882167</v>
      </c>
      <c r="J26" s="15">
        <v>0.48622366288492708</v>
      </c>
      <c r="K26" s="15">
        <v>4.386962552011096</v>
      </c>
      <c r="L26" s="15">
        <v>0.71731343283582083</v>
      </c>
      <c r="M26" s="20">
        <v>9.4451182534869627E-4</v>
      </c>
      <c r="N26" s="20">
        <v>4.0440386680988184E-2</v>
      </c>
      <c r="O26" s="20">
        <v>3.2134532134532129E-2</v>
      </c>
      <c r="P26" s="21">
        <v>7.6517150395778347E-2</v>
      </c>
      <c r="Q26" s="20">
        <v>3.2167832167832168E-3</v>
      </c>
      <c r="R26" s="20">
        <v>7.0298769771528994E-3</v>
      </c>
      <c r="S26" s="20">
        <v>1.1002785515320336E-2</v>
      </c>
      <c r="T26" s="21">
        <v>1.3398437499999999E-2</v>
      </c>
      <c r="U26" s="21">
        <v>2.7685714285714286E-2</v>
      </c>
      <c r="V26" s="21">
        <v>3.7866666666666667E-2</v>
      </c>
      <c r="W26" s="21">
        <v>5.3031674208144794E-2</v>
      </c>
      <c r="X26" s="21">
        <v>7.6829268292682926E-2</v>
      </c>
      <c r="Y26" s="15">
        <v>0.10818181818181817</v>
      </c>
      <c r="Z26" s="15">
        <v>0.14228187919463087</v>
      </c>
      <c r="AA26" s="21">
        <v>3.8807429130009778E-2</v>
      </c>
    </row>
    <row r="27" spans="1:27" x14ac:dyDescent="0.2">
      <c r="A27" s="1" t="s">
        <v>22</v>
      </c>
      <c r="B27" s="15">
        <v>0.84068627450980393</v>
      </c>
      <c r="C27" s="15">
        <v>0.23797704002482162</v>
      </c>
      <c r="D27" s="15">
        <v>0.21658681124700543</v>
      </c>
      <c r="E27" s="15">
        <v>0.34601062868298321</v>
      </c>
      <c r="F27" s="15">
        <v>0.34084188480244354</v>
      </c>
      <c r="G27" s="15">
        <v>1.7084255947311646</v>
      </c>
      <c r="H27" s="15">
        <v>2.9436127744510978</v>
      </c>
      <c r="I27" s="15">
        <v>2.181472275921323</v>
      </c>
      <c r="J27" s="15">
        <v>0.52689243027888444</v>
      </c>
      <c r="K27" s="15">
        <v>4.5102339181286553</v>
      </c>
      <c r="L27" s="15">
        <v>0.75298013245033113</v>
      </c>
      <c r="M27" s="20">
        <v>1.2936681222707423E-3</v>
      </c>
      <c r="N27" s="20">
        <v>4.2994241842610366E-2</v>
      </c>
      <c r="O27" s="20">
        <v>3.6390827517447662E-2</v>
      </c>
      <c r="P27" s="21">
        <v>0.35395189003436428</v>
      </c>
      <c r="Q27" s="20">
        <v>4.1576673866090715E-3</v>
      </c>
      <c r="R27" s="20">
        <v>6.3770794824399256E-3</v>
      </c>
      <c r="S27" s="20">
        <v>9.7291666666666655E-3</v>
      </c>
      <c r="T27" s="21">
        <v>1.2925531914893616E-2</v>
      </c>
      <c r="U27" s="21">
        <v>3.0395683453237413E-2</v>
      </c>
      <c r="V27" s="21">
        <v>4.4045676998368678E-2</v>
      </c>
      <c r="W27" s="21">
        <v>6.1475409836065573E-2</v>
      </c>
      <c r="X27" s="21">
        <v>8.4249084249084241E-2</v>
      </c>
      <c r="Y27" s="15">
        <v>0.11451612903225805</v>
      </c>
      <c r="Z27" s="15">
        <v>0.15785440613026819</v>
      </c>
      <c r="AA27" s="21">
        <v>4.5333333333333337E-2</v>
      </c>
    </row>
    <row r="28" spans="1:27" x14ac:dyDescent="0.2">
      <c r="A28" s="1" t="s">
        <v>51</v>
      </c>
      <c r="D28" s="17"/>
      <c r="E28" s="17"/>
      <c r="F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x14ac:dyDescent="0.2">
      <c r="A29" s="3" t="s">
        <v>23</v>
      </c>
      <c r="B29" s="18">
        <v>0.57665198237885462</v>
      </c>
      <c r="C29" s="18">
        <v>0.29649238914626075</v>
      </c>
      <c r="D29" s="18">
        <v>0.46523383993216361</v>
      </c>
      <c r="E29" s="18">
        <v>0.38761666751670321</v>
      </c>
      <c r="F29" s="18">
        <v>0.38555263834786657</v>
      </c>
      <c r="G29" s="18">
        <v>1.6675095001461562</v>
      </c>
      <c r="H29" s="18">
        <v>2.6947318908748823</v>
      </c>
      <c r="I29" s="18">
        <v>2.0197539467688763</v>
      </c>
      <c r="J29" s="18">
        <v>0.3833333333333333</v>
      </c>
      <c r="K29" s="18">
        <v>4.1072261072261078</v>
      </c>
      <c r="L29" s="18">
        <v>0.95531135531135536</v>
      </c>
      <c r="M29" s="22">
        <v>4.5657682561621744E-3</v>
      </c>
      <c r="N29" s="22">
        <v>6.8366666666666673E-2</v>
      </c>
      <c r="O29" s="22">
        <v>6.8768768768768765E-2</v>
      </c>
      <c r="P29" s="23">
        <v>0.1</v>
      </c>
      <c r="Q29" s="22">
        <v>5.9640522875816998E-3</v>
      </c>
      <c r="R29" s="22">
        <v>1.9312169312169312E-2</v>
      </c>
      <c r="S29" s="22">
        <v>2.4400000000000002E-2</v>
      </c>
      <c r="T29" s="23">
        <v>2.8850325379609541E-2</v>
      </c>
      <c r="U29" s="23">
        <v>5.4107142857142854E-2</v>
      </c>
      <c r="V29" s="23">
        <v>6.1475409836065573E-2</v>
      </c>
      <c r="W29" s="23">
        <v>0.10213333333333334</v>
      </c>
      <c r="X29" s="23">
        <v>0.11760904684975768</v>
      </c>
      <c r="Y29" s="18">
        <v>0.17499999999999999</v>
      </c>
      <c r="Z29" s="18">
        <v>0.24622356495468278</v>
      </c>
      <c r="AA29" s="23">
        <v>5.9398496240601506E-2</v>
      </c>
    </row>
    <row r="30" spans="1:27" x14ac:dyDescent="0.2">
      <c r="A30" s="1" t="s">
        <v>57</v>
      </c>
    </row>
    <row r="31" spans="1:27" x14ac:dyDescent="0.2">
      <c r="A31" s="1" t="s">
        <v>111</v>
      </c>
    </row>
    <row r="33" spans="1:13" s="25" customFormat="1" x14ac:dyDescent="0.2">
      <c r="A33" s="12" t="s">
        <v>55</v>
      </c>
      <c r="B33" s="24"/>
      <c r="M33" s="26"/>
    </row>
    <row r="34" spans="1:13" s="27" customFormat="1" x14ac:dyDescent="0.2">
      <c r="A34" s="13" t="s">
        <v>113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S4a Reconstructed WR</vt:lpstr>
      <vt:lpstr>Table S4b Inter-mineral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2023-06-26T10:38:57Z</dcterms:modified>
</cp:coreProperties>
</file>