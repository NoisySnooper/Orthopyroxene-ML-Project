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able S6a This study" sheetId="1" r:id="rId1"/>
    <sheet name="Table S6b Comparison" sheetId="3" r:id="rId2"/>
    <sheet name="Table S6c The literature" sheetId="2" r:id="rId3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28" i="1" l="1"/>
  <c r="BK39" i="3"/>
  <c r="BW39" i="3"/>
  <c r="CU39" i="3"/>
  <c r="BJ39" i="3"/>
  <c r="DU39" i="3"/>
  <c r="BI39" i="3"/>
  <c r="BU39" i="3"/>
  <c r="CG39" i="3"/>
  <c r="BH39" i="3"/>
  <c r="DS39" i="3"/>
  <c r="EE39" i="3"/>
  <c r="BG39" i="3"/>
  <c r="BF39" i="3"/>
  <c r="BE39" i="3"/>
  <c r="BQ39" i="3"/>
  <c r="CO39" i="3"/>
  <c r="BD39" i="3"/>
  <c r="BC39" i="3"/>
  <c r="DN39" i="3"/>
  <c r="DZ39" i="3"/>
  <c r="BB39" i="3"/>
  <c r="BN39" i="3"/>
  <c r="BA39" i="3"/>
  <c r="DL39" i="3"/>
  <c r="AF39" i="3"/>
  <c r="J39" i="3"/>
  <c r="E39" i="3"/>
  <c r="BK38" i="3"/>
  <c r="DV38" i="3"/>
  <c r="EH38" i="3"/>
  <c r="BJ38" i="3"/>
  <c r="DU38" i="3"/>
  <c r="EG38" i="3"/>
  <c r="BI38" i="3"/>
  <c r="BH38" i="3"/>
  <c r="DS38" i="3"/>
  <c r="BG38" i="3"/>
  <c r="BS38" i="3"/>
  <c r="CE38" i="3"/>
  <c r="BF38" i="3"/>
  <c r="BR38" i="3"/>
  <c r="BE38" i="3"/>
  <c r="BQ38" i="3"/>
  <c r="BD38" i="3"/>
  <c r="DO38" i="3"/>
  <c r="BC38" i="3"/>
  <c r="DN38" i="3"/>
  <c r="BB38" i="3"/>
  <c r="DM38" i="3"/>
  <c r="DY38" i="3"/>
  <c r="BA38" i="3"/>
  <c r="BM38" i="3"/>
  <c r="BY38" i="3"/>
  <c r="AF38" i="3"/>
  <c r="J38" i="3"/>
  <c r="E38" i="3"/>
  <c r="BK37" i="3"/>
  <c r="BJ37" i="3"/>
  <c r="BI37" i="3"/>
  <c r="BU37" i="3"/>
  <c r="BH37" i="3"/>
  <c r="DS37" i="3"/>
  <c r="EE37" i="3"/>
  <c r="BG37" i="3"/>
  <c r="BS37" i="3"/>
  <c r="CQ37" i="3"/>
  <c r="BF37" i="3"/>
  <c r="DQ37" i="3"/>
  <c r="EC37" i="3"/>
  <c r="BE37" i="3"/>
  <c r="BD37" i="3"/>
  <c r="BP37" i="3"/>
  <c r="BC37" i="3"/>
  <c r="DN37" i="3"/>
  <c r="DZ37" i="3"/>
  <c r="BB37" i="3"/>
  <c r="DM37" i="3"/>
  <c r="DY37" i="3"/>
  <c r="BA37" i="3"/>
  <c r="BM37" i="3"/>
  <c r="CK37" i="3"/>
  <c r="AF37" i="3"/>
  <c r="J37" i="3"/>
  <c r="E37" i="3"/>
  <c r="AG37" i="3"/>
  <c r="BK36" i="3"/>
  <c r="BW36" i="3"/>
  <c r="CU36" i="3"/>
  <c r="BJ36" i="3"/>
  <c r="DU36" i="3"/>
  <c r="EG36" i="3"/>
  <c r="BI36" i="3"/>
  <c r="BH36" i="3"/>
  <c r="DS36" i="3"/>
  <c r="BG36" i="3"/>
  <c r="DR36" i="3"/>
  <c r="ED36" i="3"/>
  <c r="BF36" i="3"/>
  <c r="BE36" i="3"/>
  <c r="BQ36" i="3"/>
  <c r="CO36" i="3"/>
  <c r="BD36" i="3"/>
  <c r="DO36" i="3"/>
  <c r="BC36" i="3"/>
  <c r="DN36" i="3"/>
  <c r="BB36" i="3"/>
  <c r="BA36" i="3"/>
  <c r="DL36" i="3"/>
  <c r="AF36" i="3"/>
  <c r="J36" i="3"/>
  <c r="E36" i="3"/>
  <c r="BK35" i="3"/>
  <c r="BJ35" i="3"/>
  <c r="DU35" i="3"/>
  <c r="BI35" i="3"/>
  <c r="BU35" i="3"/>
  <c r="CS35" i="3"/>
  <c r="BH35" i="3"/>
  <c r="DS35" i="3"/>
  <c r="BG35" i="3"/>
  <c r="BS35" i="3"/>
  <c r="CE35" i="3"/>
  <c r="BF35" i="3"/>
  <c r="BE35" i="3"/>
  <c r="BD35" i="3"/>
  <c r="BC35" i="3"/>
  <c r="DN35" i="3"/>
  <c r="BB35" i="3"/>
  <c r="DM35" i="3"/>
  <c r="BA35" i="3"/>
  <c r="BM35" i="3"/>
  <c r="BY35" i="3"/>
  <c r="AF35" i="3"/>
  <c r="J35" i="3"/>
  <c r="E35" i="3"/>
  <c r="AG35" i="3"/>
  <c r="BK34" i="3"/>
  <c r="BW34" i="3"/>
  <c r="BJ34" i="3"/>
  <c r="BV34" i="3"/>
  <c r="BI34" i="3"/>
  <c r="BH34" i="3"/>
  <c r="DS34" i="3"/>
  <c r="EE34" i="3"/>
  <c r="BG34" i="3"/>
  <c r="BS34" i="3"/>
  <c r="BF34" i="3"/>
  <c r="BE34" i="3"/>
  <c r="DP34" i="3"/>
  <c r="EB34" i="3"/>
  <c r="BD34" i="3"/>
  <c r="DO34" i="3"/>
  <c r="EA34" i="3"/>
  <c r="BC34" i="3"/>
  <c r="DN34" i="3"/>
  <c r="BB34" i="3"/>
  <c r="DM34" i="3"/>
  <c r="DY34" i="3"/>
  <c r="BA34" i="3"/>
  <c r="DL34" i="3"/>
  <c r="AF34" i="3"/>
  <c r="J34" i="3"/>
  <c r="E34" i="3"/>
  <c r="AG34" i="3"/>
  <c r="BK33" i="3"/>
  <c r="BW33" i="3"/>
  <c r="BJ33" i="3"/>
  <c r="BI33" i="3"/>
  <c r="DT33" i="3"/>
  <c r="BH33" i="3"/>
  <c r="BG33" i="3"/>
  <c r="BF33" i="3"/>
  <c r="DQ33" i="3"/>
  <c r="EC33" i="3"/>
  <c r="BE33" i="3"/>
  <c r="DP33" i="3"/>
  <c r="EB33" i="3"/>
  <c r="BD33" i="3"/>
  <c r="BP33" i="3"/>
  <c r="BC33" i="3"/>
  <c r="DN33" i="3"/>
  <c r="DZ33" i="3"/>
  <c r="BB33" i="3"/>
  <c r="DM33" i="3"/>
  <c r="BA33" i="3"/>
  <c r="AF33" i="3"/>
  <c r="J33" i="3"/>
  <c r="E33" i="3"/>
  <c r="BK32" i="3"/>
  <c r="BJ32" i="3"/>
  <c r="DU32" i="3"/>
  <c r="EG32" i="3"/>
  <c r="BI32" i="3"/>
  <c r="DT32" i="3"/>
  <c r="EF32" i="3"/>
  <c r="BH32" i="3"/>
  <c r="DS32" i="3"/>
  <c r="EE32" i="3"/>
  <c r="BG32" i="3"/>
  <c r="BF32" i="3"/>
  <c r="BE32" i="3"/>
  <c r="BD32" i="3"/>
  <c r="DO32" i="3"/>
  <c r="BC32" i="3"/>
  <c r="DN32" i="3"/>
  <c r="DZ32" i="3"/>
  <c r="BB32" i="3"/>
  <c r="BA32" i="3"/>
  <c r="DL32" i="3"/>
  <c r="DX32" i="3"/>
  <c r="AF32" i="3"/>
  <c r="J32" i="3"/>
  <c r="E32" i="3"/>
  <c r="BK31" i="3"/>
  <c r="BW31" i="3"/>
  <c r="BJ31" i="3"/>
  <c r="BI31" i="3"/>
  <c r="BH31" i="3"/>
  <c r="DS31" i="3"/>
  <c r="EE31" i="3"/>
  <c r="BG31" i="3"/>
  <c r="BF31" i="3"/>
  <c r="DQ31" i="3"/>
  <c r="EC31" i="3"/>
  <c r="BE31" i="3"/>
  <c r="BQ31" i="3"/>
  <c r="CO31" i="3"/>
  <c r="BD31" i="3"/>
  <c r="DO31" i="3"/>
  <c r="BC31" i="3"/>
  <c r="DN31" i="3"/>
  <c r="BB31" i="3"/>
  <c r="BA31" i="3"/>
  <c r="AF31" i="3"/>
  <c r="J31" i="3"/>
  <c r="E31" i="3"/>
  <c r="BK30" i="3"/>
  <c r="BW30" i="3"/>
  <c r="CU30" i="3"/>
  <c r="BJ30" i="3"/>
  <c r="DU30" i="3"/>
  <c r="EG30" i="3"/>
  <c r="BI30" i="3"/>
  <c r="BH30" i="3"/>
  <c r="BG30" i="3"/>
  <c r="BF30" i="3"/>
  <c r="DQ30" i="3"/>
  <c r="BE30" i="3"/>
  <c r="BQ30" i="3"/>
  <c r="CO30" i="3"/>
  <c r="BD30" i="3"/>
  <c r="BP30" i="3"/>
  <c r="CB30" i="3"/>
  <c r="BC30" i="3"/>
  <c r="DN30" i="3"/>
  <c r="BB30" i="3"/>
  <c r="DM30" i="3"/>
  <c r="BA30" i="3"/>
  <c r="BM30" i="3"/>
  <c r="CK30" i="3"/>
  <c r="AF30" i="3"/>
  <c r="J30" i="3"/>
  <c r="E30" i="3"/>
  <c r="BK29" i="3"/>
  <c r="BJ29" i="3"/>
  <c r="DU29" i="3"/>
  <c r="EG29" i="3"/>
  <c r="BI29" i="3"/>
  <c r="BU29" i="3"/>
  <c r="CS29" i="3"/>
  <c r="BH29" i="3"/>
  <c r="DS29" i="3"/>
  <c r="EE29" i="3"/>
  <c r="BG29" i="3"/>
  <c r="BS29" i="3"/>
  <c r="CQ29" i="3"/>
  <c r="BF29" i="3"/>
  <c r="BE29" i="3"/>
  <c r="BD29" i="3"/>
  <c r="DO29" i="3"/>
  <c r="EA29" i="3"/>
  <c r="BC29" i="3"/>
  <c r="DN29" i="3"/>
  <c r="DZ29" i="3"/>
  <c r="BB29" i="3"/>
  <c r="DM29" i="3"/>
  <c r="DY29" i="3"/>
  <c r="BA29" i="3"/>
  <c r="DL29" i="3"/>
  <c r="AF29" i="3"/>
  <c r="J29" i="3"/>
  <c r="BT29" i="3"/>
  <c r="E29" i="3"/>
  <c r="BK28" i="3"/>
  <c r="BW28" i="3"/>
  <c r="BJ28" i="3"/>
  <c r="DU28" i="3"/>
  <c r="EG28" i="3"/>
  <c r="BI28" i="3"/>
  <c r="DT28" i="3"/>
  <c r="EF28" i="3"/>
  <c r="BH28" i="3"/>
  <c r="DS28" i="3"/>
  <c r="BG28" i="3"/>
  <c r="BF28" i="3"/>
  <c r="BR28" i="3"/>
  <c r="CD28" i="3"/>
  <c r="BE28" i="3"/>
  <c r="BQ28" i="3"/>
  <c r="BD28" i="3"/>
  <c r="DO28" i="3"/>
  <c r="BC28" i="3"/>
  <c r="DN28" i="3"/>
  <c r="DZ28" i="3"/>
  <c r="BB28" i="3"/>
  <c r="BN28" i="3"/>
  <c r="CL28" i="3"/>
  <c r="BA28" i="3"/>
  <c r="DL28" i="3"/>
  <c r="DX28" i="3"/>
  <c r="AF28" i="3"/>
  <c r="J28" i="3"/>
  <c r="E28" i="3"/>
  <c r="BK25" i="3"/>
  <c r="DV25" i="3"/>
  <c r="EH25" i="3"/>
  <c r="BJ25" i="3"/>
  <c r="BI25" i="3"/>
  <c r="DT25" i="3"/>
  <c r="EF25" i="3"/>
  <c r="BH25" i="3"/>
  <c r="DS25" i="3"/>
  <c r="EE25" i="3"/>
  <c r="BG25" i="3"/>
  <c r="DR25" i="3"/>
  <c r="BF25" i="3"/>
  <c r="BE25" i="3"/>
  <c r="BD25" i="3"/>
  <c r="BP25" i="3"/>
  <c r="CN25" i="3"/>
  <c r="BC25" i="3"/>
  <c r="DN25" i="3"/>
  <c r="DZ25" i="3"/>
  <c r="BB25" i="3"/>
  <c r="DM25" i="3"/>
  <c r="DY25" i="3"/>
  <c r="BA25" i="3"/>
  <c r="DL25" i="3"/>
  <c r="DX25" i="3"/>
  <c r="AF25" i="3"/>
  <c r="J25" i="3"/>
  <c r="E25" i="3"/>
  <c r="BO25" i="3"/>
  <c r="BK24" i="3"/>
  <c r="DV24" i="3"/>
  <c r="EH24" i="3"/>
  <c r="BJ24" i="3"/>
  <c r="BV24" i="3"/>
  <c r="BI24" i="3"/>
  <c r="DT24" i="3"/>
  <c r="EF24" i="3"/>
  <c r="BH24" i="3"/>
  <c r="DS24" i="3"/>
  <c r="BG24" i="3"/>
  <c r="DR24" i="3"/>
  <c r="ED24" i="3"/>
  <c r="BF24" i="3"/>
  <c r="BR24" i="3"/>
  <c r="CP24" i="3"/>
  <c r="BE24" i="3"/>
  <c r="DP24" i="3"/>
  <c r="BD24" i="3"/>
  <c r="BC24" i="3"/>
  <c r="DN24" i="3"/>
  <c r="DZ24" i="3"/>
  <c r="BB24" i="3"/>
  <c r="BN24" i="3"/>
  <c r="CL24" i="3"/>
  <c r="BA24" i="3"/>
  <c r="DL24" i="3"/>
  <c r="DX24" i="3"/>
  <c r="AF24" i="3"/>
  <c r="J24" i="3"/>
  <c r="E24" i="3"/>
  <c r="BK23" i="3"/>
  <c r="BW23" i="3"/>
  <c r="CU23" i="3"/>
  <c r="BJ23" i="3"/>
  <c r="BI23" i="3"/>
  <c r="BH23" i="3"/>
  <c r="DS23" i="3"/>
  <c r="BG23" i="3"/>
  <c r="DR23" i="3"/>
  <c r="BF23" i="3"/>
  <c r="BR23" i="3"/>
  <c r="CP23" i="3"/>
  <c r="BE23" i="3"/>
  <c r="BQ23" i="3"/>
  <c r="BD23" i="3"/>
  <c r="BC23" i="3"/>
  <c r="DN23" i="3"/>
  <c r="DZ23" i="3"/>
  <c r="BB23" i="3"/>
  <c r="BN23" i="3"/>
  <c r="CL23" i="3"/>
  <c r="BA23" i="3"/>
  <c r="DL23" i="3"/>
  <c r="DX23" i="3"/>
  <c r="AF23" i="3"/>
  <c r="J23" i="3"/>
  <c r="E23" i="3"/>
  <c r="BK22" i="3"/>
  <c r="DV22" i="3"/>
  <c r="EH22" i="3"/>
  <c r="BJ22" i="3"/>
  <c r="BI22" i="3"/>
  <c r="BU22" i="3"/>
  <c r="BH22" i="3"/>
  <c r="DS22" i="3"/>
  <c r="EE22" i="3"/>
  <c r="BG22" i="3"/>
  <c r="DR22" i="3"/>
  <c r="BF22" i="3"/>
  <c r="BE22" i="3"/>
  <c r="BD22" i="3"/>
  <c r="BP22" i="3"/>
  <c r="CN22" i="3"/>
  <c r="BC22" i="3"/>
  <c r="DN22" i="3"/>
  <c r="BB22" i="3"/>
  <c r="DM22" i="3"/>
  <c r="DY22" i="3"/>
  <c r="BA22" i="3"/>
  <c r="DL22" i="3"/>
  <c r="DX22" i="3"/>
  <c r="AF22" i="3"/>
  <c r="J22" i="3"/>
  <c r="E22" i="3"/>
  <c r="BK21" i="3"/>
  <c r="DV21" i="3"/>
  <c r="EH21" i="3"/>
  <c r="BJ21" i="3"/>
  <c r="BV21" i="3"/>
  <c r="CT21" i="3"/>
  <c r="BI21" i="3"/>
  <c r="DT21" i="3"/>
  <c r="EF21" i="3"/>
  <c r="BH21" i="3"/>
  <c r="DS21" i="3"/>
  <c r="BG21" i="3"/>
  <c r="DR21" i="3"/>
  <c r="ED21" i="3"/>
  <c r="BF21" i="3"/>
  <c r="BR21" i="3"/>
  <c r="CP21" i="3"/>
  <c r="BE21" i="3"/>
  <c r="DP21" i="3"/>
  <c r="BD21" i="3"/>
  <c r="BC21" i="3"/>
  <c r="DN21" i="3"/>
  <c r="DZ21" i="3"/>
  <c r="BB21" i="3"/>
  <c r="BN21" i="3"/>
  <c r="CL21" i="3"/>
  <c r="BA21" i="3"/>
  <c r="BM21" i="3"/>
  <c r="BY21" i="3"/>
  <c r="AF21" i="3"/>
  <c r="J21" i="3"/>
  <c r="E21" i="3"/>
  <c r="BK20" i="3"/>
  <c r="BW20" i="3"/>
  <c r="BJ20" i="3"/>
  <c r="DU20" i="3"/>
  <c r="BI20" i="3"/>
  <c r="BH20" i="3"/>
  <c r="DS20" i="3"/>
  <c r="BG20" i="3"/>
  <c r="DR20" i="3"/>
  <c r="BF20" i="3"/>
  <c r="BR20" i="3"/>
  <c r="CP20" i="3"/>
  <c r="BE20" i="3"/>
  <c r="DP20" i="3"/>
  <c r="EB20" i="3"/>
  <c r="BD20" i="3"/>
  <c r="DO20" i="3"/>
  <c r="BC20" i="3"/>
  <c r="DN20" i="3"/>
  <c r="BB20" i="3"/>
  <c r="BN20" i="3"/>
  <c r="BA20" i="3"/>
  <c r="DL20" i="3"/>
  <c r="DX20" i="3"/>
  <c r="AF20" i="3"/>
  <c r="J20" i="3"/>
  <c r="E20" i="3"/>
  <c r="AG20" i="3"/>
  <c r="BK19" i="3"/>
  <c r="DV19" i="3"/>
  <c r="BJ19" i="3"/>
  <c r="DU19" i="3"/>
  <c r="EG19" i="3"/>
  <c r="BI19" i="3"/>
  <c r="BU19" i="3"/>
  <c r="CS19" i="3"/>
  <c r="BH19" i="3"/>
  <c r="DS19" i="3"/>
  <c r="EE19" i="3"/>
  <c r="BG19" i="3"/>
  <c r="BS19" i="3"/>
  <c r="BF19" i="3"/>
  <c r="BR19" i="3"/>
  <c r="CP19" i="3"/>
  <c r="BE19" i="3"/>
  <c r="BQ19" i="3"/>
  <c r="BD19" i="3"/>
  <c r="DO19" i="3"/>
  <c r="BC19" i="3"/>
  <c r="DN19" i="3"/>
  <c r="BB19" i="3"/>
  <c r="BA19" i="3"/>
  <c r="BM19" i="3"/>
  <c r="CK19" i="3"/>
  <c r="AF19" i="3"/>
  <c r="J19" i="3"/>
  <c r="E19" i="3"/>
  <c r="BK18" i="3"/>
  <c r="DV18" i="3"/>
  <c r="BJ18" i="3"/>
  <c r="BV18" i="3"/>
  <c r="CH18" i="3"/>
  <c r="BI18" i="3"/>
  <c r="DT18" i="3"/>
  <c r="BH18" i="3"/>
  <c r="DS18" i="3"/>
  <c r="BG18" i="3"/>
  <c r="BF18" i="3"/>
  <c r="BR18" i="3"/>
  <c r="BE18" i="3"/>
  <c r="DP18" i="3"/>
  <c r="BD18" i="3"/>
  <c r="BP18" i="3"/>
  <c r="CB18" i="3"/>
  <c r="BC18" i="3"/>
  <c r="DN18" i="3"/>
  <c r="DZ18" i="3"/>
  <c r="BB18" i="3"/>
  <c r="BA18" i="3"/>
  <c r="AF18" i="3"/>
  <c r="J18" i="3"/>
  <c r="E18" i="3"/>
  <c r="BK17" i="3"/>
  <c r="BJ17" i="3"/>
  <c r="BV17" i="3"/>
  <c r="BI17" i="3"/>
  <c r="DT17" i="3"/>
  <c r="BH17" i="3"/>
  <c r="DS17" i="3"/>
  <c r="BG17" i="3"/>
  <c r="DR17" i="3"/>
  <c r="ED17" i="3"/>
  <c r="BF17" i="3"/>
  <c r="DQ17" i="3"/>
  <c r="BE17" i="3"/>
  <c r="BD17" i="3"/>
  <c r="BC17" i="3"/>
  <c r="DN17" i="3"/>
  <c r="BB17" i="3"/>
  <c r="BN17" i="3"/>
  <c r="BZ17" i="3"/>
  <c r="BA17" i="3"/>
  <c r="DL17" i="3"/>
  <c r="DX17" i="3"/>
  <c r="AF17" i="3"/>
  <c r="J17" i="3"/>
  <c r="E17" i="3"/>
  <c r="BK16" i="3"/>
  <c r="DV16" i="3"/>
  <c r="EH16" i="3"/>
  <c r="BJ16" i="3"/>
  <c r="DU16" i="3"/>
  <c r="BI16" i="3"/>
  <c r="BH16" i="3"/>
  <c r="DS16" i="3"/>
  <c r="BG16" i="3"/>
  <c r="BF16" i="3"/>
  <c r="BE16" i="3"/>
  <c r="DP16" i="3"/>
  <c r="EB16" i="3"/>
  <c r="BD16" i="3"/>
  <c r="DO16" i="3"/>
  <c r="BC16" i="3"/>
  <c r="DN16" i="3"/>
  <c r="DZ16" i="3"/>
  <c r="BB16" i="3"/>
  <c r="BN16" i="3"/>
  <c r="CL16" i="3"/>
  <c r="BA16" i="3"/>
  <c r="DL16" i="3"/>
  <c r="AF16" i="3"/>
  <c r="J16" i="3"/>
  <c r="E16" i="3"/>
  <c r="BO16" i="3"/>
  <c r="CA16" i="3"/>
  <c r="BK15" i="3"/>
  <c r="DV15" i="3"/>
  <c r="BJ15" i="3"/>
  <c r="BV15" i="3"/>
  <c r="CH15" i="3"/>
  <c r="BI15" i="3"/>
  <c r="DT15" i="3"/>
  <c r="EF15" i="3"/>
  <c r="BH15" i="3"/>
  <c r="DS15" i="3"/>
  <c r="BG15" i="3"/>
  <c r="BF15" i="3"/>
  <c r="BR15" i="3"/>
  <c r="CP15" i="3"/>
  <c r="BE15" i="3"/>
  <c r="DP15" i="3"/>
  <c r="BD15" i="3"/>
  <c r="BP15" i="3"/>
  <c r="CB15" i="3"/>
  <c r="BC15" i="3"/>
  <c r="DN15" i="3"/>
  <c r="DZ15" i="3"/>
  <c r="BB15" i="3"/>
  <c r="DM15" i="3"/>
  <c r="BA15" i="3"/>
  <c r="AF15" i="3"/>
  <c r="J15" i="3"/>
  <c r="E15" i="3"/>
  <c r="BO15" i="3"/>
  <c r="CM15" i="3"/>
  <c r="BK14" i="3"/>
  <c r="BJ14" i="3"/>
  <c r="BV14" i="3"/>
  <c r="CT14" i="3"/>
  <c r="BI14" i="3"/>
  <c r="DT14" i="3"/>
  <c r="BH14" i="3"/>
  <c r="DS14" i="3"/>
  <c r="BG14" i="3"/>
  <c r="DR14" i="3"/>
  <c r="ED14" i="3"/>
  <c r="BF14" i="3"/>
  <c r="DQ14" i="3"/>
  <c r="BE14" i="3"/>
  <c r="BD14" i="3"/>
  <c r="BC14" i="3"/>
  <c r="DN14" i="3"/>
  <c r="DZ14" i="3"/>
  <c r="BB14" i="3"/>
  <c r="BN14" i="3"/>
  <c r="BZ14" i="3"/>
  <c r="BA14" i="3"/>
  <c r="BM14" i="3"/>
  <c r="CK14" i="3"/>
  <c r="AF14" i="3"/>
  <c r="J14" i="3"/>
  <c r="E14" i="3"/>
  <c r="AG14" i="3"/>
  <c r="BO33" i="3"/>
  <c r="CS39" i="3"/>
  <c r="BV29" i="3"/>
  <c r="BU25" i="3"/>
  <c r="DR35" i="3"/>
  <c r="BT17" i="3"/>
  <c r="CF17" i="3"/>
  <c r="BT38" i="3"/>
  <c r="BQ33" i="3"/>
  <c r="CC33" i="3"/>
  <c r="BU17" i="3"/>
  <c r="CG17" i="3"/>
  <c r="BV19" i="3"/>
  <c r="CH19" i="3"/>
  <c r="BO22" i="3"/>
  <c r="CM22" i="3"/>
  <c r="BO28" i="3"/>
  <c r="CA28" i="3"/>
  <c r="BT32" i="3"/>
  <c r="CR32" i="3"/>
  <c r="DP38" i="3"/>
  <c r="EB38" i="3"/>
  <c r="DP31" i="3"/>
  <c r="DL14" i="3"/>
  <c r="DX14" i="3"/>
  <c r="DT22" i="3"/>
  <c r="EF22" i="3"/>
  <c r="BU24" i="3"/>
  <c r="CP28" i="3"/>
  <c r="DP30" i="3"/>
  <c r="EB30" i="3"/>
  <c r="BP32" i="3"/>
  <c r="CN32" i="3"/>
  <c r="BT37" i="3"/>
  <c r="CF37" i="3"/>
  <c r="BW15" i="3"/>
  <c r="CI15" i="3"/>
  <c r="CI23" i="3"/>
  <c r="AG16" i="3"/>
  <c r="AH16" i="3"/>
  <c r="BP16" i="3"/>
  <c r="CB16" i="3"/>
  <c r="BW18" i="3"/>
  <c r="CI18" i="3"/>
  <c r="BQ20" i="3"/>
  <c r="CO20" i="3"/>
  <c r="DT37" i="3"/>
  <c r="CA22" i="3"/>
  <c r="CF38" i="3"/>
  <c r="CR38" i="3"/>
  <c r="DM39" i="3"/>
  <c r="DY39" i="3"/>
  <c r="BQ16" i="3"/>
  <c r="DU17" i="3"/>
  <c r="EG17" i="3"/>
  <c r="DQ18" i="3"/>
  <c r="EC18" i="3"/>
  <c r="DP19" i="3"/>
  <c r="EB19" i="3"/>
  <c r="BS20" i="3"/>
  <c r="CE20" i="3"/>
  <c r="DP23" i="3"/>
  <c r="EB23" i="3"/>
  <c r="BW25" i="3"/>
  <c r="CI25" i="3"/>
  <c r="AG28" i="3"/>
  <c r="AH28" i="3"/>
  <c r="BM28" i="3"/>
  <c r="DP28" i="3"/>
  <c r="EB28" i="3"/>
  <c r="DV31" i="3"/>
  <c r="CB32" i="3"/>
  <c r="BR33" i="3"/>
  <c r="CD33" i="3"/>
  <c r="BM34" i="3"/>
  <c r="BN37" i="3"/>
  <c r="BZ37" i="3"/>
  <c r="DQ38" i="3"/>
  <c r="EC38" i="3"/>
  <c r="DQ15" i="3"/>
  <c r="EC15" i="3"/>
  <c r="DQ19" i="3"/>
  <c r="EC19" i="3"/>
  <c r="CD20" i="3"/>
  <c r="BS21" i="3"/>
  <c r="CQ21" i="3"/>
  <c r="AG22" i="3"/>
  <c r="AH22" i="3"/>
  <c r="BM22" i="3"/>
  <c r="BY22" i="3"/>
  <c r="DV28" i="3"/>
  <c r="EH28" i="3"/>
  <c r="DR29" i="3"/>
  <c r="ED29" i="3"/>
  <c r="BV30" i="3"/>
  <c r="CH30" i="3"/>
  <c r="DO33" i="3"/>
  <c r="BN34" i="3"/>
  <c r="CL34" i="3"/>
  <c r="BP36" i="3"/>
  <c r="CB36" i="3"/>
  <c r="BT14" i="3"/>
  <c r="CF14" i="3"/>
  <c r="DM20" i="3"/>
  <c r="DY20" i="3"/>
  <c r="BU21" i="3"/>
  <c r="CG21" i="3"/>
  <c r="BP28" i="3"/>
  <c r="CN28" i="3"/>
  <c r="BY30" i="3"/>
  <c r="DV33" i="3"/>
  <c r="EH33" i="3"/>
  <c r="BQ34" i="3"/>
  <c r="BN35" i="3"/>
  <c r="CL35" i="3"/>
  <c r="BV36" i="3"/>
  <c r="CH36" i="3"/>
  <c r="DO37" i="3"/>
  <c r="EA37" i="3"/>
  <c r="BT39" i="3"/>
  <c r="AH14" i="3"/>
  <c r="BQ15" i="3"/>
  <c r="CO15" i="3"/>
  <c r="BQ18" i="3"/>
  <c r="CC18" i="3"/>
  <c r="BP19" i="3"/>
  <c r="CB19" i="3"/>
  <c r="DL21" i="3"/>
  <c r="DX21" i="3"/>
  <c r="BS23" i="3"/>
  <c r="CE23" i="3"/>
  <c r="BV28" i="3"/>
  <c r="CT28" i="3"/>
  <c r="CC30" i="3"/>
  <c r="BR31" i="3"/>
  <c r="CK35" i="3"/>
  <c r="DP36" i="3"/>
  <c r="EB36" i="3"/>
  <c r="DR37" i="3"/>
  <c r="ED37" i="3"/>
  <c r="BM39" i="3"/>
  <c r="CK39" i="3"/>
  <c r="CL14" i="3"/>
  <c r="BU15" i="3"/>
  <c r="BU18" i="3"/>
  <c r="CS18" i="3"/>
  <c r="DQ20" i="3"/>
  <c r="EC20" i="3"/>
  <c r="CD23" i="3"/>
  <c r="BS24" i="3"/>
  <c r="CQ24" i="3"/>
  <c r="AG25" i="3"/>
  <c r="AH25" i="3"/>
  <c r="BM25" i="3"/>
  <c r="BY25" i="3"/>
  <c r="BM29" i="3"/>
  <c r="CK29" i="3"/>
  <c r="DO30" i="3"/>
  <c r="EA30" i="3"/>
  <c r="CC31" i="3"/>
  <c r="BM32" i="3"/>
  <c r="CK32" i="3"/>
  <c r="BZ35" i="3"/>
  <c r="CO38" i="3"/>
  <c r="CC38" i="3"/>
  <c r="DO39" i="3"/>
  <c r="EA39" i="3"/>
  <c r="BP39" i="3"/>
  <c r="CU20" i="3"/>
  <c r="CI20" i="3"/>
  <c r="CM25" i="3"/>
  <c r="CA25" i="3"/>
  <c r="BN36" i="3"/>
  <c r="DM36" i="3"/>
  <c r="CC15" i="3"/>
  <c r="CO28" i="3"/>
  <c r="CC28" i="3"/>
  <c r="BU30" i="3"/>
  <c r="CS30" i="3"/>
  <c r="DT30" i="3"/>
  <c r="EF30" i="3"/>
  <c r="CU34" i="3"/>
  <c r="CI34" i="3"/>
  <c r="BO18" i="3"/>
  <c r="AG18" i="3"/>
  <c r="AH18" i="3"/>
  <c r="BO21" i="3"/>
  <c r="CA21" i="3"/>
  <c r="AG21" i="3"/>
  <c r="AH21" i="3"/>
  <c r="BO23" i="3"/>
  <c r="AG23" i="3"/>
  <c r="AH23" i="3"/>
  <c r="DO23" i="3"/>
  <c r="EA23" i="3"/>
  <c r="BP23" i="3"/>
  <c r="CB23" i="3"/>
  <c r="DU23" i="3"/>
  <c r="EG23" i="3"/>
  <c r="BV23" i="3"/>
  <c r="CT23" i="3"/>
  <c r="DP25" i="3"/>
  <c r="EB25" i="3"/>
  <c r="BQ25" i="3"/>
  <c r="CE29" i="3"/>
  <c r="DQ34" i="3"/>
  <c r="EC34" i="3"/>
  <c r="BR34" i="3"/>
  <c r="CN37" i="3"/>
  <c r="CB37" i="3"/>
  <c r="DU37" i="3"/>
  <c r="EG37" i="3"/>
  <c r="BV37" i="3"/>
  <c r="CT37" i="3"/>
  <c r="BV39" i="3"/>
  <c r="DP29" i="3"/>
  <c r="EB29" i="3"/>
  <c r="BQ29" i="3"/>
  <c r="CO29" i="3"/>
  <c r="BS32" i="3"/>
  <c r="DR32" i="3"/>
  <c r="ED32" i="3"/>
  <c r="DQ35" i="3"/>
  <c r="EC35" i="3"/>
  <c r="BR35" i="3"/>
  <c r="CK21" i="3"/>
  <c r="CU28" i="3"/>
  <c r="CI28" i="3"/>
  <c r="CR39" i="3"/>
  <c r="CF39" i="3"/>
  <c r="DT23" i="3"/>
  <c r="EF23" i="3"/>
  <c r="BU23" i="3"/>
  <c r="CG24" i="3"/>
  <c r="CS24" i="3"/>
  <c r="CH29" i="3"/>
  <c r="CT29" i="3"/>
  <c r="CS15" i="3"/>
  <c r="CG15" i="3"/>
  <c r="BP14" i="3"/>
  <c r="CN14" i="3"/>
  <c r="DO14" i="3"/>
  <c r="EA14" i="3"/>
  <c r="DU14" i="3"/>
  <c r="EG14" i="3"/>
  <c r="BM16" i="3"/>
  <c r="BY16" i="3"/>
  <c r="BP17" i="3"/>
  <c r="DO17" i="3"/>
  <c r="EA17" i="3"/>
  <c r="CL20" i="3"/>
  <c r="BZ20" i="3"/>
  <c r="CC20" i="3"/>
  <c r="DR28" i="3"/>
  <c r="ED28" i="3"/>
  <c r="BS28" i="3"/>
  <c r="CE28" i="3"/>
  <c r="CM28" i="3"/>
  <c r="BT31" i="3"/>
  <c r="CF31" i="3"/>
  <c r="CE34" i="3"/>
  <c r="CQ34" i="3"/>
  <c r="DM18" i="3"/>
  <c r="BN18" i="3"/>
  <c r="CE19" i="3"/>
  <c r="CQ19" i="3"/>
  <c r="DM19" i="3"/>
  <c r="DY19" i="3"/>
  <c r="BN19" i="3"/>
  <c r="BZ19" i="3"/>
  <c r="DP22" i="3"/>
  <c r="EB22" i="3"/>
  <c r="BQ22" i="3"/>
  <c r="CC22" i="3"/>
  <c r="DR16" i="3"/>
  <c r="ED16" i="3"/>
  <c r="BS16" i="3"/>
  <c r="CQ16" i="3"/>
  <c r="DT20" i="3"/>
  <c r="EF20" i="3"/>
  <c r="BU20" i="3"/>
  <c r="CG20" i="3"/>
  <c r="BW22" i="3"/>
  <c r="CC23" i="3"/>
  <c r="CO23" i="3"/>
  <c r="BO24" i="3"/>
  <c r="AG24" i="3"/>
  <c r="AH24" i="3"/>
  <c r="CT24" i="3"/>
  <c r="CH24" i="3"/>
  <c r="DM31" i="3"/>
  <c r="DY31" i="3"/>
  <c r="BN31" i="3"/>
  <c r="DQ32" i="3"/>
  <c r="EC32" i="3"/>
  <c r="BR32" i="3"/>
  <c r="CP32" i="3"/>
  <c r="CC39" i="3"/>
  <c r="DV23" i="3"/>
  <c r="EH23" i="3"/>
  <c r="BW24" i="3"/>
  <c r="CI24" i="3"/>
  <c r="BU33" i="3"/>
  <c r="CS33" i="3"/>
  <c r="BT35" i="3"/>
  <c r="AH37" i="3"/>
  <c r="BW38" i="3"/>
  <c r="CI38" i="3"/>
  <c r="DP39" i="3"/>
  <c r="DM16" i="3"/>
  <c r="DY16" i="3"/>
  <c r="BT18" i="3"/>
  <c r="CF18" i="3"/>
  <c r="DT19" i="3"/>
  <c r="EF19" i="3"/>
  <c r="BS14" i="3"/>
  <c r="DM14" i="3"/>
  <c r="DY14" i="3"/>
  <c r="BT15" i="3"/>
  <c r="CR15" i="3"/>
  <c r="BM17" i="3"/>
  <c r="BW19" i="3"/>
  <c r="CU19" i="3"/>
  <c r="BV20" i="3"/>
  <c r="CT20" i="3"/>
  <c r="DV20" i="3"/>
  <c r="EH20" i="3"/>
  <c r="DM21" i="3"/>
  <c r="BM23" i="3"/>
  <c r="BY23" i="3"/>
  <c r="BM24" i="3"/>
  <c r="CK25" i="3"/>
  <c r="BN29" i="3"/>
  <c r="CI30" i="3"/>
  <c r="DR34" i="3"/>
  <c r="BV35" i="3"/>
  <c r="CT35" i="3"/>
  <c r="CQ35" i="3"/>
  <c r="BT36" i="3"/>
  <c r="CC36" i="3"/>
  <c r="CE37" i="3"/>
  <c r="BN38" i="3"/>
  <c r="BZ38" i="3"/>
  <c r="BW21" i="3"/>
  <c r="CI21" i="3"/>
  <c r="BU14" i="3"/>
  <c r="CG14" i="3"/>
  <c r="BT16" i="3"/>
  <c r="CR16" i="3"/>
  <c r="BV16" i="3"/>
  <c r="CH16" i="3"/>
  <c r="BR17" i="3"/>
  <c r="CD17" i="3"/>
  <c r="BT19" i="3"/>
  <c r="CR19" i="3"/>
  <c r="CG19" i="3"/>
  <c r="BM20" i="3"/>
  <c r="BY20" i="3"/>
  <c r="BZ21" i="3"/>
  <c r="DQ21" i="3"/>
  <c r="EC21" i="3"/>
  <c r="BS22" i="3"/>
  <c r="CE22" i="3"/>
  <c r="CD24" i="3"/>
  <c r="DQ24" i="3"/>
  <c r="EC24" i="3"/>
  <c r="BU32" i="3"/>
  <c r="BT34" i="3"/>
  <c r="CF34" i="3"/>
  <c r="DV34" i="3"/>
  <c r="EH34" i="3"/>
  <c r="BM36" i="3"/>
  <c r="CK36" i="3"/>
  <c r="DV36" i="3"/>
  <c r="EH36" i="3"/>
  <c r="BR37" i="3"/>
  <c r="CD37" i="3"/>
  <c r="CL37" i="3"/>
  <c r="BP38" i="3"/>
  <c r="CB38" i="3"/>
  <c r="CK38" i="3"/>
  <c r="DT39" i="3"/>
  <c r="EF39" i="3"/>
  <c r="BZ34" i="3"/>
  <c r="BT20" i="3"/>
  <c r="CR20" i="3"/>
  <c r="AG15" i="3"/>
  <c r="AH15" i="3"/>
  <c r="CT15" i="3"/>
  <c r="BW16" i="3"/>
  <c r="BS17" i="3"/>
  <c r="CT18" i="3"/>
  <c r="BP20" i="3"/>
  <c r="CN20" i="3"/>
  <c r="BQ21" i="3"/>
  <c r="CC21" i="3"/>
  <c r="CD21" i="3"/>
  <c r="DM23" i="3"/>
  <c r="DY23" i="3"/>
  <c r="BQ24" i="3"/>
  <c r="CC24" i="3"/>
  <c r="BS25" i="3"/>
  <c r="CQ25" i="3"/>
  <c r="BU28" i="3"/>
  <c r="CG28" i="3"/>
  <c r="BR30" i="3"/>
  <c r="DL30" i="3"/>
  <c r="DX30" i="3"/>
  <c r="DV30" i="3"/>
  <c r="EH30" i="3"/>
  <c r="BP31" i="3"/>
  <c r="BV32" i="3"/>
  <c r="AG33" i="3"/>
  <c r="AH33" i="3"/>
  <c r="AH34" i="3"/>
  <c r="AH35" i="3"/>
  <c r="CI36" i="3"/>
  <c r="CQ38" i="3"/>
  <c r="BT25" i="3"/>
  <c r="CR25" i="3"/>
  <c r="BT22" i="3"/>
  <c r="CR22" i="3"/>
  <c r="EE14" i="3"/>
  <c r="EC14" i="3"/>
  <c r="CN17" i="3"/>
  <c r="CB17" i="3"/>
  <c r="EB18" i="3"/>
  <c r="BO14" i="3"/>
  <c r="BN15" i="3"/>
  <c r="CA15" i="3"/>
  <c r="CN15" i="3"/>
  <c r="BQ17" i="3"/>
  <c r="DP17" i="3"/>
  <c r="BW17" i="3"/>
  <c r="DV17" i="3"/>
  <c r="CP18" i="3"/>
  <c r="CD18" i="3"/>
  <c r="BZ18" i="3"/>
  <c r="CL18" i="3"/>
  <c r="EA20" i="3"/>
  <c r="EG20" i="3"/>
  <c r="CF29" i="3"/>
  <c r="CR29" i="3"/>
  <c r="EE16" i="3"/>
  <c r="EH15" i="3"/>
  <c r="EA16" i="3"/>
  <c r="CM16" i="3"/>
  <c r="CT17" i="3"/>
  <c r="CH17" i="3"/>
  <c r="EH18" i="3"/>
  <c r="BR14" i="3"/>
  <c r="CR14" i="3"/>
  <c r="BM15" i="3"/>
  <c r="DL15" i="3"/>
  <c r="BS15" i="3"/>
  <c r="DR15" i="3"/>
  <c r="DO15" i="3"/>
  <c r="BR16" i="3"/>
  <c r="DQ16" i="3"/>
  <c r="BZ16" i="3"/>
  <c r="EC17" i="3"/>
  <c r="CL17" i="3"/>
  <c r="BM18" i="3"/>
  <c r="DL18" i="3"/>
  <c r="BS18" i="3"/>
  <c r="DR18" i="3"/>
  <c r="BO19" i="3"/>
  <c r="AG19" i="3"/>
  <c r="AH19" i="3"/>
  <c r="DZ19" i="3"/>
  <c r="EE28" i="3"/>
  <c r="CH14" i="3"/>
  <c r="CF15" i="3"/>
  <c r="EB15" i="3"/>
  <c r="EG16" i="3"/>
  <c r="EF14" i="3"/>
  <c r="DY15" i="3"/>
  <c r="EE15" i="3"/>
  <c r="CD15" i="3"/>
  <c r="DX16" i="3"/>
  <c r="CR17" i="3"/>
  <c r="DY18" i="3"/>
  <c r="EE18" i="3"/>
  <c r="CN18" i="3"/>
  <c r="EF18" i="3"/>
  <c r="CO19" i="3"/>
  <c r="CC19" i="3"/>
  <c r="BQ14" i="3"/>
  <c r="DP14" i="3"/>
  <c r="BW14" i="3"/>
  <c r="DV14" i="3"/>
  <c r="BY14" i="3"/>
  <c r="CU15" i="3"/>
  <c r="DU15" i="3"/>
  <c r="BU16" i="3"/>
  <c r="DT16" i="3"/>
  <c r="AG17" i="3"/>
  <c r="AH17" i="3"/>
  <c r="BO17" i="3"/>
  <c r="DZ17" i="3"/>
  <c r="EF17" i="3"/>
  <c r="EE17" i="3"/>
  <c r="EE20" i="3"/>
  <c r="BR22" i="3"/>
  <c r="DQ22" i="3"/>
  <c r="CD19" i="3"/>
  <c r="EA19" i="3"/>
  <c r="CB22" i="3"/>
  <c r="DO22" i="3"/>
  <c r="BY28" i="3"/>
  <c r="CK28" i="3"/>
  <c r="CH28" i="3"/>
  <c r="DQ28" i="3"/>
  <c r="CG29" i="3"/>
  <c r="DT29" i="3"/>
  <c r="BM33" i="3"/>
  <c r="DL33" i="3"/>
  <c r="BS33" i="3"/>
  <c r="DR33" i="3"/>
  <c r="BP21" i="3"/>
  <c r="DO21" i="3"/>
  <c r="DU21" i="3"/>
  <c r="CB25" i="3"/>
  <c r="DO25" i="3"/>
  <c r="EA33" i="3"/>
  <c r="DR19" i="3"/>
  <c r="DQ23" i="3"/>
  <c r="BZ24" i="3"/>
  <c r="DM24" i="3"/>
  <c r="CE25" i="3"/>
  <c r="DX29" i="3"/>
  <c r="BN30" i="3"/>
  <c r="CP31" i="3"/>
  <c r="CD31" i="3"/>
  <c r="CF32" i="3"/>
  <c r="DQ39" i="3"/>
  <c r="BR39" i="3"/>
  <c r="BY39" i="3"/>
  <c r="DY21" i="3"/>
  <c r="EE23" i="3"/>
  <c r="EE24" i="3"/>
  <c r="BV25" i="3"/>
  <c r="DU25" i="3"/>
  <c r="CS25" i="3"/>
  <c r="CG25" i="3"/>
  <c r="BZ28" i="3"/>
  <c r="CN30" i="3"/>
  <c r="DZ31" i="3"/>
  <c r="BU31" i="3"/>
  <c r="DT31" i="3"/>
  <c r="DZ34" i="3"/>
  <c r="BU34" i="3"/>
  <c r="DT34" i="3"/>
  <c r="CO18" i="3"/>
  <c r="DO18" i="3"/>
  <c r="BY19" i="3"/>
  <c r="DL19" i="3"/>
  <c r="BV22" i="3"/>
  <c r="DU22" i="3"/>
  <c r="BZ23" i="3"/>
  <c r="BT28" i="3"/>
  <c r="DY30" i="3"/>
  <c r="DS30" i="3"/>
  <c r="BT30" i="3"/>
  <c r="DZ30" i="3"/>
  <c r="BO31" i="3"/>
  <c r="AG31" i="3"/>
  <c r="AH31" i="3"/>
  <c r="AG32" i="3"/>
  <c r="AH32" i="3"/>
  <c r="BO32" i="3"/>
  <c r="CN33" i="3"/>
  <c r="CB33" i="3"/>
  <c r="BV33" i="3"/>
  <c r="DU33" i="3"/>
  <c r="CI33" i="3"/>
  <c r="CU33" i="3"/>
  <c r="DZ36" i="3"/>
  <c r="CS17" i="3"/>
  <c r="DM17" i="3"/>
  <c r="CU18" i="3"/>
  <c r="DU18" i="3"/>
  <c r="EH19" i="3"/>
  <c r="EE21" i="3"/>
  <c r="CS22" i="3"/>
  <c r="CG22" i="3"/>
  <c r="BT24" i="3"/>
  <c r="CT19" i="3"/>
  <c r="CK20" i="3"/>
  <c r="BT21" i="3"/>
  <c r="CH21" i="3"/>
  <c r="CO22" i="3"/>
  <c r="DZ22" i="3"/>
  <c r="BT23" i="3"/>
  <c r="BP24" i="3"/>
  <c r="DO24" i="3"/>
  <c r="DU24" i="3"/>
  <c r="BR25" i="3"/>
  <c r="DQ25" i="3"/>
  <c r="EA28" i="3"/>
  <c r="DM28" i="3"/>
  <c r="DQ29" i="3"/>
  <c r="BR29" i="3"/>
  <c r="BY29" i="3"/>
  <c r="AG30" i="3"/>
  <c r="AH30" i="3"/>
  <c r="BO30" i="3"/>
  <c r="EC30" i="3"/>
  <c r="CU31" i="3"/>
  <c r="CI31" i="3"/>
  <c r="EB31" i="3"/>
  <c r="DZ38" i="3"/>
  <c r="BU38" i="3"/>
  <c r="DT38" i="3"/>
  <c r="CP38" i="3"/>
  <c r="CD38" i="3"/>
  <c r="EB21" i="3"/>
  <c r="BN22" i="3"/>
  <c r="ED22" i="3"/>
  <c r="EB24" i="3"/>
  <c r="BN25" i="3"/>
  <c r="ED25" i="3"/>
  <c r="CH34" i="3"/>
  <c r="CT34" i="3"/>
  <c r="DX34" i="3"/>
  <c r="DX39" i="3"/>
  <c r="AH20" i="3"/>
  <c r="DZ20" i="3"/>
  <c r="BO29" i="3"/>
  <c r="AG29" i="3"/>
  <c r="AH29" i="3"/>
  <c r="CC29" i="3"/>
  <c r="BM31" i="3"/>
  <c r="DL31" i="3"/>
  <c r="BS31" i="3"/>
  <c r="DR31" i="3"/>
  <c r="EH31" i="3"/>
  <c r="DM32" i="3"/>
  <c r="BN32" i="3"/>
  <c r="ED34" i="3"/>
  <c r="CS37" i="3"/>
  <c r="CG37" i="3"/>
  <c r="CU38" i="3"/>
  <c r="CH35" i="3"/>
  <c r="EG39" i="3"/>
  <c r="BO20" i="3"/>
  <c r="CQ20" i="3"/>
  <c r="ED20" i="3"/>
  <c r="CQ23" i="3"/>
  <c r="ED23" i="3"/>
  <c r="CU24" i="3"/>
  <c r="CQ28" i="3"/>
  <c r="BW29" i="3"/>
  <c r="DV29" i="3"/>
  <c r="BS30" i="3"/>
  <c r="DR30" i="3"/>
  <c r="EA31" i="3"/>
  <c r="DU31" i="3"/>
  <c r="BV31" i="3"/>
  <c r="CM33" i="3"/>
  <c r="CA33" i="3"/>
  <c r="CO34" i="3"/>
  <c r="CC34" i="3"/>
  <c r="DY36" i="3"/>
  <c r="EA32" i="3"/>
  <c r="DY33" i="3"/>
  <c r="DS33" i="3"/>
  <c r="BT33" i="3"/>
  <c r="BP34" i="3"/>
  <c r="DY35" i="3"/>
  <c r="EE35" i="3"/>
  <c r="CN36" i="3"/>
  <c r="EF33" i="3"/>
  <c r="DU34" i="3"/>
  <c r="DO35" i="3"/>
  <c r="BP35" i="3"/>
  <c r="EG35" i="3"/>
  <c r="BQ37" i="3"/>
  <c r="DP37" i="3"/>
  <c r="BW37" i="3"/>
  <c r="DV37" i="3"/>
  <c r="EF37" i="3"/>
  <c r="DR39" i="3"/>
  <c r="BS39" i="3"/>
  <c r="CL39" i="3"/>
  <c r="BZ39" i="3"/>
  <c r="EB39" i="3"/>
  <c r="BY32" i="3"/>
  <c r="CG33" i="3"/>
  <c r="DP35" i="3"/>
  <c r="BQ35" i="3"/>
  <c r="DV35" i="3"/>
  <c r="BW35" i="3"/>
  <c r="BP29" i="3"/>
  <c r="BN33" i="3"/>
  <c r="DQ36" i="3"/>
  <c r="BR36" i="3"/>
  <c r="EE38" i="3"/>
  <c r="BQ32" i="3"/>
  <c r="DP32" i="3"/>
  <c r="BW32" i="3"/>
  <c r="DV32" i="3"/>
  <c r="BO34" i="3"/>
  <c r="CF35" i="3"/>
  <c r="CR35" i="3"/>
  <c r="ED35" i="3"/>
  <c r="BU36" i="3"/>
  <c r="DT36" i="3"/>
  <c r="EE36" i="3"/>
  <c r="CH39" i="3"/>
  <c r="CT39" i="3"/>
  <c r="DZ35" i="3"/>
  <c r="DX36" i="3"/>
  <c r="CL38" i="3"/>
  <c r="BO39" i="3"/>
  <c r="AG39" i="3"/>
  <c r="AH39" i="3"/>
  <c r="BO36" i="3"/>
  <c r="AG36" i="3"/>
  <c r="AH36" i="3"/>
  <c r="BO38" i="3"/>
  <c r="DL38" i="3"/>
  <c r="CG35" i="3"/>
  <c r="DT35" i="3"/>
  <c r="BS36" i="3"/>
  <c r="BO37" i="3"/>
  <c r="BY37" i="3"/>
  <c r="CR37" i="3"/>
  <c r="DL37" i="3"/>
  <c r="CN38" i="3"/>
  <c r="EA38" i="3"/>
  <c r="CI39" i="3"/>
  <c r="DV39" i="3"/>
  <c r="BO35" i="3"/>
  <c r="DL35" i="3"/>
  <c r="EA36" i="3"/>
  <c r="AG38" i="3"/>
  <c r="AH38" i="3"/>
  <c r="BV38" i="3"/>
  <c r="DR38" i="3"/>
  <c r="BA115" i="2"/>
  <c r="BB115" i="2"/>
  <c r="DO115" i="2"/>
  <c r="BC115" i="2"/>
  <c r="DP115" i="2"/>
  <c r="BD115" i="2"/>
  <c r="DQ115" i="2"/>
  <c r="BE115" i="2"/>
  <c r="DR115" i="2"/>
  <c r="ED115" i="2"/>
  <c r="BF115" i="2"/>
  <c r="BG115" i="2"/>
  <c r="DT115" i="2"/>
  <c r="BH115" i="2"/>
  <c r="DU115" i="2"/>
  <c r="BI115" i="2"/>
  <c r="DV115" i="2"/>
  <c r="BJ115" i="2"/>
  <c r="DW115" i="2"/>
  <c r="BK115" i="2"/>
  <c r="DX115" i="2"/>
  <c r="BA114" i="2"/>
  <c r="DN114" i="2"/>
  <c r="BB114" i="2"/>
  <c r="DO114" i="2"/>
  <c r="BC114" i="2"/>
  <c r="DP114" i="2"/>
  <c r="BD114" i="2"/>
  <c r="DQ114" i="2"/>
  <c r="EC114" i="2"/>
  <c r="BE114" i="2"/>
  <c r="DR114" i="2"/>
  <c r="BF114" i="2"/>
  <c r="DS114" i="2"/>
  <c r="BG114" i="2"/>
  <c r="DT114" i="2"/>
  <c r="EF114" i="2"/>
  <c r="BH114" i="2"/>
  <c r="DU114" i="2"/>
  <c r="EG114" i="2"/>
  <c r="BI114" i="2"/>
  <c r="DV114" i="2"/>
  <c r="BJ114" i="2"/>
  <c r="DW114" i="2"/>
  <c r="BK114" i="2"/>
  <c r="DX114" i="2"/>
  <c r="BA113" i="2"/>
  <c r="DN113" i="2"/>
  <c r="BB113" i="2"/>
  <c r="DO113" i="2"/>
  <c r="EA113" i="2"/>
  <c r="BC113" i="2"/>
  <c r="DP113" i="2"/>
  <c r="EB113" i="2"/>
  <c r="BD113" i="2"/>
  <c r="DQ113" i="2"/>
  <c r="EC113" i="2"/>
  <c r="BE113" i="2"/>
  <c r="DR113" i="2"/>
  <c r="BF113" i="2"/>
  <c r="DS113" i="2"/>
  <c r="EE113" i="2"/>
  <c r="BG113" i="2"/>
  <c r="DT113" i="2"/>
  <c r="BH113" i="2"/>
  <c r="DU113" i="2"/>
  <c r="EG113" i="2"/>
  <c r="BI113" i="2"/>
  <c r="DV113" i="2"/>
  <c r="EH113" i="2"/>
  <c r="BJ113" i="2"/>
  <c r="DW113" i="2"/>
  <c r="EI113" i="2"/>
  <c r="BK113" i="2"/>
  <c r="DX113" i="2"/>
  <c r="BA112" i="2"/>
  <c r="DN112" i="2"/>
  <c r="DZ112" i="2"/>
  <c r="BB112" i="2"/>
  <c r="DO112" i="2"/>
  <c r="BC112" i="2"/>
  <c r="DP112" i="2"/>
  <c r="EB112" i="2"/>
  <c r="BD112" i="2"/>
  <c r="DQ112" i="2"/>
  <c r="BE112" i="2"/>
  <c r="DR112" i="2"/>
  <c r="ED112" i="2"/>
  <c r="BF112" i="2"/>
  <c r="DS112" i="2"/>
  <c r="BG112" i="2"/>
  <c r="DT112" i="2"/>
  <c r="EF112" i="2"/>
  <c r="BH112" i="2"/>
  <c r="DU112" i="2"/>
  <c r="BI112" i="2"/>
  <c r="DV112" i="2"/>
  <c r="EH112" i="2"/>
  <c r="BJ112" i="2"/>
  <c r="DW112" i="2"/>
  <c r="BK112" i="2"/>
  <c r="DX112" i="2"/>
  <c r="EJ112" i="2"/>
  <c r="BA111" i="2"/>
  <c r="DN111" i="2"/>
  <c r="BB111" i="2"/>
  <c r="DO111" i="2"/>
  <c r="BC111" i="2"/>
  <c r="DP111" i="2"/>
  <c r="BD111" i="2"/>
  <c r="DQ111" i="2"/>
  <c r="EC111" i="2"/>
  <c r="BE111" i="2"/>
  <c r="DR111" i="2"/>
  <c r="BF111" i="2"/>
  <c r="DS111" i="2"/>
  <c r="BG111" i="2"/>
  <c r="DT111" i="2"/>
  <c r="EF111" i="2"/>
  <c r="BH111" i="2"/>
  <c r="DU111" i="2"/>
  <c r="EG111" i="2"/>
  <c r="BI111" i="2"/>
  <c r="DV111" i="2"/>
  <c r="BJ111" i="2"/>
  <c r="DW111" i="2"/>
  <c r="BK111" i="2"/>
  <c r="DX111" i="2"/>
  <c r="BA110" i="2"/>
  <c r="DN110" i="2"/>
  <c r="BB110" i="2"/>
  <c r="DO110" i="2"/>
  <c r="BC110" i="2"/>
  <c r="DP110" i="2"/>
  <c r="EB110" i="2"/>
  <c r="BD110" i="2"/>
  <c r="DQ110" i="2"/>
  <c r="EC110" i="2"/>
  <c r="BE110" i="2"/>
  <c r="DR110" i="2"/>
  <c r="ED110" i="2"/>
  <c r="BF110" i="2"/>
  <c r="DS110" i="2"/>
  <c r="BG110" i="2"/>
  <c r="DT110" i="2"/>
  <c r="BH110" i="2"/>
  <c r="DU110" i="2"/>
  <c r="BI110" i="2"/>
  <c r="DV110" i="2"/>
  <c r="BJ110" i="2"/>
  <c r="DW110" i="2"/>
  <c r="EI110" i="2"/>
  <c r="BK110" i="2"/>
  <c r="DX110" i="2"/>
  <c r="EJ110" i="2"/>
  <c r="BA109" i="2"/>
  <c r="DN109" i="2"/>
  <c r="DZ109" i="2"/>
  <c r="BB109" i="2"/>
  <c r="DO109" i="2"/>
  <c r="BC109" i="2"/>
  <c r="DP109" i="2"/>
  <c r="EB109" i="2"/>
  <c r="BD109" i="2"/>
  <c r="DQ109" i="2"/>
  <c r="BE109" i="2"/>
  <c r="DR109" i="2"/>
  <c r="ED109" i="2"/>
  <c r="BF109" i="2"/>
  <c r="DS109" i="2"/>
  <c r="BG109" i="2"/>
  <c r="DT109" i="2"/>
  <c r="EF109" i="2"/>
  <c r="BH109" i="2"/>
  <c r="DU109" i="2"/>
  <c r="BI109" i="2"/>
  <c r="DV109" i="2"/>
  <c r="EH109" i="2"/>
  <c r="BJ109" i="2"/>
  <c r="DW109" i="2"/>
  <c r="BK109" i="2"/>
  <c r="DX109" i="2"/>
  <c r="EJ109" i="2"/>
  <c r="BA108" i="2"/>
  <c r="DN108" i="2"/>
  <c r="DZ108" i="2"/>
  <c r="BB108" i="2"/>
  <c r="DO108" i="2"/>
  <c r="EA108" i="2"/>
  <c r="BC108" i="2"/>
  <c r="DP108" i="2"/>
  <c r="BD108" i="2"/>
  <c r="DQ108" i="2"/>
  <c r="EC108" i="2"/>
  <c r="BE108" i="2"/>
  <c r="DR108" i="2"/>
  <c r="BF108" i="2"/>
  <c r="DS108" i="2"/>
  <c r="BG108" i="2"/>
  <c r="BH108" i="2"/>
  <c r="DU108" i="2"/>
  <c r="EG108" i="2"/>
  <c r="BI108" i="2"/>
  <c r="DV108" i="2"/>
  <c r="BJ108" i="2"/>
  <c r="DW108" i="2"/>
  <c r="BK108" i="2"/>
  <c r="DX108" i="2"/>
  <c r="BA107" i="2"/>
  <c r="DN107" i="2"/>
  <c r="DZ107" i="2"/>
  <c r="BB107" i="2"/>
  <c r="DO107" i="2"/>
  <c r="BC107" i="2"/>
  <c r="DP107" i="2"/>
  <c r="EB107" i="2"/>
  <c r="BD107" i="2"/>
  <c r="DQ107" i="2"/>
  <c r="EC107" i="2"/>
  <c r="BE107" i="2"/>
  <c r="DR107" i="2"/>
  <c r="BF107" i="2"/>
  <c r="DS107" i="2"/>
  <c r="BG107" i="2"/>
  <c r="BH107" i="2"/>
  <c r="DU107" i="2"/>
  <c r="BI107" i="2"/>
  <c r="DV107" i="2"/>
  <c r="EH107" i="2"/>
  <c r="BJ107" i="2"/>
  <c r="DW107" i="2"/>
  <c r="EI107" i="2"/>
  <c r="BK107" i="2"/>
  <c r="DX107" i="2"/>
  <c r="BA106" i="2"/>
  <c r="DN106" i="2"/>
  <c r="DZ106" i="2"/>
  <c r="BB106" i="2"/>
  <c r="DO106" i="2"/>
  <c r="BC106" i="2"/>
  <c r="DP106" i="2"/>
  <c r="BD106" i="2"/>
  <c r="DQ106" i="2"/>
  <c r="BE106" i="2"/>
  <c r="DR106" i="2"/>
  <c r="ED106" i="2"/>
  <c r="BF106" i="2"/>
  <c r="DS106" i="2"/>
  <c r="EE106" i="2"/>
  <c r="BG106" i="2"/>
  <c r="DT106" i="2"/>
  <c r="BH106" i="2"/>
  <c r="DU106" i="2"/>
  <c r="BI106" i="2"/>
  <c r="DV106" i="2"/>
  <c r="BJ106" i="2"/>
  <c r="DW106" i="2"/>
  <c r="BK106" i="2"/>
  <c r="DX106" i="2"/>
  <c r="BA105" i="2"/>
  <c r="BB105" i="2"/>
  <c r="DO105" i="2"/>
  <c r="EA105" i="2"/>
  <c r="BC105" i="2"/>
  <c r="DP105" i="2"/>
  <c r="BD105" i="2"/>
  <c r="DQ105" i="2"/>
  <c r="EC105" i="2"/>
  <c r="BE105" i="2"/>
  <c r="DR105" i="2"/>
  <c r="BF105" i="2"/>
  <c r="DS105" i="2"/>
  <c r="EE105" i="2"/>
  <c r="BG105" i="2"/>
  <c r="DT105" i="2"/>
  <c r="BH105" i="2"/>
  <c r="DU105" i="2"/>
  <c r="EG105" i="2"/>
  <c r="BI105" i="2"/>
  <c r="DV105" i="2"/>
  <c r="BJ105" i="2"/>
  <c r="DW105" i="2"/>
  <c r="EI105" i="2"/>
  <c r="BK105" i="2"/>
  <c r="DX105" i="2"/>
  <c r="BA104" i="2"/>
  <c r="DN104" i="2"/>
  <c r="DZ104" i="2"/>
  <c r="BB104" i="2"/>
  <c r="DO104" i="2"/>
  <c r="EA104" i="2"/>
  <c r="BC104" i="2"/>
  <c r="DP104" i="2"/>
  <c r="BD104" i="2"/>
  <c r="DQ104" i="2"/>
  <c r="EC104" i="2"/>
  <c r="BE104" i="2"/>
  <c r="DR104" i="2"/>
  <c r="ED104" i="2"/>
  <c r="BF104" i="2"/>
  <c r="DS104" i="2"/>
  <c r="EE104" i="2"/>
  <c r="BG104" i="2"/>
  <c r="DT104" i="2"/>
  <c r="EF104" i="2"/>
  <c r="BH104" i="2"/>
  <c r="DU104" i="2"/>
  <c r="EG104" i="2"/>
  <c r="BI104" i="2"/>
  <c r="DV104" i="2"/>
  <c r="EH104" i="2"/>
  <c r="BJ104" i="2"/>
  <c r="DW104" i="2"/>
  <c r="EI104" i="2"/>
  <c r="BK104" i="2"/>
  <c r="DX104" i="2"/>
  <c r="BA103" i="2"/>
  <c r="DN103" i="2"/>
  <c r="BB103" i="2"/>
  <c r="DO103" i="2"/>
  <c r="BC103" i="2"/>
  <c r="DP103" i="2"/>
  <c r="BD103" i="2"/>
  <c r="DQ103" i="2"/>
  <c r="BE103" i="2"/>
  <c r="DR103" i="2"/>
  <c r="ED103" i="2"/>
  <c r="BF103" i="2"/>
  <c r="DS103" i="2"/>
  <c r="EE103" i="2"/>
  <c r="BG103" i="2"/>
  <c r="DT103" i="2"/>
  <c r="BH103" i="2"/>
  <c r="DU103" i="2"/>
  <c r="BI103" i="2"/>
  <c r="DV103" i="2"/>
  <c r="BJ103" i="2"/>
  <c r="DW103" i="2"/>
  <c r="BK103" i="2"/>
  <c r="DX103" i="2"/>
  <c r="BA102" i="2"/>
  <c r="DN102" i="2"/>
  <c r="BB102" i="2"/>
  <c r="DO102" i="2"/>
  <c r="EA102" i="2"/>
  <c r="BC102" i="2"/>
  <c r="DP102" i="2"/>
  <c r="EB102" i="2"/>
  <c r="BD102" i="2"/>
  <c r="DQ102" i="2"/>
  <c r="EC102" i="2"/>
  <c r="BE102" i="2"/>
  <c r="DR102" i="2"/>
  <c r="BF102" i="2"/>
  <c r="DS102" i="2"/>
  <c r="BG102" i="2"/>
  <c r="DT102" i="2"/>
  <c r="EF102" i="2"/>
  <c r="BH102" i="2"/>
  <c r="DU102" i="2"/>
  <c r="EG102" i="2"/>
  <c r="BI102" i="2"/>
  <c r="DV102" i="2"/>
  <c r="BJ102" i="2"/>
  <c r="DW102" i="2"/>
  <c r="EI102" i="2"/>
  <c r="BK102" i="2"/>
  <c r="DX102" i="2"/>
  <c r="EJ102" i="2"/>
  <c r="BA101" i="2"/>
  <c r="DN101" i="2"/>
  <c r="BB101" i="2"/>
  <c r="DO101" i="2"/>
  <c r="BC101" i="2"/>
  <c r="DP101" i="2"/>
  <c r="BD101" i="2"/>
  <c r="DQ101" i="2"/>
  <c r="BE101" i="2"/>
  <c r="DR101" i="2"/>
  <c r="ED101" i="2"/>
  <c r="BF101" i="2"/>
  <c r="DS101" i="2"/>
  <c r="EE101" i="2"/>
  <c r="BG101" i="2"/>
  <c r="DT101" i="2"/>
  <c r="BH101" i="2"/>
  <c r="DU101" i="2"/>
  <c r="BI101" i="2"/>
  <c r="DV101" i="2"/>
  <c r="BJ101" i="2"/>
  <c r="DW101" i="2"/>
  <c r="BK101" i="2"/>
  <c r="DX101" i="2"/>
  <c r="BA100" i="2"/>
  <c r="DN100" i="2"/>
  <c r="BB100" i="2"/>
  <c r="BC100" i="2"/>
  <c r="DP100" i="2"/>
  <c r="EB100" i="2"/>
  <c r="BD100" i="2"/>
  <c r="DQ100" i="2"/>
  <c r="EC100" i="2"/>
  <c r="BE100" i="2"/>
  <c r="DR100" i="2"/>
  <c r="ED100" i="2"/>
  <c r="BF100" i="2"/>
  <c r="DS100" i="2"/>
  <c r="EE100" i="2"/>
  <c r="BG100" i="2"/>
  <c r="DT100" i="2"/>
  <c r="EF100" i="2"/>
  <c r="BH100" i="2"/>
  <c r="DU100" i="2"/>
  <c r="EG100" i="2"/>
  <c r="BI100" i="2"/>
  <c r="DV100" i="2"/>
  <c r="EH100" i="2"/>
  <c r="BJ100" i="2"/>
  <c r="DW100" i="2"/>
  <c r="EI100" i="2"/>
  <c r="BK100" i="2"/>
  <c r="DX100" i="2"/>
  <c r="EJ100" i="2"/>
  <c r="BA99" i="2"/>
  <c r="DN99" i="2"/>
  <c r="DZ99" i="2"/>
  <c r="BB99" i="2"/>
  <c r="DO99" i="2"/>
  <c r="EA99" i="2"/>
  <c r="BC99" i="2"/>
  <c r="DP99" i="2"/>
  <c r="BD99" i="2"/>
  <c r="DQ99" i="2"/>
  <c r="EC99" i="2"/>
  <c r="BE99" i="2"/>
  <c r="DR99" i="2"/>
  <c r="BF99" i="2"/>
  <c r="DS99" i="2"/>
  <c r="EE99" i="2"/>
  <c r="BG99" i="2"/>
  <c r="DT99" i="2"/>
  <c r="EF99" i="2"/>
  <c r="BH99" i="2"/>
  <c r="DU99" i="2"/>
  <c r="EG99" i="2"/>
  <c r="BI99" i="2"/>
  <c r="DV99" i="2"/>
  <c r="BJ99" i="2"/>
  <c r="DW99" i="2"/>
  <c r="EI99" i="2"/>
  <c r="BK99" i="2"/>
  <c r="DX99" i="2"/>
  <c r="BA98" i="2"/>
  <c r="DN98" i="2"/>
  <c r="BB98" i="2"/>
  <c r="DO98" i="2"/>
  <c r="EA98" i="2"/>
  <c r="BC98" i="2"/>
  <c r="DP98" i="2"/>
  <c r="EB98" i="2"/>
  <c r="BD98" i="2"/>
  <c r="DQ98" i="2"/>
  <c r="EC98" i="2"/>
  <c r="BE98" i="2"/>
  <c r="DR98" i="2"/>
  <c r="ED98" i="2"/>
  <c r="BF98" i="2"/>
  <c r="DS98" i="2"/>
  <c r="EE98" i="2"/>
  <c r="BG98" i="2"/>
  <c r="DT98" i="2"/>
  <c r="EF98" i="2"/>
  <c r="BH98" i="2"/>
  <c r="DU98" i="2"/>
  <c r="EG98" i="2"/>
  <c r="BI98" i="2"/>
  <c r="DV98" i="2"/>
  <c r="BJ98" i="2"/>
  <c r="DW98" i="2"/>
  <c r="EI98" i="2"/>
  <c r="BK98" i="2"/>
  <c r="DX98" i="2"/>
  <c r="EJ98" i="2"/>
  <c r="BA97" i="2"/>
  <c r="DN97" i="2"/>
  <c r="BB97" i="2"/>
  <c r="DO97" i="2"/>
  <c r="BC97" i="2"/>
  <c r="DP97" i="2"/>
  <c r="BD97" i="2"/>
  <c r="DQ97" i="2"/>
  <c r="BE97" i="2"/>
  <c r="DR97" i="2"/>
  <c r="ED97" i="2"/>
  <c r="BF97" i="2"/>
  <c r="DS97" i="2"/>
  <c r="BG97" i="2"/>
  <c r="DT97" i="2"/>
  <c r="BH97" i="2"/>
  <c r="DU97" i="2"/>
  <c r="BI97" i="2"/>
  <c r="DV97" i="2"/>
  <c r="BJ97" i="2"/>
  <c r="DW97" i="2"/>
  <c r="BK97" i="2"/>
  <c r="DX97" i="2"/>
  <c r="EJ97" i="2"/>
  <c r="BA96" i="2"/>
  <c r="DN96" i="2"/>
  <c r="DZ96" i="2"/>
  <c r="BB96" i="2"/>
  <c r="DO96" i="2"/>
  <c r="EA96" i="2"/>
  <c r="BC96" i="2"/>
  <c r="DP96" i="2"/>
  <c r="BD96" i="2"/>
  <c r="DQ96" i="2"/>
  <c r="EC96" i="2"/>
  <c r="BE96" i="2"/>
  <c r="DR96" i="2"/>
  <c r="ED96" i="2"/>
  <c r="BF96" i="2"/>
  <c r="DS96" i="2"/>
  <c r="BG96" i="2"/>
  <c r="DT96" i="2"/>
  <c r="BH96" i="2"/>
  <c r="DU96" i="2"/>
  <c r="EG96" i="2"/>
  <c r="BI96" i="2"/>
  <c r="DV96" i="2"/>
  <c r="BJ96" i="2"/>
  <c r="DW96" i="2"/>
  <c r="BK96" i="2"/>
  <c r="DX96" i="2"/>
  <c r="EJ96" i="2"/>
  <c r="BA95" i="2"/>
  <c r="DN95" i="2"/>
  <c r="DZ95" i="2"/>
  <c r="BB95" i="2"/>
  <c r="DO95" i="2"/>
  <c r="EA95" i="2"/>
  <c r="BC95" i="2"/>
  <c r="DP95" i="2"/>
  <c r="EB95" i="2"/>
  <c r="BD95" i="2"/>
  <c r="DQ95" i="2"/>
  <c r="EC95" i="2"/>
  <c r="BE95" i="2"/>
  <c r="DR95" i="2"/>
  <c r="ED95" i="2"/>
  <c r="BF95" i="2"/>
  <c r="DS95" i="2"/>
  <c r="EE95" i="2"/>
  <c r="BG95" i="2"/>
  <c r="DT95" i="2"/>
  <c r="EF95" i="2"/>
  <c r="BH95" i="2"/>
  <c r="DU95" i="2"/>
  <c r="EG95" i="2"/>
  <c r="BI95" i="2"/>
  <c r="DV95" i="2"/>
  <c r="EH95" i="2"/>
  <c r="BJ95" i="2"/>
  <c r="DW95" i="2"/>
  <c r="EI95" i="2"/>
  <c r="BK95" i="2"/>
  <c r="DX95" i="2"/>
  <c r="EJ95" i="2"/>
  <c r="BA94" i="2"/>
  <c r="DN94" i="2"/>
  <c r="BB94" i="2"/>
  <c r="DO94" i="2"/>
  <c r="BC94" i="2"/>
  <c r="DP94" i="2"/>
  <c r="EB94" i="2"/>
  <c r="BD94" i="2"/>
  <c r="BE94" i="2"/>
  <c r="DR94" i="2"/>
  <c r="ED94" i="2"/>
  <c r="BF94" i="2"/>
  <c r="DS94" i="2"/>
  <c r="EE94" i="2"/>
  <c r="BG94" i="2"/>
  <c r="DT94" i="2"/>
  <c r="EF94" i="2"/>
  <c r="BH94" i="2"/>
  <c r="BI94" i="2"/>
  <c r="DV94" i="2"/>
  <c r="BJ94" i="2"/>
  <c r="DW94" i="2"/>
  <c r="EI94" i="2"/>
  <c r="BK94" i="2"/>
  <c r="DX94" i="2"/>
  <c r="EJ94" i="2"/>
  <c r="BA93" i="2"/>
  <c r="DN93" i="2"/>
  <c r="BB93" i="2"/>
  <c r="DO93" i="2"/>
  <c r="BC93" i="2"/>
  <c r="DP93" i="2"/>
  <c r="BD93" i="2"/>
  <c r="DQ93" i="2"/>
  <c r="BE93" i="2"/>
  <c r="DR93" i="2"/>
  <c r="ED93" i="2"/>
  <c r="BF93" i="2"/>
  <c r="DS93" i="2"/>
  <c r="BG93" i="2"/>
  <c r="DT93" i="2"/>
  <c r="BH93" i="2"/>
  <c r="DU93" i="2"/>
  <c r="BI93" i="2"/>
  <c r="DV93" i="2"/>
  <c r="BJ93" i="2"/>
  <c r="DW93" i="2"/>
  <c r="BK93" i="2"/>
  <c r="DX93" i="2"/>
  <c r="BA92" i="2"/>
  <c r="DN92" i="2"/>
  <c r="BB92" i="2"/>
  <c r="DO92" i="2"/>
  <c r="EA92" i="2"/>
  <c r="BC92" i="2"/>
  <c r="DP92" i="2"/>
  <c r="BD92" i="2"/>
  <c r="DQ92" i="2"/>
  <c r="BE92" i="2"/>
  <c r="DR92" i="2"/>
  <c r="ED92" i="2"/>
  <c r="BF92" i="2"/>
  <c r="DS92" i="2"/>
  <c r="BG92" i="2"/>
  <c r="DT92" i="2"/>
  <c r="BH92" i="2"/>
  <c r="DU92" i="2"/>
  <c r="EG92" i="2"/>
  <c r="BI92" i="2"/>
  <c r="DV92" i="2"/>
  <c r="BJ92" i="2"/>
  <c r="DW92" i="2"/>
  <c r="BK92" i="2"/>
  <c r="DX92" i="2"/>
  <c r="EJ92" i="2"/>
  <c r="BA91" i="2"/>
  <c r="DN91" i="2"/>
  <c r="DZ91" i="2"/>
  <c r="BB91" i="2"/>
  <c r="DO91" i="2"/>
  <c r="EA91" i="2"/>
  <c r="BC91" i="2"/>
  <c r="DP91" i="2"/>
  <c r="EB91" i="2"/>
  <c r="BD91" i="2"/>
  <c r="DQ91" i="2"/>
  <c r="EC91" i="2"/>
  <c r="BE91" i="2"/>
  <c r="BF91" i="2"/>
  <c r="DS91" i="2"/>
  <c r="BG91" i="2"/>
  <c r="DT91" i="2"/>
  <c r="BH91" i="2"/>
  <c r="DU91" i="2"/>
  <c r="EG91" i="2"/>
  <c r="BI91" i="2"/>
  <c r="DV91" i="2"/>
  <c r="EH91" i="2"/>
  <c r="BJ91" i="2"/>
  <c r="DW91" i="2"/>
  <c r="EI91" i="2"/>
  <c r="BK91" i="2"/>
  <c r="DX91" i="2"/>
  <c r="BA90" i="2"/>
  <c r="BB90" i="2"/>
  <c r="DO90" i="2"/>
  <c r="BC90" i="2"/>
  <c r="DP90" i="2"/>
  <c r="EB90" i="2"/>
  <c r="BD90" i="2"/>
  <c r="DQ90" i="2"/>
  <c r="BE90" i="2"/>
  <c r="DR90" i="2"/>
  <c r="ED90" i="2"/>
  <c r="BF90" i="2"/>
  <c r="DS90" i="2"/>
  <c r="BG90" i="2"/>
  <c r="DT90" i="2"/>
  <c r="BH90" i="2"/>
  <c r="DU90" i="2"/>
  <c r="BI90" i="2"/>
  <c r="DV90" i="2"/>
  <c r="EH90" i="2"/>
  <c r="BJ90" i="2"/>
  <c r="DW90" i="2"/>
  <c r="BK90" i="2"/>
  <c r="DX90" i="2"/>
  <c r="EJ90" i="2"/>
  <c r="BA89" i="2"/>
  <c r="DN89" i="2"/>
  <c r="DZ89" i="2"/>
  <c r="BB89" i="2"/>
  <c r="DO89" i="2"/>
  <c r="EA89" i="2"/>
  <c r="BC89" i="2"/>
  <c r="DP89" i="2"/>
  <c r="EB89" i="2"/>
  <c r="BD89" i="2"/>
  <c r="DQ89" i="2"/>
  <c r="EC89" i="2"/>
  <c r="BE89" i="2"/>
  <c r="DR89" i="2"/>
  <c r="ED89" i="2"/>
  <c r="BF89" i="2"/>
  <c r="DS89" i="2"/>
  <c r="BG89" i="2"/>
  <c r="DT89" i="2"/>
  <c r="EF89" i="2"/>
  <c r="BH89" i="2"/>
  <c r="DU89" i="2"/>
  <c r="EG89" i="2"/>
  <c r="BI89" i="2"/>
  <c r="DV89" i="2"/>
  <c r="EH89" i="2"/>
  <c r="BJ89" i="2"/>
  <c r="DW89" i="2"/>
  <c r="EI89" i="2"/>
  <c r="BK89" i="2"/>
  <c r="DX89" i="2"/>
  <c r="EJ89" i="2"/>
  <c r="BA88" i="2"/>
  <c r="DN88" i="2"/>
  <c r="DZ88" i="2"/>
  <c r="BB88" i="2"/>
  <c r="DO88" i="2"/>
  <c r="EA88" i="2"/>
  <c r="BC88" i="2"/>
  <c r="DP88" i="2"/>
  <c r="EB88" i="2"/>
  <c r="BD88" i="2"/>
  <c r="DQ88" i="2"/>
  <c r="EC88" i="2"/>
  <c r="BE88" i="2"/>
  <c r="DR88" i="2"/>
  <c r="BF88" i="2"/>
  <c r="DS88" i="2"/>
  <c r="BG88" i="2"/>
  <c r="DT88" i="2"/>
  <c r="BH88" i="2"/>
  <c r="DU88" i="2"/>
  <c r="EG88" i="2"/>
  <c r="BI88" i="2"/>
  <c r="DV88" i="2"/>
  <c r="EH88" i="2"/>
  <c r="BJ88" i="2"/>
  <c r="DW88" i="2"/>
  <c r="EI88" i="2"/>
  <c r="BK88" i="2"/>
  <c r="DX88" i="2"/>
  <c r="BA87" i="2"/>
  <c r="DN87" i="2"/>
  <c r="BB87" i="2"/>
  <c r="DO87" i="2"/>
  <c r="EA87" i="2"/>
  <c r="BC87" i="2"/>
  <c r="DP87" i="2"/>
  <c r="EB87" i="2"/>
  <c r="BD87" i="2"/>
  <c r="DQ87" i="2"/>
  <c r="EC87" i="2"/>
  <c r="BE87" i="2"/>
  <c r="DR87" i="2"/>
  <c r="ED87" i="2"/>
  <c r="BF87" i="2"/>
  <c r="DS87" i="2"/>
  <c r="EE87" i="2"/>
  <c r="BG87" i="2"/>
  <c r="BH87" i="2"/>
  <c r="DU87" i="2"/>
  <c r="EG87" i="2"/>
  <c r="BI87" i="2"/>
  <c r="DV87" i="2"/>
  <c r="EH87" i="2"/>
  <c r="BJ87" i="2"/>
  <c r="DW87" i="2"/>
  <c r="EI87" i="2"/>
  <c r="BK87" i="2"/>
  <c r="DX87" i="2"/>
  <c r="EJ87" i="2"/>
  <c r="BA86" i="2"/>
  <c r="DN86" i="2"/>
  <c r="BB86" i="2"/>
  <c r="DO86" i="2"/>
  <c r="BC86" i="2"/>
  <c r="DP86" i="2"/>
  <c r="EB86" i="2"/>
  <c r="BD86" i="2"/>
  <c r="DQ86" i="2"/>
  <c r="BE86" i="2"/>
  <c r="DR86" i="2"/>
  <c r="ED86" i="2"/>
  <c r="BF86" i="2"/>
  <c r="DS86" i="2"/>
  <c r="BG86" i="2"/>
  <c r="DT86" i="2"/>
  <c r="BH86" i="2"/>
  <c r="DU86" i="2"/>
  <c r="BI86" i="2"/>
  <c r="DV86" i="2"/>
  <c r="EH86" i="2"/>
  <c r="BJ86" i="2"/>
  <c r="DW86" i="2"/>
  <c r="BK86" i="2"/>
  <c r="DX86" i="2"/>
  <c r="EJ86" i="2"/>
  <c r="BA85" i="2"/>
  <c r="DN85" i="2"/>
  <c r="DZ85" i="2"/>
  <c r="BB85" i="2"/>
  <c r="DO85" i="2"/>
  <c r="EA85" i="2"/>
  <c r="BC85" i="2"/>
  <c r="DP85" i="2"/>
  <c r="EB85" i="2"/>
  <c r="BD85" i="2"/>
  <c r="DQ85" i="2"/>
  <c r="EC85" i="2"/>
  <c r="BE85" i="2"/>
  <c r="DR85" i="2"/>
  <c r="ED85" i="2"/>
  <c r="BF85" i="2"/>
  <c r="DS85" i="2"/>
  <c r="BG85" i="2"/>
  <c r="DT85" i="2"/>
  <c r="EF85" i="2"/>
  <c r="BH85" i="2"/>
  <c r="DU85" i="2"/>
  <c r="EG85" i="2"/>
  <c r="BI85" i="2"/>
  <c r="DV85" i="2"/>
  <c r="EH85" i="2"/>
  <c r="BJ85" i="2"/>
  <c r="DW85" i="2"/>
  <c r="EI85" i="2"/>
  <c r="BK85" i="2"/>
  <c r="DX85" i="2"/>
  <c r="EJ85" i="2"/>
  <c r="BA84" i="2"/>
  <c r="DN84" i="2"/>
  <c r="DZ84" i="2"/>
  <c r="BB84" i="2"/>
  <c r="DO84" i="2"/>
  <c r="EA84" i="2"/>
  <c r="BC84" i="2"/>
  <c r="DP84" i="2"/>
  <c r="EB84" i="2"/>
  <c r="BD84" i="2"/>
  <c r="DQ84" i="2"/>
  <c r="EC84" i="2"/>
  <c r="BE84" i="2"/>
  <c r="DR84" i="2"/>
  <c r="BF84" i="2"/>
  <c r="DS84" i="2"/>
  <c r="BG84" i="2"/>
  <c r="DT84" i="2"/>
  <c r="BH84" i="2"/>
  <c r="DU84" i="2"/>
  <c r="EG84" i="2"/>
  <c r="BI84" i="2"/>
  <c r="DV84" i="2"/>
  <c r="EH84" i="2"/>
  <c r="BJ84" i="2"/>
  <c r="DW84" i="2"/>
  <c r="EI84" i="2"/>
  <c r="BK84" i="2"/>
  <c r="DX84" i="2"/>
  <c r="BA83" i="2"/>
  <c r="DN83" i="2"/>
  <c r="BB83" i="2"/>
  <c r="DO83" i="2"/>
  <c r="BC83" i="2"/>
  <c r="DP83" i="2"/>
  <c r="EB83" i="2"/>
  <c r="BD83" i="2"/>
  <c r="DQ83" i="2"/>
  <c r="BE83" i="2"/>
  <c r="DR83" i="2"/>
  <c r="ED83" i="2"/>
  <c r="BF83" i="2"/>
  <c r="DS83" i="2"/>
  <c r="BG83" i="2"/>
  <c r="DT83" i="2"/>
  <c r="BH83" i="2"/>
  <c r="DU83" i="2"/>
  <c r="BI83" i="2"/>
  <c r="DV83" i="2"/>
  <c r="EH83" i="2"/>
  <c r="BJ83" i="2"/>
  <c r="DW83" i="2"/>
  <c r="BK83" i="2"/>
  <c r="DX83" i="2"/>
  <c r="EJ83" i="2"/>
  <c r="BA82" i="2"/>
  <c r="DN82" i="2"/>
  <c r="DZ82" i="2"/>
  <c r="BB82" i="2"/>
  <c r="DO82" i="2"/>
  <c r="EA82" i="2"/>
  <c r="BC82" i="2"/>
  <c r="DP82" i="2"/>
  <c r="EB82" i="2"/>
  <c r="BD82" i="2"/>
  <c r="DQ82" i="2"/>
  <c r="EC82" i="2"/>
  <c r="BE82" i="2"/>
  <c r="DR82" i="2"/>
  <c r="ED82" i="2"/>
  <c r="BF82" i="2"/>
  <c r="DS82" i="2"/>
  <c r="BG82" i="2"/>
  <c r="DT82" i="2"/>
  <c r="EF82" i="2"/>
  <c r="BH82" i="2"/>
  <c r="DU82" i="2"/>
  <c r="EG82" i="2"/>
  <c r="BI82" i="2"/>
  <c r="DV82" i="2"/>
  <c r="EH82" i="2"/>
  <c r="BJ82" i="2"/>
  <c r="DW82" i="2"/>
  <c r="EI82" i="2"/>
  <c r="BK82" i="2"/>
  <c r="DX82" i="2"/>
  <c r="EJ82" i="2"/>
  <c r="BA81" i="2"/>
  <c r="DN81" i="2"/>
  <c r="BB81" i="2"/>
  <c r="DO81" i="2"/>
  <c r="EA81" i="2"/>
  <c r="BC81" i="2"/>
  <c r="DP81" i="2"/>
  <c r="EB81" i="2"/>
  <c r="BD81" i="2"/>
  <c r="DQ81" i="2"/>
  <c r="EC81" i="2"/>
  <c r="BE81" i="2"/>
  <c r="DR81" i="2"/>
  <c r="ED81" i="2"/>
  <c r="BF81" i="2"/>
  <c r="DS81" i="2"/>
  <c r="BG81" i="2"/>
  <c r="DT81" i="2"/>
  <c r="EF81" i="2"/>
  <c r="BH81" i="2"/>
  <c r="DU81" i="2"/>
  <c r="EG81" i="2"/>
  <c r="BI81" i="2"/>
  <c r="DV81" i="2"/>
  <c r="EH81" i="2"/>
  <c r="BJ81" i="2"/>
  <c r="DW81" i="2"/>
  <c r="BK81" i="2"/>
  <c r="DX81" i="2"/>
  <c r="BA80" i="2"/>
  <c r="DN80" i="2"/>
  <c r="BB80" i="2"/>
  <c r="DO80" i="2"/>
  <c r="BC80" i="2"/>
  <c r="DP80" i="2"/>
  <c r="EB80" i="2"/>
  <c r="BD80" i="2"/>
  <c r="DQ80" i="2"/>
  <c r="BE80" i="2"/>
  <c r="DR80" i="2"/>
  <c r="BF80" i="2"/>
  <c r="DS80" i="2"/>
  <c r="EE80" i="2"/>
  <c r="BG80" i="2"/>
  <c r="DT80" i="2"/>
  <c r="BH80" i="2"/>
  <c r="DU80" i="2"/>
  <c r="BI80" i="2"/>
  <c r="DV80" i="2"/>
  <c r="EH80" i="2"/>
  <c r="BJ80" i="2"/>
  <c r="DW80" i="2"/>
  <c r="BK80" i="2"/>
  <c r="DX80" i="2"/>
  <c r="BA79" i="2"/>
  <c r="DN79" i="2"/>
  <c r="BB79" i="2"/>
  <c r="DO79" i="2"/>
  <c r="BC79" i="2"/>
  <c r="DP79" i="2"/>
  <c r="BD79" i="2"/>
  <c r="DQ79" i="2"/>
  <c r="BE79" i="2"/>
  <c r="DR79" i="2"/>
  <c r="ED79" i="2"/>
  <c r="BF79" i="2"/>
  <c r="DS79" i="2"/>
  <c r="BG79" i="2"/>
  <c r="DT79" i="2"/>
  <c r="BH79" i="2"/>
  <c r="DU79" i="2"/>
  <c r="EG79" i="2"/>
  <c r="BI79" i="2"/>
  <c r="DV79" i="2"/>
  <c r="BJ79" i="2"/>
  <c r="DW79" i="2"/>
  <c r="BK79" i="2"/>
  <c r="BA78" i="2"/>
  <c r="DN78" i="2"/>
  <c r="DZ78" i="2"/>
  <c r="BB78" i="2"/>
  <c r="DO78" i="2"/>
  <c r="EA78" i="2"/>
  <c r="BC78" i="2"/>
  <c r="DP78" i="2"/>
  <c r="EB78" i="2"/>
  <c r="BD78" i="2"/>
  <c r="DQ78" i="2"/>
  <c r="EC78" i="2"/>
  <c r="BE78" i="2"/>
  <c r="DR78" i="2"/>
  <c r="ED78" i="2"/>
  <c r="BF78" i="2"/>
  <c r="DS78" i="2"/>
  <c r="EE78" i="2"/>
  <c r="BG78" i="2"/>
  <c r="DT78" i="2"/>
  <c r="BH78" i="2"/>
  <c r="DU78" i="2"/>
  <c r="EG78" i="2"/>
  <c r="BI78" i="2"/>
  <c r="DV78" i="2"/>
  <c r="EH78" i="2"/>
  <c r="BJ78" i="2"/>
  <c r="DW78" i="2"/>
  <c r="EI78" i="2"/>
  <c r="BK78" i="2"/>
  <c r="DX78" i="2"/>
  <c r="EJ78" i="2"/>
  <c r="BA77" i="2"/>
  <c r="DN77" i="2"/>
  <c r="BB77" i="2"/>
  <c r="DO77" i="2"/>
  <c r="BC77" i="2"/>
  <c r="DP77" i="2"/>
  <c r="EB77" i="2"/>
  <c r="BD77" i="2"/>
  <c r="DQ77" i="2"/>
  <c r="BE77" i="2"/>
  <c r="DR77" i="2"/>
  <c r="BF77" i="2"/>
  <c r="DS77" i="2"/>
  <c r="EE77" i="2"/>
  <c r="BG77" i="2"/>
  <c r="DT77" i="2"/>
  <c r="BH77" i="2"/>
  <c r="DU77" i="2"/>
  <c r="BI77" i="2"/>
  <c r="DV77" i="2"/>
  <c r="EH77" i="2"/>
  <c r="BJ77" i="2"/>
  <c r="DW77" i="2"/>
  <c r="BK77" i="2"/>
  <c r="DX77" i="2"/>
  <c r="BA76" i="2"/>
  <c r="DN76" i="2"/>
  <c r="BB76" i="2"/>
  <c r="DO76" i="2"/>
  <c r="BC76" i="2"/>
  <c r="DP76" i="2"/>
  <c r="BD76" i="2"/>
  <c r="DQ76" i="2"/>
  <c r="BE76" i="2"/>
  <c r="BF76" i="2"/>
  <c r="DS76" i="2"/>
  <c r="BG76" i="2"/>
  <c r="DT76" i="2"/>
  <c r="BH76" i="2"/>
  <c r="DU76" i="2"/>
  <c r="EG76" i="2"/>
  <c r="BI76" i="2"/>
  <c r="DV76" i="2"/>
  <c r="BJ76" i="2"/>
  <c r="DW76" i="2"/>
  <c r="BK76" i="2"/>
  <c r="DX76" i="2"/>
  <c r="BA75" i="2"/>
  <c r="DN75" i="2"/>
  <c r="DZ75" i="2"/>
  <c r="BB75" i="2"/>
  <c r="DO75" i="2"/>
  <c r="EA75" i="2"/>
  <c r="BC75" i="2"/>
  <c r="DP75" i="2"/>
  <c r="EB75" i="2"/>
  <c r="BD75" i="2"/>
  <c r="DQ75" i="2"/>
  <c r="EC75" i="2"/>
  <c r="BE75" i="2"/>
  <c r="BF75" i="2"/>
  <c r="DS75" i="2"/>
  <c r="BG75" i="2"/>
  <c r="DT75" i="2"/>
  <c r="EF75" i="2"/>
  <c r="BH75" i="2"/>
  <c r="DU75" i="2"/>
  <c r="EG75" i="2"/>
  <c r="BI75" i="2"/>
  <c r="DV75" i="2"/>
  <c r="EH75" i="2"/>
  <c r="BJ75" i="2"/>
  <c r="DW75" i="2"/>
  <c r="EI75" i="2"/>
  <c r="BK75" i="2"/>
  <c r="DX75" i="2"/>
  <c r="EJ75" i="2"/>
  <c r="BA74" i="2"/>
  <c r="DN74" i="2"/>
  <c r="BB74" i="2"/>
  <c r="BC74" i="2"/>
  <c r="DP74" i="2"/>
  <c r="EB74" i="2"/>
  <c r="BD74" i="2"/>
  <c r="BE74" i="2"/>
  <c r="DR74" i="2"/>
  <c r="BF74" i="2"/>
  <c r="DS74" i="2"/>
  <c r="BG74" i="2"/>
  <c r="DT74" i="2"/>
  <c r="BH74" i="2"/>
  <c r="DU74" i="2"/>
  <c r="BI74" i="2"/>
  <c r="DV74" i="2"/>
  <c r="BJ74" i="2"/>
  <c r="DW74" i="2"/>
  <c r="BK74" i="2"/>
  <c r="BA73" i="2"/>
  <c r="DN73" i="2"/>
  <c r="BB73" i="2"/>
  <c r="BC73" i="2"/>
  <c r="DP73" i="2"/>
  <c r="BD73" i="2"/>
  <c r="DQ73" i="2"/>
  <c r="BE73" i="2"/>
  <c r="DR73" i="2"/>
  <c r="ED73" i="2"/>
  <c r="BF73" i="2"/>
  <c r="DS73" i="2"/>
  <c r="BG73" i="2"/>
  <c r="DT73" i="2"/>
  <c r="BH73" i="2"/>
  <c r="DU73" i="2"/>
  <c r="BI73" i="2"/>
  <c r="DV73" i="2"/>
  <c r="BJ73" i="2"/>
  <c r="DW73" i="2"/>
  <c r="BK73" i="2"/>
  <c r="DX73" i="2"/>
  <c r="EJ73" i="2"/>
  <c r="BA72" i="2"/>
  <c r="DN72" i="2"/>
  <c r="DZ72" i="2"/>
  <c r="BB72" i="2"/>
  <c r="DO72" i="2"/>
  <c r="EA72" i="2"/>
  <c r="BC72" i="2"/>
  <c r="DP72" i="2"/>
  <c r="EB72" i="2"/>
  <c r="BD72" i="2"/>
  <c r="DQ72" i="2"/>
  <c r="EC72" i="2"/>
  <c r="BE72" i="2"/>
  <c r="DR72" i="2"/>
  <c r="BF72" i="2"/>
  <c r="DS72" i="2"/>
  <c r="EE72" i="2"/>
  <c r="BG72" i="2"/>
  <c r="DT72" i="2"/>
  <c r="EF72" i="2"/>
  <c r="BH72" i="2"/>
  <c r="DU72" i="2"/>
  <c r="EG72" i="2"/>
  <c r="BI72" i="2"/>
  <c r="DV72" i="2"/>
  <c r="EH72" i="2"/>
  <c r="BJ72" i="2"/>
  <c r="DW72" i="2"/>
  <c r="EI72" i="2"/>
  <c r="BK72" i="2"/>
  <c r="DX72" i="2"/>
  <c r="EJ72" i="2"/>
  <c r="BA71" i="2"/>
  <c r="DN71" i="2"/>
  <c r="BB71" i="2"/>
  <c r="BC71" i="2"/>
  <c r="DP71" i="2"/>
  <c r="EB71" i="2"/>
  <c r="BD71" i="2"/>
  <c r="DQ71" i="2"/>
  <c r="BE71" i="2"/>
  <c r="DR71" i="2"/>
  <c r="BF71" i="2"/>
  <c r="DS71" i="2"/>
  <c r="EE71" i="2"/>
  <c r="BG71" i="2"/>
  <c r="DT71" i="2"/>
  <c r="BH71" i="2"/>
  <c r="DU71" i="2"/>
  <c r="EG71" i="2"/>
  <c r="BI71" i="2"/>
  <c r="DV71" i="2"/>
  <c r="EH71" i="2"/>
  <c r="BJ71" i="2"/>
  <c r="DW71" i="2"/>
  <c r="BK71" i="2"/>
  <c r="BA70" i="2"/>
  <c r="DN70" i="2"/>
  <c r="DZ70" i="2"/>
  <c r="BB70" i="2"/>
  <c r="DO70" i="2"/>
  <c r="BC70" i="2"/>
  <c r="DP70" i="2"/>
  <c r="BD70" i="2"/>
  <c r="DQ70" i="2"/>
  <c r="EC70" i="2"/>
  <c r="BE70" i="2"/>
  <c r="DR70" i="2"/>
  <c r="ED70" i="2"/>
  <c r="BF70" i="2"/>
  <c r="DS70" i="2"/>
  <c r="EE70" i="2"/>
  <c r="BG70" i="2"/>
  <c r="DT70" i="2"/>
  <c r="BH70" i="2"/>
  <c r="DU70" i="2"/>
  <c r="BI70" i="2"/>
  <c r="DV70" i="2"/>
  <c r="BJ70" i="2"/>
  <c r="DW70" i="2"/>
  <c r="EI70" i="2"/>
  <c r="BK70" i="2"/>
  <c r="BA69" i="2"/>
  <c r="DN69" i="2"/>
  <c r="BB69" i="2"/>
  <c r="DO69" i="2"/>
  <c r="EA69" i="2"/>
  <c r="BC69" i="2"/>
  <c r="DP69" i="2"/>
  <c r="BD69" i="2"/>
  <c r="DQ69" i="2"/>
  <c r="BE69" i="2"/>
  <c r="DR69" i="2"/>
  <c r="BF69" i="2"/>
  <c r="BG69" i="2"/>
  <c r="DT69" i="2"/>
  <c r="BH69" i="2"/>
  <c r="DU69" i="2"/>
  <c r="BI69" i="2"/>
  <c r="DV69" i="2"/>
  <c r="BJ69" i="2"/>
  <c r="DW69" i="2"/>
  <c r="BK69" i="2"/>
  <c r="DX69" i="2"/>
  <c r="EJ69" i="2"/>
  <c r="BA68" i="2"/>
  <c r="BB68" i="2"/>
  <c r="DO68" i="2"/>
  <c r="EA68" i="2"/>
  <c r="BC68" i="2"/>
  <c r="DP68" i="2"/>
  <c r="EB68" i="2"/>
  <c r="BD68" i="2"/>
  <c r="BE68" i="2"/>
  <c r="DR68" i="2"/>
  <c r="ED68" i="2"/>
  <c r="BF68" i="2"/>
  <c r="DS68" i="2"/>
  <c r="EE68" i="2"/>
  <c r="BG68" i="2"/>
  <c r="DT68" i="2"/>
  <c r="BH68" i="2"/>
  <c r="DU68" i="2"/>
  <c r="EG68" i="2"/>
  <c r="BI68" i="2"/>
  <c r="BJ68" i="2"/>
  <c r="DW68" i="2"/>
  <c r="EI68" i="2"/>
  <c r="BK68" i="2"/>
  <c r="DX68" i="2"/>
  <c r="EJ68" i="2"/>
  <c r="BA67" i="2"/>
  <c r="DN67" i="2"/>
  <c r="DZ67" i="2"/>
  <c r="BB67" i="2"/>
  <c r="DO67" i="2"/>
  <c r="BC67" i="2"/>
  <c r="DP67" i="2"/>
  <c r="EB67" i="2"/>
  <c r="BD67" i="2"/>
  <c r="DQ67" i="2"/>
  <c r="BE67" i="2"/>
  <c r="BF67" i="2"/>
  <c r="DS67" i="2"/>
  <c r="BG67" i="2"/>
  <c r="DT67" i="2"/>
  <c r="EF67" i="2"/>
  <c r="BH67" i="2"/>
  <c r="DU67" i="2"/>
  <c r="BI67" i="2"/>
  <c r="DV67" i="2"/>
  <c r="EH67" i="2"/>
  <c r="BJ67" i="2"/>
  <c r="DW67" i="2"/>
  <c r="EI67" i="2"/>
  <c r="BK67" i="2"/>
  <c r="BA66" i="2"/>
  <c r="DN66" i="2"/>
  <c r="BB66" i="2"/>
  <c r="DO66" i="2"/>
  <c r="BC66" i="2"/>
  <c r="DP66" i="2"/>
  <c r="BD66" i="2"/>
  <c r="BE66" i="2"/>
  <c r="DR66" i="2"/>
  <c r="ED66" i="2"/>
  <c r="BF66" i="2"/>
  <c r="BG66" i="2"/>
  <c r="DT66" i="2"/>
  <c r="BH66" i="2"/>
  <c r="DU66" i="2"/>
  <c r="BI66" i="2"/>
  <c r="DV66" i="2"/>
  <c r="BJ66" i="2"/>
  <c r="BK66" i="2"/>
  <c r="DX66" i="2"/>
  <c r="EJ66" i="2"/>
  <c r="BA63" i="2"/>
  <c r="DN63" i="2"/>
  <c r="BB63" i="2"/>
  <c r="DO63" i="2"/>
  <c r="EA63" i="2"/>
  <c r="BC63" i="2"/>
  <c r="DP63" i="2"/>
  <c r="EB63" i="2"/>
  <c r="BD63" i="2"/>
  <c r="DQ63" i="2"/>
  <c r="EC63" i="2"/>
  <c r="BE63" i="2"/>
  <c r="DR63" i="2"/>
  <c r="BF63" i="2"/>
  <c r="DS63" i="2"/>
  <c r="EE63" i="2"/>
  <c r="BG63" i="2"/>
  <c r="DT63" i="2"/>
  <c r="BH63" i="2"/>
  <c r="DU63" i="2"/>
  <c r="BI63" i="2"/>
  <c r="DV63" i="2"/>
  <c r="EH63" i="2"/>
  <c r="BJ63" i="2"/>
  <c r="DW63" i="2"/>
  <c r="BK63" i="2"/>
  <c r="DX63" i="2"/>
  <c r="BA62" i="2"/>
  <c r="DN62" i="2"/>
  <c r="BB62" i="2"/>
  <c r="DO62" i="2"/>
  <c r="BC62" i="2"/>
  <c r="DP62" i="2"/>
  <c r="EB62" i="2"/>
  <c r="BD62" i="2"/>
  <c r="DQ62" i="2"/>
  <c r="EC62" i="2"/>
  <c r="BE62" i="2"/>
  <c r="DR62" i="2"/>
  <c r="ED62" i="2"/>
  <c r="BF62" i="2"/>
  <c r="DS62" i="2"/>
  <c r="BG62" i="2"/>
  <c r="DT62" i="2"/>
  <c r="BH62" i="2"/>
  <c r="DU62" i="2"/>
  <c r="BI62" i="2"/>
  <c r="DV62" i="2"/>
  <c r="EH62" i="2"/>
  <c r="BJ62" i="2"/>
  <c r="DW62" i="2"/>
  <c r="EI62" i="2"/>
  <c r="BK62" i="2"/>
  <c r="DX62" i="2"/>
  <c r="BA61" i="2"/>
  <c r="DN61" i="2"/>
  <c r="BB61" i="2"/>
  <c r="DO61" i="2"/>
  <c r="EA61" i="2"/>
  <c r="BC61" i="2"/>
  <c r="DP61" i="2"/>
  <c r="BD61" i="2"/>
  <c r="DQ61" i="2"/>
  <c r="BE61" i="2"/>
  <c r="DR61" i="2"/>
  <c r="BF61" i="2"/>
  <c r="DS61" i="2"/>
  <c r="BG61" i="2"/>
  <c r="DT61" i="2"/>
  <c r="BH61" i="2"/>
  <c r="DU61" i="2"/>
  <c r="EG61" i="2"/>
  <c r="BI61" i="2"/>
  <c r="DV61" i="2"/>
  <c r="BJ61" i="2"/>
  <c r="DW61" i="2"/>
  <c r="BK61" i="2"/>
  <c r="DX61" i="2"/>
  <c r="EJ61" i="2"/>
  <c r="BA60" i="2"/>
  <c r="DN60" i="2"/>
  <c r="DZ60" i="2"/>
  <c r="BB60" i="2"/>
  <c r="DO60" i="2"/>
  <c r="EA60" i="2"/>
  <c r="BC60" i="2"/>
  <c r="DP60" i="2"/>
  <c r="BD60" i="2"/>
  <c r="DQ60" i="2"/>
  <c r="EC60" i="2"/>
  <c r="BE60" i="2"/>
  <c r="DR60" i="2"/>
  <c r="ED60" i="2"/>
  <c r="BF60" i="2"/>
  <c r="DS60" i="2"/>
  <c r="EE60" i="2"/>
  <c r="BG60" i="2"/>
  <c r="DT60" i="2"/>
  <c r="EF60" i="2"/>
  <c r="BH60" i="2"/>
  <c r="DU60" i="2"/>
  <c r="EG60" i="2"/>
  <c r="BI60" i="2"/>
  <c r="DV60" i="2"/>
  <c r="EH60" i="2"/>
  <c r="BJ60" i="2"/>
  <c r="DW60" i="2"/>
  <c r="EI60" i="2"/>
  <c r="BK60" i="2"/>
  <c r="DX60" i="2"/>
  <c r="EJ60" i="2"/>
  <c r="BA59" i="2"/>
  <c r="DN59" i="2"/>
  <c r="BB59" i="2"/>
  <c r="DO59" i="2"/>
  <c r="BC59" i="2"/>
  <c r="DP59" i="2"/>
  <c r="EB59" i="2"/>
  <c r="BD59" i="2"/>
  <c r="DQ59" i="2"/>
  <c r="EC59" i="2"/>
  <c r="BE59" i="2"/>
  <c r="DR59" i="2"/>
  <c r="ED59" i="2"/>
  <c r="BF59" i="2"/>
  <c r="DS59" i="2"/>
  <c r="EE59" i="2"/>
  <c r="BG59" i="2"/>
  <c r="DT59" i="2"/>
  <c r="EF59" i="2"/>
  <c r="BH59" i="2"/>
  <c r="DU59" i="2"/>
  <c r="BI59" i="2"/>
  <c r="DV59" i="2"/>
  <c r="EH59" i="2"/>
  <c r="BJ59" i="2"/>
  <c r="DW59" i="2"/>
  <c r="BK59" i="2"/>
  <c r="BA58" i="2"/>
  <c r="DN58" i="2"/>
  <c r="DZ58" i="2"/>
  <c r="BB58" i="2"/>
  <c r="BC58" i="2"/>
  <c r="DP58" i="2"/>
  <c r="BD58" i="2"/>
  <c r="DQ58" i="2"/>
  <c r="EC58" i="2"/>
  <c r="BE58" i="2"/>
  <c r="DR58" i="2"/>
  <c r="ED58" i="2"/>
  <c r="BF58" i="2"/>
  <c r="BR58" i="2"/>
  <c r="BG58" i="2"/>
  <c r="DT58" i="2"/>
  <c r="EF58" i="2"/>
  <c r="BH58" i="2"/>
  <c r="DU58" i="2"/>
  <c r="BI58" i="2"/>
  <c r="BJ58" i="2"/>
  <c r="BK58" i="2"/>
  <c r="DX58" i="2"/>
  <c r="EJ58" i="2"/>
  <c r="BA57" i="2"/>
  <c r="DN57" i="2"/>
  <c r="BB57" i="2"/>
  <c r="DO57" i="2"/>
  <c r="BC57" i="2"/>
  <c r="DP57" i="2"/>
  <c r="BD57" i="2"/>
  <c r="DQ57" i="2"/>
  <c r="BE57" i="2"/>
  <c r="DR57" i="2"/>
  <c r="ED57" i="2"/>
  <c r="BF57" i="2"/>
  <c r="DS57" i="2"/>
  <c r="BG57" i="2"/>
  <c r="DT57" i="2"/>
  <c r="BH57" i="2"/>
  <c r="DU57" i="2"/>
  <c r="BI57" i="2"/>
  <c r="DV57" i="2"/>
  <c r="BJ57" i="2"/>
  <c r="DW57" i="2"/>
  <c r="BK57" i="2"/>
  <c r="BA56" i="2"/>
  <c r="DN56" i="2"/>
  <c r="BB56" i="2"/>
  <c r="DO56" i="2"/>
  <c r="EA56" i="2"/>
  <c r="BC56" i="2"/>
  <c r="DP56" i="2"/>
  <c r="EB56" i="2"/>
  <c r="BD56" i="2"/>
  <c r="DQ56" i="2"/>
  <c r="EC56" i="2"/>
  <c r="BE56" i="2"/>
  <c r="DR56" i="2"/>
  <c r="ED56" i="2"/>
  <c r="BF56" i="2"/>
  <c r="DS56" i="2"/>
  <c r="EE56" i="2"/>
  <c r="BG56" i="2"/>
  <c r="DT56" i="2"/>
  <c r="BH56" i="2"/>
  <c r="DU56" i="2"/>
  <c r="EG56" i="2"/>
  <c r="BI56" i="2"/>
  <c r="DV56" i="2"/>
  <c r="EH56" i="2"/>
  <c r="BJ56" i="2"/>
  <c r="DW56" i="2"/>
  <c r="EI56" i="2"/>
  <c r="BK56" i="2"/>
  <c r="DX56" i="2"/>
  <c r="EJ56" i="2"/>
  <c r="BA55" i="2"/>
  <c r="DN55" i="2"/>
  <c r="DZ55" i="2"/>
  <c r="BB55" i="2"/>
  <c r="DO55" i="2"/>
  <c r="BC55" i="2"/>
  <c r="DP55" i="2"/>
  <c r="EB55" i="2"/>
  <c r="BD55" i="2"/>
  <c r="DQ55" i="2"/>
  <c r="EC55" i="2"/>
  <c r="BE55" i="2"/>
  <c r="DR55" i="2"/>
  <c r="BF55" i="2"/>
  <c r="DS55" i="2"/>
  <c r="BG55" i="2"/>
  <c r="DT55" i="2"/>
  <c r="EF55" i="2"/>
  <c r="BH55" i="2"/>
  <c r="DU55" i="2"/>
  <c r="BI55" i="2"/>
  <c r="DV55" i="2"/>
  <c r="EH55" i="2"/>
  <c r="BJ55" i="2"/>
  <c r="DW55" i="2"/>
  <c r="EI55" i="2"/>
  <c r="BK55" i="2"/>
  <c r="DX55" i="2"/>
  <c r="BA54" i="2"/>
  <c r="DN54" i="2"/>
  <c r="BB54" i="2"/>
  <c r="DO54" i="2"/>
  <c r="BC54" i="2"/>
  <c r="DP54" i="2"/>
  <c r="BD54" i="2"/>
  <c r="DQ54" i="2"/>
  <c r="BE54" i="2"/>
  <c r="DR54" i="2"/>
  <c r="ED54" i="2"/>
  <c r="BF54" i="2"/>
  <c r="DS54" i="2"/>
  <c r="BG54" i="2"/>
  <c r="DT54" i="2"/>
  <c r="BH54" i="2"/>
  <c r="DU54" i="2"/>
  <c r="BI54" i="2"/>
  <c r="DV54" i="2"/>
  <c r="BJ54" i="2"/>
  <c r="BK54" i="2"/>
  <c r="DX54" i="2"/>
  <c r="EJ54" i="2"/>
  <c r="BA53" i="2"/>
  <c r="DN53" i="2"/>
  <c r="DZ53" i="2"/>
  <c r="BB53" i="2"/>
  <c r="DO53" i="2"/>
  <c r="EA53" i="2"/>
  <c r="BC53" i="2"/>
  <c r="DP53" i="2"/>
  <c r="EB53" i="2"/>
  <c r="BD53" i="2"/>
  <c r="DQ53" i="2"/>
  <c r="EC53" i="2"/>
  <c r="BE53" i="2"/>
  <c r="DR53" i="2"/>
  <c r="ED53" i="2"/>
  <c r="BF53" i="2"/>
  <c r="DS53" i="2"/>
  <c r="EE53" i="2"/>
  <c r="BG53" i="2"/>
  <c r="BH53" i="2"/>
  <c r="DU53" i="2"/>
  <c r="EG53" i="2"/>
  <c r="BI53" i="2"/>
  <c r="DV53" i="2"/>
  <c r="EH53" i="2"/>
  <c r="BJ53" i="2"/>
  <c r="DW53" i="2"/>
  <c r="EI53" i="2"/>
  <c r="BK53" i="2"/>
  <c r="DX53" i="2"/>
  <c r="EJ53" i="2"/>
  <c r="BA52" i="2"/>
  <c r="BB52" i="2"/>
  <c r="BC52" i="2"/>
  <c r="DP52" i="2"/>
  <c r="EB52" i="2"/>
  <c r="BD52" i="2"/>
  <c r="DQ52" i="2"/>
  <c r="EC52" i="2"/>
  <c r="BE52" i="2"/>
  <c r="DR52" i="2"/>
  <c r="BF52" i="2"/>
  <c r="BG52" i="2"/>
  <c r="BS52" i="2"/>
  <c r="BH52" i="2"/>
  <c r="DU52" i="2"/>
  <c r="BI52" i="2"/>
  <c r="DV52" i="2"/>
  <c r="EH52" i="2"/>
  <c r="BJ52" i="2"/>
  <c r="DW52" i="2"/>
  <c r="EI52" i="2"/>
  <c r="BK52" i="2"/>
  <c r="DX52" i="2"/>
  <c r="EJ52" i="2"/>
  <c r="BA51" i="2"/>
  <c r="DN51" i="2"/>
  <c r="BB51" i="2"/>
  <c r="DO51" i="2"/>
  <c r="EA51" i="2"/>
  <c r="BC51" i="2"/>
  <c r="DP51" i="2"/>
  <c r="BD51" i="2"/>
  <c r="DQ51" i="2"/>
  <c r="BE51" i="2"/>
  <c r="DR51" i="2"/>
  <c r="ED51" i="2"/>
  <c r="BF51" i="2"/>
  <c r="DS51" i="2"/>
  <c r="BG51" i="2"/>
  <c r="DT51" i="2"/>
  <c r="BH51" i="2"/>
  <c r="DU51" i="2"/>
  <c r="EG51" i="2"/>
  <c r="BI51" i="2"/>
  <c r="DV51" i="2"/>
  <c r="BJ51" i="2"/>
  <c r="DW51" i="2"/>
  <c r="BK51" i="2"/>
  <c r="DX51" i="2"/>
  <c r="BA50" i="2"/>
  <c r="DN50" i="2"/>
  <c r="DZ50" i="2"/>
  <c r="BB50" i="2"/>
  <c r="DO50" i="2"/>
  <c r="BC50" i="2"/>
  <c r="DP50" i="2"/>
  <c r="BD50" i="2"/>
  <c r="DQ50" i="2"/>
  <c r="EC50" i="2"/>
  <c r="BE50" i="2"/>
  <c r="DR50" i="2"/>
  <c r="BF50" i="2"/>
  <c r="DS50" i="2"/>
  <c r="BG50" i="2"/>
  <c r="DT50" i="2"/>
  <c r="EF50" i="2"/>
  <c r="BH50" i="2"/>
  <c r="DU50" i="2"/>
  <c r="EG50" i="2"/>
  <c r="BI50" i="2"/>
  <c r="DV50" i="2"/>
  <c r="BJ50" i="2"/>
  <c r="DW50" i="2"/>
  <c r="EI50" i="2"/>
  <c r="BK50" i="2"/>
  <c r="DX50" i="2"/>
  <c r="BA49" i="2"/>
  <c r="DN49" i="2"/>
  <c r="DZ49" i="2"/>
  <c r="BB49" i="2"/>
  <c r="DO49" i="2"/>
  <c r="BC49" i="2"/>
  <c r="DP49" i="2"/>
  <c r="BD49" i="2"/>
  <c r="DQ49" i="2"/>
  <c r="EC49" i="2"/>
  <c r="BE49" i="2"/>
  <c r="DR49" i="2"/>
  <c r="ED49" i="2"/>
  <c r="BF49" i="2"/>
  <c r="DS49" i="2"/>
  <c r="EE49" i="2"/>
  <c r="BG49" i="2"/>
  <c r="DT49" i="2"/>
  <c r="BH49" i="2"/>
  <c r="DU49" i="2"/>
  <c r="BI49" i="2"/>
  <c r="DV49" i="2"/>
  <c r="EH49" i="2"/>
  <c r="BJ49" i="2"/>
  <c r="DW49" i="2"/>
  <c r="EI49" i="2"/>
  <c r="BK49" i="2"/>
  <c r="DX49" i="2"/>
  <c r="EJ49" i="2"/>
  <c r="BA48" i="2"/>
  <c r="BB48" i="2"/>
  <c r="BC48" i="2"/>
  <c r="DP48" i="2"/>
  <c r="EB48" i="2"/>
  <c r="BD48" i="2"/>
  <c r="BE48" i="2"/>
  <c r="DR48" i="2"/>
  <c r="ED48" i="2"/>
  <c r="BF48" i="2"/>
  <c r="BG48" i="2"/>
  <c r="DT48" i="2"/>
  <c r="EF48" i="2"/>
  <c r="BH48" i="2"/>
  <c r="DU48" i="2"/>
  <c r="EG48" i="2"/>
  <c r="BI48" i="2"/>
  <c r="BJ48" i="2"/>
  <c r="DW48" i="2"/>
  <c r="EI48" i="2"/>
  <c r="BK48" i="2"/>
  <c r="BA47" i="2"/>
  <c r="DN47" i="2"/>
  <c r="BB47" i="2"/>
  <c r="DO47" i="2"/>
  <c r="EA47" i="2"/>
  <c r="BC47" i="2"/>
  <c r="DP47" i="2"/>
  <c r="BD47" i="2"/>
  <c r="DQ47" i="2"/>
  <c r="BE47" i="2"/>
  <c r="DR47" i="2"/>
  <c r="BF47" i="2"/>
  <c r="DS47" i="2"/>
  <c r="EE47" i="2"/>
  <c r="BG47" i="2"/>
  <c r="DT47" i="2"/>
  <c r="BH47" i="2"/>
  <c r="DU47" i="2"/>
  <c r="BI47" i="2"/>
  <c r="DV47" i="2"/>
  <c r="BJ47" i="2"/>
  <c r="DW47" i="2"/>
  <c r="BK47" i="2"/>
  <c r="DX47" i="2"/>
  <c r="EJ47" i="2"/>
  <c r="BA46" i="2"/>
  <c r="DN46" i="2"/>
  <c r="DZ46" i="2"/>
  <c r="BB46" i="2"/>
  <c r="DO46" i="2"/>
  <c r="EA46" i="2"/>
  <c r="BC46" i="2"/>
  <c r="DP46" i="2"/>
  <c r="EB46" i="2"/>
  <c r="BD46" i="2"/>
  <c r="DQ46" i="2"/>
  <c r="EC46" i="2"/>
  <c r="BE46" i="2"/>
  <c r="DR46" i="2"/>
  <c r="ED46" i="2"/>
  <c r="BF46" i="2"/>
  <c r="DS46" i="2"/>
  <c r="EE46" i="2"/>
  <c r="BG46" i="2"/>
  <c r="DT46" i="2"/>
  <c r="EF46" i="2"/>
  <c r="BH46" i="2"/>
  <c r="DU46" i="2"/>
  <c r="EG46" i="2"/>
  <c r="BI46" i="2"/>
  <c r="DV46" i="2"/>
  <c r="EH46" i="2"/>
  <c r="BJ46" i="2"/>
  <c r="DW46" i="2"/>
  <c r="EI46" i="2"/>
  <c r="BK46" i="2"/>
  <c r="DX46" i="2"/>
  <c r="EJ46" i="2"/>
  <c r="BA45" i="2"/>
  <c r="DN45" i="2"/>
  <c r="DZ45" i="2"/>
  <c r="BB45" i="2"/>
  <c r="DO45" i="2"/>
  <c r="BC45" i="2"/>
  <c r="DP45" i="2"/>
  <c r="EB45" i="2"/>
  <c r="BD45" i="2"/>
  <c r="DQ45" i="2"/>
  <c r="BE45" i="2"/>
  <c r="DR45" i="2"/>
  <c r="BF45" i="2"/>
  <c r="DS45" i="2"/>
  <c r="BG45" i="2"/>
  <c r="DT45" i="2"/>
  <c r="EF45" i="2"/>
  <c r="BH45" i="2"/>
  <c r="DU45" i="2"/>
  <c r="BI45" i="2"/>
  <c r="DV45" i="2"/>
  <c r="EH45" i="2"/>
  <c r="BJ45" i="2"/>
  <c r="DW45" i="2"/>
  <c r="EI45" i="2"/>
  <c r="BK45" i="2"/>
  <c r="DX45" i="2"/>
  <c r="EJ45" i="2"/>
  <c r="BA44" i="2"/>
  <c r="DN44" i="2"/>
  <c r="BB44" i="2"/>
  <c r="DO44" i="2"/>
  <c r="BC44" i="2"/>
  <c r="DP44" i="2"/>
  <c r="BD44" i="2"/>
  <c r="DQ44" i="2"/>
  <c r="BE44" i="2"/>
  <c r="DR44" i="2"/>
  <c r="ED44" i="2"/>
  <c r="BF44" i="2"/>
  <c r="DS44" i="2"/>
  <c r="BG44" i="2"/>
  <c r="DT44" i="2"/>
  <c r="BH44" i="2"/>
  <c r="DU44" i="2"/>
  <c r="BI44" i="2"/>
  <c r="DV44" i="2"/>
  <c r="BJ44" i="2"/>
  <c r="DW44" i="2"/>
  <c r="BK44" i="2"/>
  <c r="DX44" i="2"/>
  <c r="EJ44" i="2"/>
  <c r="BA43" i="2"/>
  <c r="DN43" i="2"/>
  <c r="BB43" i="2"/>
  <c r="BC43" i="2"/>
  <c r="DP43" i="2"/>
  <c r="EB43" i="2"/>
  <c r="BD43" i="2"/>
  <c r="BE43" i="2"/>
  <c r="DR43" i="2"/>
  <c r="ED43" i="2"/>
  <c r="BF43" i="2"/>
  <c r="DS43" i="2"/>
  <c r="EE43" i="2"/>
  <c r="BG43" i="2"/>
  <c r="DT43" i="2"/>
  <c r="EF43" i="2"/>
  <c r="BH43" i="2"/>
  <c r="DU43" i="2"/>
  <c r="EG43" i="2"/>
  <c r="BI43" i="2"/>
  <c r="DV43" i="2"/>
  <c r="EH43" i="2"/>
  <c r="BJ43" i="2"/>
  <c r="DW43" i="2"/>
  <c r="EI43" i="2"/>
  <c r="BK43" i="2"/>
  <c r="DX43" i="2"/>
  <c r="EJ43" i="2"/>
  <c r="BA42" i="2"/>
  <c r="DN42" i="2"/>
  <c r="DZ42" i="2"/>
  <c r="BB42" i="2"/>
  <c r="DO42" i="2"/>
  <c r="EA42" i="2"/>
  <c r="BC42" i="2"/>
  <c r="DP42" i="2"/>
  <c r="EB42" i="2"/>
  <c r="BD42" i="2"/>
  <c r="DQ42" i="2"/>
  <c r="EC42" i="2"/>
  <c r="BE42" i="2"/>
  <c r="DR42" i="2"/>
  <c r="BF42" i="2"/>
  <c r="DS42" i="2"/>
  <c r="EE42" i="2"/>
  <c r="BG42" i="2"/>
  <c r="DT42" i="2"/>
  <c r="EF42" i="2"/>
  <c r="BH42" i="2"/>
  <c r="DU42" i="2"/>
  <c r="EG42" i="2"/>
  <c r="BI42" i="2"/>
  <c r="DV42" i="2"/>
  <c r="EH42" i="2"/>
  <c r="BJ42" i="2"/>
  <c r="DW42" i="2"/>
  <c r="EI42" i="2"/>
  <c r="BK42" i="2"/>
  <c r="DX42" i="2"/>
  <c r="EJ42" i="2"/>
  <c r="BA41" i="2"/>
  <c r="DN41" i="2"/>
  <c r="BB41" i="2"/>
  <c r="DO41" i="2"/>
  <c r="BC41" i="2"/>
  <c r="DP41" i="2"/>
  <c r="BD41" i="2"/>
  <c r="DQ41" i="2"/>
  <c r="EC41" i="2"/>
  <c r="BE41" i="2"/>
  <c r="DR41" i="2"/>
  <c r="ED41" i="2"/>
  <c r="BF41" i="2"/>
  <c r="DS41" i="2"/>
  <c r="EE41" i="2"/>
  <c r="BG41" i="2"/>
  <c r="DT41" i="2"/>
  <c r="EF41" i="2"/>
  <c r="BH41" i="2"/>
  <c r="DU41" i="2"/>
  <c r="BI41" i="2"/>
  <c r="DV41" i="2"/>
  <c r="BJ41" i="2"/>
  <c r="DW41" i="2"/>
  <c r="EI41" i="2"/>
  <c r="BK41" i="2"/>
  <c r="DX41" i="2"/>
  <c r="EJ41" i="2"/>
  <c r="BA40" i="2"/>
  <c r="DN40" i="2"/>
  <c r="BB40" i="2"/>
  <c r="DO40" i="2"/>
  <c r="BC40" i="2"/>
  <c r="DP40" i="2"/>
  <c r="BD40" i="2"/>
  <c r="DQ40" i="2"/>
  <c r="BE40" i="2"/>
  <c r="DR40" i="2"/>
  <c r="ED40" i="2"/>
  <c r="BF40" i="2"/>
  <c r="DS40" i="2"/>
  <c r="EE40" i="2"/>
  <c r="BG40" i="2"/>
  <c r="DT40" i="2"/>
  <c r="BH40" i="2"/>
  <c r="DU40" i="2"/>
  <c r="EG40" i="2"/>
  <c r="BI40" i="2"/>
  <c r="DV40" i="2"/>
  <c r="BJ40" i="2"/>
  <c r="DW40" i="2"/>
  <c r="BK40" i="2"/>
  <c r="DX40" i="2"/>
  <c r="BA39" i="2"/>
  <c r="DN39" i="2"/>
  <c r="DZ39" i="2"/>
  <c r="BB39" i="2"/>
  <c r="DO39" i="2"/>
  <c r="EA39" i="2"/>
  <c r="BC39" i="2"/>
  <c r="DP39" i="2"/>
  <c r="EB39" i="2"/>
  <c r="BD39" i="2"/>
  <c r="DQ39" i="2"/>
  <c r="EC39" i="2"/>
  <c r="BE39" i="2"/>
  <c r="DR39" i="2"/>
  <c r="BF39" i="2"/>
  <c r="DS39" i="2"/>
  <c r="EE39" i="2"/>
  <c r="BG39" i="2"/>
  <c r="DT39" i="2"/>
  <c r="EF39" i="2"/>
  <c r="BH39" i="2"/>
  <c r="DU39" i="2"/>
  <c r="EG39" i="2"/>
  <c r="BI39" i="2"/>
  <c r="DV39" i="2"/>
  <c r="EH39" i="2"/>
  <c r="BJ39" i="2"/>
  <c r="DW39" i="2"/>
  <c r="EI39" i="2"/>
  <c r="BK39" i="2"/>
  <c r="DX39" i="2"/>
  <c r="EJ39" i="2"/>
  <c r="BA38" i="2"/>
  <c r="DN38" i="2"/>
  <c r="BB38" i="2"/>
  <c r="DO38" i="2"/>
  <c r="EA38" i="2"/>
  <c r="BC38" i="2"/>
  <c r="DP38" i="2"/>
  <c r="EB38" i="2"/>
  <c r="BD38" i="2"/>
  <c r="DQ38" i="2"/>
  <c r="EC38" i="2"/>
  <c r="BE38" i="2"/>
  <c r="DR38" i="2"/>
  <c r="BF38" i="2"/>
  <c r="DS38" i="2"/>
  <c r="EE38" i="2"/>
  <c r="BG38" i="2"/>
  <c r="DT38" i="2"/>
  <c r="EF38" i="2"/>
  <c r="BH38" i="2"/>
  <c r="DU38" i="2"/>
  <c r="BI38" i="2"/>
  <c r="DV38" i="2"/>
  <c r="EH38" i="2"/>
  <c r="BJ38" i="2"/>
  <c r="DW38" i="2"/>
  <c r="EI38" i="2"/>
  <c r="BK38" i="2"/>
  <c r="DX38" i="2"/>
  <c r="BA37" i="2"/>
  <c r="DN37" i="2"/>
  <c r="DZ37" i="2"/>
  <c r="BB37" i="2"/>
  <c r="DO37" i="2"/>
  <c r="EA37" i="2"/>
  <c r="BC37" i="2"/>
  <c r="DP37" i="2"/>
  <c r="EB37" i="2"/>
  <c r="BD37" i="2"/>
  <c r="DQ37" i="2"/>
  <c r="EC37" i="2"/>
  <c r="BE37" i="2"/>
  <c r="DR37" i="2"/>
  <c r="ED37" i="2"/>
  <c r="BF37" i="2"/>
  <c r="DS37" i="2"/>
  <c r="BG37" i="2"/>
  <c r="DT37" i="2"/>
  <c r="EF37" i="2"/>
  <c r="BH37" i="2"/>
  <c r="DU37" i="2"/>
  <c r="EG37" i="2"/>
  <c r="BI37" i="2"/>
  <c r="DV37" i="2"/>
  <c r="EH37" i="2"/>
  <c r="BJ37" i="2"/>
  <c r="DW37" i="2"/>
  <c r="EI37" i="2"/>
  <c r="BK37" i="2"/>
  <c r="DX37" i="2"/>
  <c r="EJ37" i="2"/>
  <c r="BA36" i="2"/>
  <c r="DN36" i="2"/>
  <c r="DZ36" i="2"/>
  <c r="BB36" i="2"/>
  <c r="DO36" i="2"/>
  <c r="EA36" i="2"/>
  <c r="BC36" i="2"/>
  <c r="DP36" i="2"/>
  <c r="EB36" i="2"/>
  <c r="BD36" i="2"/>
  <c r="DQ36" i="2"/>
  <c r="BE36" i="2"/>
  <c r="DR36" i="2"/>
  <c r="BF36" i="2"/>
  <c r="DS36" i="2"/>
  <c r="EE36" i="2"/>
  <c r="BG36" i="2"/>
  <c r="DT36" i="2"/>
  <c r="EF36" i="2"/>
  <c r="BH36" i="2"/>
  <c r="DU36" i="2"/>
  <c r="EG36" i="2"/>
  <c r="BI36" i="2"/>
  <c r="DV36" i="2"/>
  <c r="EH36" i="2"/>
  <c r="BJ36" i="2"/>
  <c r="DW36" i="2"/>
  <c r="EI36" i="2"/>
  <c r="BK36" i="2"/>
  <c r="DX36" i="2"/>
  <c r="BA35" i="2"/>
  <c r="DN35" i="2"/>
  <c r="BB35" i="2"/>
  <c r="DO35" i="2"/>
  <c r="EA35" i="2"/>
  <c r="BC35" i="2"/>
  <c r="DP35" i="2"/>
  <c r="EB35" i="2"/>
  <c r="BD35" i="2"/>
  <c r="DQ35" i="2"/>
  <c r="EC35" i="2"/>
  <c r="BE35" i="2"/>
  <c r="BF35" i="2"/>
  <c r="DS35" i="2"/>
  <c r="EE35" i="2"/>
  <c r="BG35" i="2"/>
  <c r="DT35" i="2"/>
  <c r="EF35" i="2"/>
  <c r="BH35" i="2"/>
  <c r="DU35" i="2"/>
  <c r="BI35" i="2"/>
  <c r="DV35" i="2"/>
  <c r="EH35" i="2"/>
  <c r="BJ35" i="2"/>
  <c r="DW35" i="2"/>
  <c r="EI35" i="2"/>
  <c r="BK35" i="2"/>
  <c r="DX35" i="2"/>
  <c r="EJ35" i="2"/>
  <c r="BA34" i="2"/>
  <c r="DN34" i="2"/>
  <c r="BB34" i="2"/>
  <c r="DO34" i="2"/>
  <c r="EA34" i="2"/>
  <c r="BC34" i="2"/>
  <c r="DP34" i="2"/>
  <c r="EB34" i="2"/>
  <c r="BD34" i="2"/>
  <c r="DQ34" i="2"/>
  <c r="BE34" i="2"/>
  <c r="DR34" i="2"/>
  <c r="BF34" i="2"/>
  <c r="DS34" i="2"/>
  <c r="BG34" i="2"/>
  <c r="DT34" i="2"/>
  <c r="BH34" i="2"/>
  <c r="DU34" i="2"/>
  <c r="BI34" i="2"/>
  <c r="DV34" i="2"/>
  <c r="BJ34" i="2"/>
  <c r="DW34" i="2"/>
  <c r="BK34" i="2"/>
  <c r="DX34" i="2"/>
  <c r="EJ34" i="2"/>
  <c r="BA33" i="2"/>
  <c r="DN33" i="2"/>
  <c r="DZ33" i="2"/>
  <c r="BB33" i="2"/>
  <c r="DO33" i="2"/>
  <c r="EA33" i="2"/>
  <c r="BC33" i="2"/>
  <c r="DP33" i="2"/>
  <c r="EB33" i="2"/>
  <c r="BD33" i="2"/>
  <c r="DQ33" i="2"/>
  <c r="BE33" i="2"/>
  <c r="DR33" i="2"/>
  <c r="ED33" i="2"/>
  <c r="BF33" i="2"/>
  <c r="DS33" i="2"/>
  <c r="EE33" i="2"/>
  <c r="BG33" i="2"/>
  <c r="DT33" i="2"/>
  <c r="EF33" i="2"/>
  <c r="BH33" i="2"/>
  <c r="DU33" i="2"/>
  <c r="EG33" i="2"/>
  <c r="BI33" i="2"/>
  <c r="DV33" i="2"/>
  <c r="EH33" i="2"/>
  <c r="BJ33" i="2"/>
  <c r="DW33" i="2"/>
  <c r="BK33" i="2"/>
  <c r="DX33" i="2"/>
  <c r="EJ33" i="2"/>
  <c r="BA32" i="2"/>
  <c r="DN32" i="2"/>
  <c r="DZ32" i="2"/>
  <c r="BB32" i="2"/>
  <c r="DO32" i="2"/>
  <c r="EA32" i="2"/>
  <c r="BC32" i="2"/>
  <c r="DP32" i="2"/>
  <c r="BD32" i="2"/>
  <c r="DQ32" i="2"/>
  <c r="EC32" i="2"/>
  <c r="BE32" i="2"/>
  <c r="DR32" i="2"/>
  <c r="BF32" i="2"/>
  <c r="DS32" i="2"/>
  <c r="EE32" i="2"/>
  <c r="BG32" i="2"/>
  <c r="DT32" i="2"/>
  <c r="EF32" i="2"/>
  <c r="BH32" i="2"/>
  <c r="DU32" i="2"/>
  <c r="BI32" i="2"/>
  <c r="DV32" i="2"/>
  <c r="EH32" i="2"/>
  <c r="BJ32" i="2"/>
  <c r="BK32" i="2"/>
  <c r="DX32" i="2"/>
  <c r="BA31" i="2"/>
  <c r="DN31" i="2"/>
  <c r="BB31" i="2"/>
  <c r="DO31" i="2"/>
  <c r="EA31" i="2"/>
  <c r="BC31" i="2"/>
  <c r="DP31" i="2"/>
  <c r="BD31" i="2"/>
  <c r="DQ31" i="2"/>
  <c r="BE31" i="2"/>
  <c r="DR31" i="2"/>
  <c r="BF31" i="2"/>
  <c r="BG31" i="2"/>
  <c r="DT31" i="2"/>
  <c r="BH31" i="2"/>
  <c r="DU31" i="2"/>
  <c r="EG31" i="2"/>
  <c r="BI31" i="2"/>
  <c r="BJ31" i="2"/>
  <c r="DW31" i="2"/>
  <c r="BK31" i="2"/>
  <c r="DX31" i="2"/>
  <c r="BA30" i="2"/>
  <c r="DN30" i="2"/>
  <c r="DZ30" i="2"/>
  <c r="BB30" i="2"/>
  <c r="DO30" i="2"/>
  <c r="BC30" i="2"/>
  <c r="DP30" i="2"/>
  <c r="EB30" i="2"/>
  <c r="BD30" i="2"/>
  <c r="DQ30" i="2"/>
  <c r="EC30" i="2"/>
  <c r="BE30" i="2"/>
  <c r="DR30" i="2"/>
  <c r="ED30" i="2"/>
  <c r="BF30" i="2"/>
  <c r="DS30" i="2"/>
  <c r="EE30" i="2"/>
  <c r="BG30" i="2"/>
  <c r="DT30" i="2"/>
  <c r="EF30" i="2"/>
  <c r="BH30" i="2"/>
  <c r="DU30" i="2"/>
  <c r="EG30" i="2"/>
  <c r="BI30" i="2"/>
  <c r="DV30" i="2"/>
  <c r="EH30" i="2"/>
  <c r="BJ30" i="2"/>
  <c r="DW30" i="2"/>
  <c r="EI30" i="2"/>
  <c r="BK30" i="2"/>
  <c r="BA29" i="2"/>
  <c r="DN29" i="2"/>
  <c r="DZ29" i="2"/>
  <c r="BB29" i="2"/>
  <c r="DO29" i="2"/>
  <c r="EA29" i="2"/>
  <c r="BC29" i="2"/>
  <c r="DP29" i="2"/>
  <c r="EB29" i="2"/>
  <c r="BD29" i="2"/>
  <c r="DQ29" i="2"/>
  <c r="EC29" i="2"/>
  <c r="BE29" i="2"/>
  <c r="DR29" i="2"/>
  <c r="BF29" i="2"/>
  <c r="DS29" i="2"/>
  <c r="BG29" i="2"/>
  <c r="BH29" i="2"/>
  <c r="DU29" i="2"/>
  <c r="EG29" i="2"/>
  <c r="BI29" i="2"/>
  <c r="DV29" i="2"/>
  <c r="EH29" i="2"/>
  <c r="BJ29" i="2"/>
  <c r="DW29" i="2"/>
  <c r="EI29" i="2"/>
  <c r="BK29" i="2"/>
  <c r="DX29" i="2"/>
  <c r="BA28" i="2"/>
  <c r="DN28" i="2"/>
  <c r="BB28" i="2"/>
  <c r="DO28" i="2"/>
  <c r="EA28" i="2"/>
  <c r="BC28" i="2"/>
  <c r="DP28" i="2"/>
  <c r="EB28" i="2"/>
  <c r="BD28" i="2"/>
  <c r="DQ28" i="2"/>
  <c r="BE28" i="2"/>
  <c r="BF28" i="2"/>
  <c r="BG28" i="2"/>
  <c r="DT28" i="2"/>
  <c r="BH28" i="2"/>
  <c r="DU28" i="2"/>
  <c r="EG28" i="2"/>
  <c r="BI28" i="2"/>
  <c r="DV28" i="2"/>
  <c r="BJ28" i="2"/>
  <c r="DW28" i="2"/>
  <c r="BK28" i="2"/>
  <c r="BA27" i="2"/>
  <c r="BB27" i="2"/>
  <c r="DO27" i="2"/>
  <c r="EA27" i="2"/>
  <c r="BC27" i="2"/>
  <c r="DP27" i="2"/>
  <c r="EB27" i="2"/>
  <c r="BD27" i="2"/>
  <c r="DQ27" i="2"/>
  <c r="EC27" i="2"/>
  <c r="BE27" i="2"/>
  <c r="DR27" i="2"/>
  <c r="ED27" i="2"/>
  <c r="BF27" i="2"/>
  <c r="DS27" i="2"/>
  <c r="EE27" i="2"/>
  <c r="BG27" i="2"/>
  <c r="DT27" i="2"/>
  <c r="EF27" i="2"/>
  <c r="BH27" i="2"/>
  <c r="DU27" i="2"/>
  <c r="EG27" i="2"/>
  <c r="BI27" i="2"/>
  <c r="DV27" i="2"/>
  <c r="EH27" i="2"/>
  <c r="BJ27" i="2"/>
  <c r="DW27" i="2"/>
  <c r="EI27" i="2"/>
  <c r="BK27" i="2"/>
  <c r="DX27" i="2"/>
  <c r="EJ27" i="2"/>
  <c r="BA26" i="2"/>
  <c r="DN26" i="2"/>
  <c r="DZ26" i="2"/>
  <c r="BB26" i="2"/>
  <c r="DO26" i="2"/>
  <c r="EA26" i="2"/>
  <c r="BC26" i="2"/>
  <c r="DP26" i="2"/>
  <c r="EB26" i="2"/>
  <c r="BD26" i="2"/>
  <c r="DQ26" i="2"/>
  <c r="BE26" i="2"/>
  <c r="DR26" i="2"/>
  <c r="BF26" i="2"/>
  <c r="DS26" i="2"/>
  <c r="EE26" i="2"/>
  <c r="BG26" i="2"/>
  <c r="BH26" i="2"/>
  <c r="DU26" i="2"/>
  <c r="EG26" i="2"/>
  <c r="BI26" i="2"/>
  <c r="DV26" i="2"/>
  <c r="EH26" i="2"/>
  <c r="BJ26" i="2"/>
  <c r="DW26" i="2"/>
  <c r="EI26" i="2"/>
  <c r="BK26" i="2"/>
  <c r="BA25" i="2"/>
  <c r="DN25" i="2"/>
  <c r="BB25" i="2"/>
  <c r="DO25" i="2"/>
  <c r="EA25" i="2"/>
  <c r="BC25" i="2"/>
  <c r="DP25" i="2"/>
  <c r="EB25" i="2"/>
  <c r="BD25" i="2"/>
  <c r="BE25" i="2"/>
  <c r="DR25" i="2"/>
  <c r="BF25" i="2"/>
  <c r="DS25" i="2"/>
  <c r="BG25" i="2"/>
  <c r="BH25" i="2"/>
  <c r="DU25" i="2"/>
  <c r="BI25" i="2"/>
  <c r="DV25" i="2"/>
  <c r="BJ25" i="2"/>
  <c r="DW25" i="2"/>
  <c r="BK25" i="2"/>
  <c r="DX25" i="2"/>
  <c r="EJ25" i="2"/>
  <c r="BA24" i="2"/>
  <c r="DN24" i="2"/>
  <c r="DZ24" i="2"/>
  <c r="BB24" i="2"/>
  <c r="DO24" i="2"/>
  <c r="EA24" i="2"/>
  <c r="BC24" i="2"/>
  <c r="DP24" i="2"/>
  <c r="EB24" i="2"/>
  <c r="BD24" i="2"/>
  <c r="DQ24" i="2"/>
  <c r="EC24" i="2"/>
  <c r="BE24" i="2"/>
  <c r="DR24" i="2"/>
  <c r="ED24" i="2"/>
  <c r="BF24" i="2"/>
  <c r="DS24" i="2"/>
  <c r="EE24" i="2"/>
  <c r="BG24" i="2"/>
  <c r="DT24" i="2"/>
  <c r="EF24" i="2"/>
  <c r="BH24" i="2"/>
  <c r="DU24" i="2"/>
  <c r="EG24" i="2"/>
  <c r="BI24" i="2"/>
  <c r="DV24" i="2"/>
  <c r="EH24" i="2"/>
  <c r="BJ24" i="2"/>
  <c r="DW24" i="2"/>
  <c r="BK24" i="2"/>
  <c r="DX24" i="2"/>
  <c r="EJ24" i="2"/>
  <c r="BA23" i="2"/>
  <c r="DN23" i="2"/>
  <c r="DZ23" i="2"/>
  <c r="BB23" i="2"/>
  <c r="DO23" i="2"/>
  <c r="BC23" i="2"/>
  <c r="DP23" i="2"/>
  <c r="BD23" i="2"/>
  <c r="DQ23" i="2"/>
  <c r="EC23" i="2"/>
  <c r="BE23" i="2"/>
  <c r="DR23" i="2"/>
  <c r="BF23" i="2"/>
  <c r="DS23" i="2"/>
  <c r="EE23" i="2"/>
  <c r="BG23" i="2"/>
  <c r="DT23" i="2"/>
  <c r="EF23" i="2"/>
  <c r="BH23" i="2"/>
  <c r="DU23" i="2"/>
  <c r="BI23" i="2"/>
  <c r="DV23" i="2"/>
  <c r="BJ23" i="2"/>
  <c r="DW23" i="2"/>
  <c r="EI23" i="2"/>
  <c r="BK23" i="2"/>
  <c r="DX23" i="2"/>
  <c r="BA22" i="2"/>
  <c r="DN22" i="2"/>
  <c r="BB22" i="2"/>
  <c r="DO22" i="2"/>
  <c r="EA22" i="2"/>
  <c r="BC22" i="2"/>
  <c r="DP22" i="2"/>
  <c r="BD22" i="2"/>
  <c r="DQ22" i="2"/>
  <c r="BE22" i="2"/>
  <c r="DR22" i="2"/>
  <c r="BF22" i="2"/>
  <c r="DS22" i="2"/>
  <c r="BG22" i="2"/>
  <c r="DT22" i="2"/>
  <c r="BH22" i="2"/>
  <c r="DU22" i="2"/>
  <c r="EG22" i="2"/>
  <c r="BI22" i="2"/>
  <c r="DV22" i="2"/>
  <c r="BJ22" i="2"/>
  <c r="DW22" i="2"/>
  <c r="BK22" i="2"/>
  <c r="DX22" i="2"/>
  <c r="BA21" i="2"/>
  <c r="DN21" i="2"/>
  <c r="DZ21" i="2"/>
  <c r="BB21" i="2"/>
  <c r="DO21" i="2"/>
  <c r="BC21" i="2"/>
  <c r="DP21" i="2"/>
  <c r="EB21" i="2"/>
  <c r="BD21" i="2"/>
  <c r="DQ21" i="2"/>
  <c r="EC21" i="2"/>
  <c r="BE21" i="2"/>
  <c r="DR21" i="2"/>
  <c r="ED21" i="2"/>
  <c r="BF21" i="2"/>
  <c r="DS21" i="2"/>
  <c r="EE21" i="2"/>
  <c r="BG21" i="2"/>
  <c r="DT21" i="2"/>
  <c r="EF21" i="2"/>
  <c r="BH21" i="2"/>
  <c r="DU21" i="2"/>
  <c r="BI21" i="2"/>
  <c r="DV21" i="2"/>
  <c r="EH21" i="2"/>
  <c r="BJ21" i="2"/>
  <c r="DW21" i="2"/>
  <c r="EI21" i="2"/>
  <c r="BK21" i="2"/>
  <c r="DX21" i="2"/>
  <c r="EJ21" i="2"/>
  <c r="BA20" i="2"/>
  <c r="DN20" i="2"/>
  <c r="BB20" i="2"/>
  <c r="DO20" i="2"/>
  <c r="BC20" i="2"/>
  <c r="DP20" i="2"/>
  <c r="EB20" i="2"/>
  <c r="BD20" i="2"/>
  <c r="DQ20" i="2"/>
  <c r="BE20" i="2"/>
  <c r="DR20" i="2"/>
  <c r="BF20" i="2"/>
  <c r="DS20" i="2"/>
  <c r="EE20" i="2"/>
  <c r="BG20" i="2"/>
  <c r="DT20" i="2"/>
  <c r="BH20" i="2"/>
  <c r="DU20" i="2"/>
  <c r="BI20" i="2"/>
  <c r="DV20" i="2"/>
  <c r="EH20" i="2"/>
  <c r="BJ20" i="2"/>
  <c r="DW20" i="2"/>
  <c r="BK20" i="2"/>
  <c r="DX20" i="2"/>
  <c r="BA19" i="2"/>
  <c r="DN19" i="2"/>
  <c r="BB19" i="2"/>
  <c r="DO19" i="2"/>
  <c r="BC19" i="2"/>
  <c r="DP19" i="2"/>
  <c r="BD19" i="2"/>
  <c r="DQ19" i="2"/>
  <c r="BE19" i="2"/>
  <c r="DR19" i="2"/>
  <c r="ED19" i="2"/>
  <c r="BF19" i="2"/>
  <c r="DS19" i="2"/>
  <c r="BG19" i="2"/>
  <c r="DT19" i="2"/>
  <c r="BH19" i="2"/>
  <c r="DU19" i="2"/>
  <c r="BI19" i="2"/>
  <c r="DV19" i="2"/>
  <c r="BJ19" i="2"/>
  <c r="DW19" i="2"/>
  <c r="BK19" i="2"/>
  <c r="DX19" i="2"/>
  <c r="EJ19" i="2"/>
  <c r="BA18" i="2"/>
  <c r="DN18" i="2"/>
  <c r="DZ18" i="2"/>
  <c r="BB18" i="2"/>
  <c r="DO18" i="2"/>
  <c r="EA18" i="2"/>
  <c r="BC18" i="2"/>
  <c r="DP18" i="2"/>
  <c r="EB18" i="2"/>
  <c r="BD18" i="2"/>
  <c r="DQ18" i="2"/>
  <c r="EC18" i="2"/>
  <c r="BE18" i="2"/>
  <c r="DR18" i="2"/>
  <c r="ED18" i="2"/>
  <c r="BF18" i="2"/>
  <c r="DS18" i="2"/>
  <c r="EE18" i="2"/>
  <c r="BG18" i="2"/>
  <c r="DT18" i="2"/>
  <c r="BH18" i="2"/>
  <c r="DU18" i="2"/>
  <c r="EG18" i="2"/>
  <c r="BI18" i="2"/>
  <c r="DV18" i="2"/>
  <c r="EH18" i="2"/>
  <c r="BJ18" i="2"/>
  <c r="DW18" i="2"/>
  <c r="EI18" i="2"/>
  <c r="BK18" i="2"/>
  <c r="DX18" i="2"/>
  <c r="BA17" i="2"/>
  <c r="DN17" i="2"/>
  <c r="BB17" i="2"/>
  <c r="DO17" i="2"/>
  <c r="BC17" i="2"/>
  <c r="DP17" i="2"/>
  <c r="EB17" i="2"/>
  <c r="BD17" i="2"/>
  <c r="DQ17" i="2"/>
  <c r="BE17" i="2"/>
  <c r="DR17" i="2"/>
  <c r="BF17" i="2"/>
  <c r="DS17" i="2"/>
  <c r="EE17" i="2"/>
  <c r="BG17" i="2"/>
  <c r="DT17" i="2"/>
  <c r="BH17" i="2"/>
  <c r="DU17" i="2"/>
  <c r="BI17" i="2"/>
  <c r="DV17" i="2"/>
  <c r="EH17" i="2"/>
  <c r="BJ17" i="2"/>
  <c r="DW17" i="2"/>
  <c r="BK17" i="2"/>
  <c r="DX17" i="2"/>
  <c r="BA16" i="2"/>
  <c r="BB16" i="2"/>
  <c r="BC16" i="2"/>
  <c r="DP16" i="2"/>
  <c r="BD16" i="2"/>
  <c r="BE16" i="2"/>
  <c r="BF16" i="2"/>
  <c r="BG16" i="2"/>
  <c r="BH16" i="2"/>
  <c r="DU16" i="2"/>
  <c r="EG16" i="2"/>
  <c r="BI16" i="2"/>
  <c r="BJ16" i="2"/>
  <c r="DW16" i="2"/>
  <c r="BK16" i="2"/>
  <c r="BA15" i="2"/>
  <c r="DN15" i="2"/>
  <c r="BB15" i="2"/>
  <c r="DO15" i="2"/>
  <c r="EA15" i="2"/>
  <c r="BC15" i="2"/>
  <c r="DP15" i="2"/>
  <c r="EB15" i="2"/>
  <c r="BD15" i="2"/>
  <c r="BE15" i="2"/>
  <c r="DR15" i="2"/>
  <c r="ED15" i="2"/>
  <c r="BF15" i="2"/>
  <c r="DS15" i="2"/>
  <c r="EE15" i="2"/>
  <c r="BG15" i="2"/>
  <c r="DT15" i="2"/>
  <c r="EF15" i="2"/>
  <c r="BH15" i="2"/>
  <c r="DU15" i="2"/>
  <c r="EG15" i="2"/>
  <c r="BI15" i="2"/>
  <c r="DV15" i="2"/>
  <c r="BJ15" i="2"/>
  <c r="DW15" i="2"/>
  <c r="EI15" i="2"/>
  <c r="BK15" i="2"/>
  <c r="DX15" i="2"/>
  <c r="EJ15" i="2"/>
  <c r="BD14" i="2"/>
  <c r="DQ14" i="2"/>
  <c r="BE14" i="2"/>
  <c r="BF14" i="2"/>
  <c r="BR14" i="2"/>
  <c r="BG14" i="2"/>
  <c r="DT14" i="2"/>
  <c r="BH14" i="2"/>
  <c r="DU14" i="2"/>
  <c r="BI14" i="2"/>
  <c r="DV14" i="2"/>
  <c r="EH14" i="2"/>
  <c r="BJ14" i="2"/>
  <c r="BK14" i="2"/>
  <c r="BA14" i="2"/>
  <c r="DN14" i="2"/>
  <c r="BB14" i="2"/>
  <c r="DO14" i="2"/>
  <c r="BC14" i="2"/>
  <c r="BM15" i="2"/>
  <c r="BN15" i="2"/>
  <c r="E15" i="2"/>
  <c r="BO15" i="2"/>
  <c r="BQ15" i="2"/>
  <c r="CO15" i="2"/>
  <c r="J15" i="2"/>
  <c r="BV15" i="2"/>
  <c r="E16" i="2"/>
  <c r="BO16" i="2"/>
  <c r="CM16" i="2"/>
  <c r="J16" i="2"/>
  <c r="E52" i="2"/>
  <c r="BP52" i="2"/>
  <c r="J52" i="2"/>
  <c r="BT52" i="2"/>
  <c r="BU52" i="2"/>
  <c r="CS52" i="2"/>
  <c r="BW52" i="2"/>
  <c r="CU52" i="2"/>
  <c r="BN53" i="2"/>
  <c r="E53" i="2"/>
  <c r="BQ53" i="2"/>
  <c r="CO53" i="2"/>
  <c r="BR53" i="2"/>
  <c r="J53" i="2"/>
  <c r="BU53" i="2"/>
  <c r="BW53" i="2"/>
  <c r="E54" i="2"/>
  <c r="BO54" i="2"/>
  <c r="BP54" i="2"/>
  <c r="CN54" i="2"/>
  <c r="BR54" i="2"/>
  <c r="CP54" i="2"/>
  <c r="BS54" i="2"/>
  <c r="J54" i="2"/>
  <c r="BW54" i="2"/>
  <c r="CU54" i="2"/>
  <c r="BM57" i="2"/>
  <c r="E57" i="2"/>
  <c r="BR57" i="2"/>
  <c r="BS57" i="2"/>
  <c r="CQ57" i="2"/>
  <c r="J57" i="2"/>
  <c r="BT57" i="2"/>
  <c r="CE57" i="2"/>
  <c r="BM58" i="2"/>
  <c r="E58" i="2"/>
  <c r="BO58" i="2"/>
  <c r="BQ58" i="2"/>
  <c r="BS58" i="2"/>
  <c r="CE58" i="2"/>
  <c r="J58" i="2"/>
  <c r="BT58" i="2"/>
  <c r="CF58" i="2"/>
  <c r="BW58" i="2"/>
  <c r="CU58" i="2"/>
  <c r="BM59" i="2"/>
  <c r="BN59" i="2"/>
  <c r="E59" i="2"/>
  <c r="AG59" i="2"/>
  <c r="BQ59" i="2"/>
  <c r="CO59" i="2"/>
  <c r="BR59" i="2"/>
  <c r="CP59" i="2"/>
  <c r="BS59" i="2"/>
  <c r="J59" i="2"/>
  <c r="BT59" i="2"/>
  <c r="CF59" i="2"/>
  <c r="BU59" i="2"/>
  <c r="CS59" i="2"/>
  <c r="E66" i="2"/>
  <c r="BO66" i="2"/>
  <c r="CM66" i="2"/>
  <c r="BQ66" i="2"/>
  <c r="CO66" i="2"/>
  <c r="J66" i="2"/>
  <c r="BU66" i="2"/>
  <c r="CS66" i="2"/>
  <c r="BW66" i="2"/>
  <c r="CU66" i="2"/>
  <c r="BN67" i="2"/>
  <c r="E67" i="2"/>
  <c r="BS67" i="2"/>
  <c r="CQ67" i="2"/>
  <c r="J67" i="2"/>
  <c r="BT67" i="2"/>
  <c r="CF67" i="2"/>
  <c r="BU67" i="2"/>
  <c r="BV67" i="2"/>
  <c r="BN68" i="2"/>
  <c r="E68" i="2"/>
  <c r="BO68" i="2"/>
  <c r="BR68" i="2"/>
  <c r="CP68" i="2"/>
  <c r="BS68" i="2"/>
  <c r="CE68" i="2"/>
  <c r="J68" i="2"/>
  <c r="BT68" i="2"/>
  <c r="CF68" i="2"/>
  <c r="CR68" i="2"/>
  <c r="BW68" i="2"/>
  <c r="CU68" i="2"/>
  <c r="CD68" i="2"/>
  <c r="BM69" i="2"/>
  <c r="BN69" i="2"/>
  <c r="E69" i="2"/>
  <c r="BO69" i="2"/>
  <c r="BQ69" i="2"/>
  <c r="CO69" i="2"/>
  <c r="BS69" i="2"/>
  <c r="J69" i="2"/>
  <c r="BT69" i="2"/>
  <c r="CF69" i="2"/>
  <c r="BU69" i="2"/>
  <c r="CS69" i="2"/>
  <c r="CG69" i="2"/>
  <c r="BM70" i="2"/>
  <c r="BN70" i="2"/>
  <c r="E70" i="2"/>
  <c r="BP70" i="2"/>
  <c r="BS70" i="2"/>
  <c r="J70" i="2"/>
  <c r="BT70" i="2"/>
  <c r="CF70" i="2"/>
  <c r="BU70" i="2"/>
  <c r="E71" i="2"/>
  <c r="BO71" i="2"/>
  <c r="BP71" i="2"/>
  <c r="CN71" i="2"/>
  <c r="BS71" i="2"/>
  <c r="J71" i="2"/>
  <c r="BT71" i="2"/>
  <c r="CF71" i="2"/>
  <c r="BU71" i="2"/>
  <c r="BN72" i="2"/>
  <c r="E72" i="2"/>
  <c r="BO72" i="2"/>
  <c r="BP72" i="2"/>
  <c r="BQ72" i="2"/>
  <c r="CO72" i="2"/>
  <c r="J72" i="2"/>
  <c r="BU72" i="2"/>
  <c r="CS72" i="2"/>
  <c r="BV72" i="2"/>
  <c r="BW72" i="2"/>
  <c r="CU72" i="2"/>
  <c r="CC72" i="2"/>
  <c r="BM73" i="2"/>
  <c r="E73" i="2"/>
  <c r="BO73" i="2"/>
  <c r="BP73" i="2"/>
  <c r="CB73" i="2"/>
  <c r="BR73" i="2"/>
  <c r="BS73" i="2"/>
  <c r="CQ73" i="2"/>
  <c r="J73" i="2"/>
  <c r="BT73" i="2"/>
  <c r="BU73" i="2"/>
  <c r="CS73" i="2"/>
  <c r="BM74" i="2"/>
  <c r="E74" i="2"/>
  <c r="BO74" i="2"/>
  <c r="BR74" i="2"/>
  <c r="CP74" i="2"/>
  <c r="BS74" i="2"/>
  <c r="J74" i="2"/>
  <c r="BT74" i="2"/>
  <c r="BU74" i="2"/>
  <c r="CS74" i="2"/>
  <c r="BV74" i="2"/>
  <c r="CH74" i="2"/>
  <c r="BN14" i="2"/>
  <c r="CL14" i="2"/>
  <c r="E14" i="2"/>
  <c r="BP14" i="2"/>
  <c r="J14" i="2"/>
  <c r="BA39" i="1"/>
  <c r="DL39" i="1"/>
  <c r="DX39" i="1"/>
  <c r="BB39" i="1"/>
  <c r="DM39" i="1"/>
  <c r="BC39" i="1"/>
  <c r="DN39" i="1"/>
  <c r="BD39" i="1"/>
  <c r="DO39" i="1"/>
  <c r="BE39" i="1"/>
  <c r="DP39" i="1"/>
  <c r="BF39" i="1"/>
  <c r="DQ39" i="1"/>
  <c r="BG39" i="1"/>
  <c r="DR39" i="1"/>
  <c r="ED39" i="1"/>
  <c r="BH39" i="1"/>
  <c r="DS39" i="1"/>
  <c r="BI39" i="1"/>
  <c r="DT39" i="1"/>
  <c r="BJ39" i="1"/>
  <c r="DU39" i="1"/>
  <c r="BK39" i="1"/>
  <c r="DV39" i="1"/>
  <c r="BA38" i="1"/>
  <c r="DL38" i="1"/>
  <c r="BB38" i="1"/>
  <c r="DM38" i="1"/>
  <c r="DY38" i="1"/>
  <c r="BC38" i="1"/>
  <c r="DN38" i="1"/>
  <c r="BD38" i="1"/>
  <c r="DO38" i="1"/>
  <c r="BE38" i="1"/>
  <c r="DP38" i="1"/>
  <c r="BF38" i="1"/>
  <c r="DQ38" i="1"/>
  <c r="BG38" i="1"/>
  <c r="BH38" i="1"/>
  <c r="DS38" i="1"/>
  <c r="EE38" i="1"/>
  <c r="BI38" i="1"/>
  <c r="BU38" i="1"/>
  <c r="BJ38" i="1"/>
  <c r="DU38" i="1"/>
  <c r="BK38" i="1"/>
  <c r="BA37" i="1"/>
  <c r="DL37" i="1"/>
  <c r="DX37" i="1"/>
  <c r="BB37" i="1"/>
  <c r="BC37" i="1"/>
  <c r="DN37" i="1"/>
  <c r="DZ37" i="1"/>
  <c r="BD37" i="1"/>
  <c r="DO37" i="1"/>
  <c r="EA37" i="1"/>
  <c r="BE37" i="1"/>
  <c r="DP37" i="1"/>
  <c r="EB37" i="1"/>
  <c r="BF37" i="1"/>
  <c r="DQ37" i="1"/>
  <c r="BG37" i="1"/>
  <c r="DR37" i="1"/>
  <c r="ED37" i="1"/>
  <c r="BH37" i="1"/>
  <c r="DS37" i="1"/>
  <c r="BI37" i="1"/>
  <c r="DT37" i="1"/>
  <c r="EF37" i="1"/>
  <c r="BJ37" i="1"/>
  <c r="BK37" i="1"/>
  <c r="DV37" i="1"/>
  <c r="EH37" i="1"/>
  <c r="BA36" i="1"/>
  <c r="DL36" i="1"/>
  <c r="BB36" i="1"/>
  <c r="DM36" i="1"/>
  <c r="DY36" i="1"/>
  <c r="BC36" i="1"/>
  <c r="DN36" i="1"/>
  <c r="BD36" i="1"/>
  <c r="DO36" i="1"/>
  <c r="BE36" i="1"/>
  <c r="DP36" i="1"/>
  <c r="BF36" i="1"/>
  <c r="DQ36" i="1"/>
  <c r="BG36" i="1"/>
  <c r="DR36" i="1"/>
  <c r="ED36" i="1"/>
  <c r="BH36" i="1"/>
  <c r="DS36" i="1"/>
  <c r="BI36" i="1"/>
  <c r="DT36" i="1"/>
  <c r="BJ36" i="1"/>
  <c r="DU36" i="1"/>
  <c r="BK36" i="1"/>
  <c r="DV36" i="1"/>
  <c r="BA35" i="1"/>
  <c r="DL35" i="1"/>
  <c r="BB35" i="1"/>
  <c r="DM35" i="1"/>
  <c r="DY35" i="1"/>
  <c r="BC35" i="1"/>
  <c r="DN35" i="1"/>
  <c r="BD35" i="1"/>
  <c r="DO35" i="1"/>
  <c r="BE35" i="1"/>
  <c r="BQ35" i="1"/>
  <c r="BF35" i="1"/>
  <c r="DQ35" i="1"/>
  <c r="BG35" i="1"/>
  <c r="DR35" i="1"/>
  <c r="BH35" i="1"/>
  <c r="DS35" i="1"/>
  <c r="BI35" i="1"/>
  <c r="BU35" i="1"/>
  <c r="CS35" i="1"/>
  <c r="BJ35" i="1"/>
  <c r="DU35" i="1"/>
  <c r="BK35" i="1"/>
  <c r="DV35" i="1"/>
  <c r="BA34" i="1"/>
  <c r="DL34" i="1"/>
  <c r="BB34" i="1"/>
  <c r="BC34" i="1"/>
  <c r="DN34" i="1"/>
  <c r="DZ34" i="1"/>
  <c r="BD34" i="1"/>
  <c r="DO34" i="1"/>
  <c r="BE34" i="1"/>
  <c r="DP34" i="1"/>
  <c r="BF34" i="1"/>
  <c r="DQ34" i="1"/>
  <c r="BG34" i="1"/>
  <c r="DR34" i="1"/>
  <c r="ED34" i="1"/>
  <c r="BH34" i="1"/>
  <c r="DS34" i="1"/>
  <c r="BI34" i="1"/>
  <c r="DT34" i="1"/>
  <c r="BJ34" i="1"/>
  <c r="BK34" i="1"/>
  <c r="DV34" i="1"/>
  <c r="EH34" i="1"/>
  <c r="BA33" i="1"/>
  <c r="DL33" i="1"/>
  <c r="DX33" i="1"/>
  <c r="BB33" i="1"/>
  <c r="DM33" i="1"/>
  <c r="DY33" i="1"/>
  <c r="BC33" i="1"/>
  <c r="DN33" i="1"/>
  <c r="DZ33" i="1"/>
  <c r="BD33" i="1"/>
  <c r="BP33" i="1"/>
  <c r="BE33" i="1"/>
  <c r="DP33" i="1"/>
  <c r="EB33" i="1"/>
  <c r="BF33" i="1"/>
  <c r="DQ33" i="1"/>
  <c r="EC33" i="1"/>
  <c r="BG33" i="1"/>
  <c r="DR33" i="1"/>
  <c r="ED33" i="1"/>
  <c r="BH33" i="1"/>
  <c r="DS33" i="1"/>
  <c r="EE33" i="1"/>
  <c r="BI33" i="1"/>
  <c r="DT33" i="1"/>
  <c r="BJ33" i="1"/>
  <c r="DU33" i="1"/>
  <c r="BK33" i="1"/>
  <c r="DV33" i="1"/>
  <c r="BA32" i="1"/>
  <c r="DL32" i="1"/>
  <c r="BB32" i="1"/>
  <c r="DM32" i="1"/>
  <c r="DY32" i="1"/>
  <c r="BC32" i="1"/>
  <c r="DN32" i="1"/>
  <c r="BD32" i="1"/>
  <c r="DO32" i="1"/>
  <c r="BE32" i="1"/>
  <c r="DP32" i="1"/>
  <c r="BF32" i="1"/>
  <c r="DQ32" i="1"/>
  <c r="BG32" i="1"/>
  <c r="DR32" i="1"/>
  <c r="BH32" i="1"/>
  <c r="DS32" i="1"/>
  <c r="EE32" i="1"/>
  <c r="BI32" i="1"/>
  <c r="DT32" i="1"/>
  <c r="BJ32" i="1"/>
  <c r="DU32" i="1"/>
  <c r="BK32" i="1"/>
  <c r="DV32" i="1"/>
  <c r="BA31" i="1"/>
  <c r="DL31" i="1"/>
  <c r="BB31" i="1"/>
  <c r="BC31" i="1"/>
  <c r="DN31" i="1"/>
  <c r="DZ31" i="1"/>
  <c r="BD31" i="1"/>
  <c r="DO31" i="1"/>
  <c r="BE31" i="1"/>
  <c r="DP31" i="1"/>
  <c r="BF31" i="1"/>
  <c r="BG31" i="1"/>
  <c r="DR31" i="1"/>
  <c r="ED31" i="1"/>
  <c r="BH31" i="1"/>
  <c r="DS31" i="1"/>
  <c r="BI31" i="1"/>
  <c r="DT31" i="1"/>
  <c r="BJ31" i="1"/>
  <c r="BK31" i="1"/>
  <c r="DV31" i="1"/>
  <c r="EH31" i="1"/>
  <c r="BA30" i="1"/>
  <c r="DL30" i="1"/>
  <c r="DX30" i="1"/>
  <c r="BB30" i="1"/>
  <c r="DM30" i="1"/>
  <c r="BC30" i="1"/>
  <c r="DN30" i="1"/>
  <c r="BD30" i="1"/>
  <c r="DO30" i="1"/>
  <c r="EA30" i="1"/>
  <c r="BE30" i="1"/>
  <c r="DP30" i="1"/>
  <c r="BF30" i="1"/>
  <c r="DQ30" i="1"/>
  <c r="BG30" i="1"/>
  <c r="DR30" i="1"/>
  <c r="ED30" i="1"/>
  <c r="BH30" i="1"/>
  <c r="DS30" i="1"/>
  <c r="BI30" i="1"/>
  <c r="DT30" i="1"/>
  <c r="BJ30" i="1"/>
  <c r="DU30" i="1"/>
  <c r="EG30" i="1"/>
  <c r="BK30" i="1"/>
  <c r="DV30" i="1"/>
  <c r="BA29" i="1"/>
  <c r="DL29" i="1"/>
  <c r="BB29" i="1"/>
  <c r="DM29" i="1"/>
  <c r="DY29" i="1"/>
  <c r="BC29" i="1"/>
  <c r="DN29" i="1"/>
  <c r="BD29" i="1"/>
  <c r="DO29" i="1"/>
  <c r="BE29" i="1"/>
  <c r="BF29" i="1"/>
  <c r="DQ29" i="1"/>
  <c r="BG29" i="1"/>
  <c r="DR29" i="1"/>
  <c r="BH29" i="1"/>
  <c r="DS29" i="1"/>
  <c r="EE29" i="1"/>
  <c r="BI29" i="1"/>
  <c r="BU29" i="1"/>
  <c r="CG29" i="1"/>
  <c r="BJ29" i="1"/>
  <c r="DU29" i="1"/>
  <c r="BK29" i="1"/>
  <c r="DV29" i="1"/>
  <c r="BA28" i="1"/>
  <c r="BM28" i="1"/>
  <c r="BB28" i="1"/>
  <c r="DM28" i="1"/>
  <c r="BC28" i="1"/>
  <c r="DN28" i="1"/>
  <c r="DZ28" i="1"/>
  <c r="BD28" i="1"/>
  <c r="DO28" i="1"/>
  <c r="EA28" i="1"/>
  <c r="BE28" i="1"/>
  <c r="DP28" i="1"/>
  <c r="EB28" i="1"/>
  <c r="BF28" i="1"/>
  <c r="DQ28" i="1"/>
  <c r="BG28" i="1"/>
  <c r="DR28" i="1"/>
  <c r="ED28" i="1"/>
  <c r="BH28" i="1"/>
  <c r="DS28" i="1"/>
  <c r="BI28" i="1"/>
  <c r="DT28" i="1"/>
  <c r="BJ28" i="1"/>
  <c r="DU28" i="1"/>
  <c r="BK28" i="1"/>
  <c r="DV28" i="1"/>
  <c r="EH28" i="1"/>
  <c r="BA25" i="1"/>
  <c r="DL25" i="1"/>
  <c r="DX25" i="1"/>
  <c r="BB25" i="1"/>
  <c r="DM25" i="1"/>
  <c r="BC25" i="1"/>
  <c r="DN25" i="1"/>
  <c r="DZ25" i="1"/>
  <c r="BD25" i="1"/>
  <c r="DO25" i="1"/>
  <c r="BE25" i="1"/>
  <c r="DP25" i="1"/>
  <c r="EB25" i="1"/>
  <c r="BF25" i="1"/>
  <c r="DQ25" i="1"/>
  <c r="BG25" i="1"/>
  <c r="BS25" i="1"/>
  <c r="BH25" i="1"/>
  <c r="DS25" i="1"/>
  <c r="EE25" i="1"/>
  <c r="BI25" i="1"/>
  <c r="DT25" i="1"/>
  <c r="EF25" i="1"/>
  <c r="BJ25" i="1"/>
  <c r="DU25" i="1"/>
  <c r="BK25" i="1"/>
  <c r="DV25" i="1"/>
  <c r="EH25" i="1"/>
  <c r="BA24" i="1"/>
  <c r="DL24" i="1"/>
  <c r="BB24" i="1"/>
  <c r="DM24" i="1"/>
  <c r="BC24" i="1"/>
  <c r="DN24" i="1"/>
  <c r="BD24" i="1"/>
  <c r="DO24" i="1"/>
  <c r="BE24" i="1"/>
  <c r="DP24" i="1"/>
  <c r="BF24" i="1"/>
  <c r="BR24" i="1"/>
  <c r="CP24" i="1"/>
  <c r="BG24" i="1"/>
  <c r="DR24" i="1"/>
  <c r="BH24" i="1"/>
  <c r="DS24" i="1"/>
  <c r="EE24" i="1"/>
  <c r="BI24" i="1"/>
  <c r="DT24" i="1"/>
  <c r="BJ24" i="1"/>
  <c r="BV24" i="1"/>
  <c r="BK24" i="1"/>
  <c r="DV24" i="1"/>
  <c r="BA23" i="1"/>
  <c r="DL23" i="1"/>
  <c r="BB23" i="1"/>
  <c r="DM23" i="1"/>
  <c r="DY23" i="1"/>
  <c r="BC23" i="1"/>
  <c r="DN23" i="1"/>
  <c r="BD23" i="1"/>
  <c r="DO23" i="1"/>
  <c r="EA23" i="1"/>
  <c r="BE23" i="1"/>
  <c r="DP23" i="1"/>
  <c r="BF23" i="1"/>
  <c r="DQ23" i="1"/>
  <c r="BG23" i="1"/>
  <c r="DR23" i="1"/>
  <c r="ED23" i="1"/>
  <c r="BH23" i="1"/>
  <c r="DS23" i="1"/>
  <c r="EE23" i="1"/>
  <c r="BI23" i="1"/>
  <c r="DT23" i="1"/>
  <c r="EF23" i="1"/>
  <c r="BJ23" i="1"/>
  <c r="DU23" i="1"/>
  <c r="BK23" i="1"/>
  <c r="DV23" i="1"/>
  <c r="EH23" i="1"/>
  <c r="BA22" i="1"/>
  <c r="DL22" i="1"/>
  <c r="DX22" i="1"/>
  <c r="BB22" i="1"/>
  <c r="DM22" i="1"/>
  <c r="DY22" i="1"/>
  <c r="BC22" i="1"/>
  <c r="DN22" i="1"/>
  <c r="DZ22" i="1"/>
  <c r="BD22" i="1"/>
  <c r="DO22" i="1"/>
  <c r="EA22" i="1"/>
  <c r="BE22" i="1"/>
  <c r="DP22" i="1"/>
  <c r="BF22" i="1"/>
  <c r="DQ22" i="1"/>
  <c r="BG22" i="1"/>
  <c r="DR22" i="1"/>
  <c r="ED22" i="1"/>
  <c r="BH22" i="1"/>
  <c r="DS22" i="1"/>
  <c r="BI22" i="1"/>
  <c r="DT22" i="1"/>
  <c r="EF22" i="1"/>
  <c r="BJ22" i="1"/>
  <c r="BK22" i="1"/>
  <c r="BW22" i="1"/>
  <c r="CU22" i="1"/>
  <c r="DV22" i="1"/>
  <c r="EH22" i="1"/>
  <c r="BA21" i="1"/>
  <c r="BM21" i="1"/>
  <c r="CK21" i="1"/>
  <c r="BB21" i="1"/>
  <c r="DM21" i="1"/>
  <c r="DY21" i="1"/>
  <c r="BC21" i="1"/>
  <c r="DN21" i="1"/>
  <c r="BD21" i="1"/>
  <c r="DO21" i="1"/>
  <c r="EA21" i="1"/>
  <c r="BE21" i="1"/>
  <c r="BQ21" i="1"/>
  <c r="CO21" i="1"/>
  <c r="BF21" i="1"/>
  <c r="DQ21" i="1"/>
  <c r="BG21" i="1"/>
  <c r="DR21" i="1"/>
  <c r="ED21" i="1"/>
  <c r="BH21" i="1"/>
  <c r="DS21" i="1"/>
  <c r="BI21" i="1"/>
  <c r="BU21" i="1"/>
  <c r="BJ21" i="1"/>
  <c r="DU21" i="1"/>
  <c r="BK21" i="1"/>
  <c r="DV21" i="1"/>
  <c r="EH21" i="1"/>
  <c r="BA20" i="1"/>
  <c r="DL20" i="1"/>
  <c r="BB20" i="1"/>
  <c r="DM20" i="1"/>
  <c r="DY20" i="1"/>
  <c r="BC20" i="1"/>
  <c r="DN20" i="1"/>
  <c r="BD20" i="1"/>
  <c r="BE20" i="1"/>
  <c r="DP20" i="1"/>
  <c r="BF20" i="1"/>
  <c r="DQ20" i="1"/>
  <c r="EC20" i="1"/>
  <c r="BG20" i="1"/>
  <c r="DR20" i="1"/>
  <c r="ED20" i="1"/>
  <c r="BH20" i="1"/>
  <c r="DS20" i="1"/>
  <c r="EE20" i="1"/>
  <c r="BI20" i="1"/>
  <c r="DT20" i="1"/>
  <c r="EF20" i="1"/>
  <c r="BJ20" i="1"/>
  <c r="DU20" i="1"/>
  <c r="BK20" i="1"/>
  <c r="BW20" i="1"/>
  <c r="BA19" i="1"/>
  <c r="BM19" i="1"/>
  <c r="BB19" i="1"/>
  <c r="BC19" i="1"/>
  <c r="DN19" i="1"/>
  <c r="DZ19" i="1"/>
  <c r="BD19" i="1"/>
  <c r="DO19" i="1"/>
  <c r="BE19" i="1"/>
  <c r="BQ19" i="1"/>
  <c r="CO19" i="1"/>
  <c r="BF19" i="1"/>
  <c r="DQ19" i="1"/>
  <c r="EC19" i="1"/>
  <c r="BG19" i="1"/>
  <c r="DR19" i="1"/>
  <c r="ED19" i="1"/>
  <c r="BH19" i="1"/>
  <c r="DS19" i="1"/>
  <c r="EE19" i="1"/>
  <c r="BI19" i="1"/>
  <c r="BU19" i="1"/>
  <c r="BJ19" i="1"/>
  <c r="BK19" i="1"/>
  <c r="DV19" i="1"/>
  <c r="EH19" i="1"/>
  <c r="BA18" i="1"/>
  <c r="DL18" i="1"/>
  <c r="BB18" i="1"/>
  <c r="BN18" i="1"/>
  <c r="CL18" i="1"/>
  <c r="BC18" i="1"/>
  <c r="DN18" i="1"/>
  <c r="DZ18" i="1"/>
  <c r="BD18" i="1"/>
  <c r="DO18" i="1"/>
  <c r="EA18" i="1"/>
  <c r="BE18" i="1"/>
  <c r="BQ18" i="1"/>
  <c r="BF18" i="1"/>
  <c r="DQ18" i="1"/>
  <c r="EC18" i="1"/>
  <c r="BG18" i="1"/>
  <c r="DR18" i="1"/>
  <c r="ED18" i="1"/>
  <c r="BH18" i="1"/>
  <c r="DS18" i="1"/>
  <c r="EE18" i="1"/>
  <c r="BI18" i="1"/>
  <c r="DT18" i="1"/>
  <c r="EF18" i="1"/>
  <c r="BJ18" i="1"/>
  <c r="BK18" i="1"/>
  <c r="DV18" i="1"/>
  <c r="BA17" i="1"/>
  <c r="DL17" i="1"/>
  <c r="BB17" i="1"/>
  <c r="BC17" i="1"/>
  <c r="DN17" i="1"/>
  <c r="DZ17" i="1"/>
  <c r="BD17" i="1"/>
  <c r="DO17" i="1"/>
  <c r="EA17" i="1"/>
  <c r="BE17" i="1"/>
  <c r="BQ17" i="1"/>
  <c r="CO17" i="1"/>
  <c r="BF17" i="1"/>
  <c r="DQ17" i="1"/>
  <c r="BG17" i="1"/>
  <c r="DR17" i="1"/>
  <c r="BH17" i="1"/>
  <c r="BI17" i="1"/>
  <c r="DT17" i="1"/>
  <c r="BJ17" i="1"/>
  <c r="DU17" i="1"/>
  <c r="EG17" i="1"/>
  <c r="BK17" i="1"/>
  <c r="BW17" i="1"/>
  <c r="BA16" i="1"/>
  <c r="DL16" i="1"/>
  <c r="BB16" i="1"/>
  <c r="BC16" i="1"/>
  <c r="DN16" i="1"/>
  <c r="DZ16" i="1"/>
  <c r="BD16" i="1"/>
  <c r="BE16" i="1"/>
  <c r="DP16" i="1"/>
  <c r="EB16" i="1"/>
  <c r="BF16" i="1"/>
  <c r="DQ16" i="1"/>
  <c r="EC16" i="1"/>
  <c r="BG16" i="1"/>
  <c r="DR16" i="1"/>
  <c r="ED16" i="1"/>
  <c r="BH16" i="1"/>
  <c r="DS16" i="1"/>
  <c r="EE16" i="1"/>
  <c r="BI16" i="1"/>
  <c r="DT16" i="1"/>
  <c r="BJ16" i="1"/>
  <c r="DU16" i="1"/>
  <c r="EG16" i="1"/>
  <c r="BK16" i="1"/>
  <c r="DV16" i="1"/>
  <c r="EH16" i="1"/>
  <c r="BA15" i="1"/>
  <c r="DL15" i="1"/>
  <c r="DX15" i="1"/>
  <c r="BB15" i="1"/>
  <c r="BC15" i="1"/>
  <c r="DN15" i="1"/>
  <c r="DZ15" i="1"/>
  <c r="BD15" i="1"/>
  <c r="DO15" i="1"/>
  <c r="BE15" i="1"/>
  <c r="DP15" i="1"/>
  <c r="EB15" i="1"/>
  <c r="BF15" i="1"/>
  <c r="DQ15" i="1"/>
  <c r="EC15" i="1"/>
  <c r="BG15" i="1"/>
  <c r="DR15" i="1"/>
  <c r="ED15" i="1"/>
  <c r="BH15" i="1"/>
  <c r="DS15" i="1"/>
  <c r="EE15" i="1"/>
  <c r="BI15" i="1"/>
  <c r="BU15" i="1"/>
  <c r="BJ15" i="1"/>
  <c r="DU15" i="1"/>
  <c r="EG15" i="1"/>
  <c r="BK15" i="1"/>
  <c r="DV15" i="1"/>
  <c r="BD14" i="1"/>
  <c r="BP14" i="1"/>
  <c r="CN14" i="1"/>
  <c r="BE14" i="1"/>
  <c r="DP14" i="1"/>
  <c r="EB14" i="1"/>
  <c r="BF14" i="1"/>
  <c r="DQ14" i="1"/>
  <c r="EC14" i="1"/>
  <c r="BG14" i="1"/>
  <c r="DR14" i="1"/>
  <c r="BH14" i="1"/>
  <c r="DS14" i="1"/>
  <c r="BI14" i="1"/>
  <c r="DT14" i="1"/>
  <c r="BJ14" i="1"/>
  <c r="DU14" i="1"/>
  <c r="BK14" i="1"/>
  <c r="BW14" i="1"/>
  <c r="BA14" i="1"/>
  <c r="DL14" i="1"/>
  <c r="DX14" i="1"/>
  <c r="BB14" i="1"/>
  <c r="DM14" i="1"/>
  <c r="DY14" i="1"/>
  <c r="BC14" i="1"/>
  <c r="DN14" i="1"/>
  <c r="BM39" i="1"/>
  <c r="BY39" i="1"/>
  <c r="BN39" i="1"/>
  <c r="CL39" i="1"/>
  <c r="E39" i="1"/>
  <c r="AG39" i="1"/>
  <c r="BS39" i="1"/>
  <c r="J39" i="1"/>
  <c r="BT39" i="1"/>
  <c r="BV39" i="1"/>
  <c r="CH39" i="1"/>
  <c r="CT39" i="1"/>
  <c r="E38" i="1"/>
  <c r="AG38" i="1"/>
  <c r="BR38" i="1"/>
  <c r="CP38" i="1"/>
  <c r="J38" i="1"/>
  <c r="BT38" i="1"/>
  <c r="CF38" i="1"/>
  <c r="E37" i="1"/>
  <c r="AG37" i="1"/>
  <c r="BP37" i="1"/>
  <c r="BQ37" i="1"/>
  <c r="CO37" i="1"/>
  <c r="J37" i="1"/>
  <c r="BU37" i="1"/>
  <c r="CS37" i="1"/>
  <c r="E36" i="1"/>
  <c r="BP36" i="1"/>
  <c r="CN36" i="1"/>
  <c r="BQ36" i="1"/>
  <c r="CO36" i="1"/>
  <c r="J36" i="1"/>
  <c r="BT36" i="1"/>
  <c r="CF36" i="1"/>
  <c r="BV36" i="1"/>
  <c r="CH36" i="1"/>
  <c r="BM35" i="1"/>
  <c r="BY35" i="1"/>
  <c r="BN35" i="1"/>
  <c r="BZ35" i="1"/>
  <c r="E35" i="1"/>
  <c r="BS35" i="1"/>
  <c r="CQ35" i="1"/>
  <c r="J35" i="1"/>
  <c r="BT35" i="1"/>
  <c r="BM34" i="1"/>
  <c r="E34" i="1"/>
  <c r="BO34" i="1"/>
  <c r="BR34" i="1"/>
  <c r="CP34" i="1"/>
  <c r="BS34" i="1"/>
  <c r="J34" i="1"/>
  <c r="BT34" i="1"/>
  <c r="CF34" i="1"/>
  <c r="BU34" i="1"/>
  <c r="CG34" i="1"/>
  <c r="BM33" i="1"/>
  <c r="BN33" i="1"/>
  <c r="CL33" i="1"/>
  <c r="E33" i="1"/>
  <c r="BR33" i="1"/>
  <c r="CD33" i="1"/>
  <c r="BS33" i="1"/>
  <c r="CQ33" i="1"/>
  <c r="J33" i="1"/>
  <c r="BT33" i="1"/>
  <c r="BV33" i="1"/>
  <c r="CT33" i="1"/>
  <c r="BM32" i="1"/>
  <c r="CK32" i="1"/>
  <c r="E32" i="1"/>
  <c r="AG32" i="1"/>
  <c r="J32" i="1"/>
  <c r="BU32" i="1"/>
  <c r="CG32" i="1"/>
  <c r="E31" i="1"/>
  <c r="BO31" i="1"/>
  <c r="CA31" i="1"/>
  <c r="J31" i="1"/>
  <c r="E30" i="1"/>
  <c r="BQ30" i="1"/>
  <c r="CO30" i="1"/>
  <c r="BR30" i="1"/>
  <c r="CD30" i="1"/>
  <c r="J30" i="1"/>
  <c r="BU30" i="1"/>
  <c r="CG30" i="1"/>
  <c r="BV30" i="1"/>
  <c r="CT30" i="1"/>
  <c r="BW30" i="1"/>
  <c r="CI30" i="1"/>
  <c r="E29" i="1"/>
  <c r="AG29" i="1"/>
  <c r="BP29" i="1"/>
  <c r="BR29" i="1"/>
  <c r="CP29" i="1"/>
  <c r="J29" i="1"/>
  <c r="BT29" i="1"/>
  <c r="E28" i="1"/>
  <c r="BP28" i="1"/>
  <c r="CN28" i="1"/>
  <c r="J28" i="1"/>
  <c r="BW28" i="1"/>
  <c r="CU28" i="1"/>
  <c r="E15" i="1"/>
  <c r="AG15" i="1"/>
  <c r="BR15" i="1"/>
  <c r="BS15" i="1"/>
  <c r="CQ15" i="1"/>
  <c r="J15" i="1"/>
  <c r="BV15" i="1"/>
  <c r="CT15" i="1"/>
  <c r="BW15" i="1"/>
  <c r="CI15" i="1"/>
  <c r="E16" i="1"/>
  <c r="AG16" i="1"/>
  <c r="BQ16" i="1"/>
  <c r="CO16" i="1"/>
  <c r="J16" i="1"/>
  <c r="BU16" i="1"/>
  <c r="CG16" i="1"/>
  <c r="BV16" i="1"/>
  <c r="CT16" i="1"/>
  <c r="BM17" i="1"/>
  <c r="CK17" i="1"/>
  <c r="E17" i="1"/>
  <c r="BO17" i="1"/>
  <c r="J17" i="1"/>
  <c r="CC17" i="1"/>
  <c r="BM18" i="1"/>
  <c r="E18" i="1"/>
  <c r="AG18" i="1"/>
  <c r="J18" i="1"/>
  <c r="E19" i="1"/>
  <c r="BS19" i="1"/>
  <c r="CQ19" i="1"/>
  <c r="J19" i="1"/>
  <c r="BW19" i="1"/>
  <c r="CU19" i="1"/>
  <c r="BM20" i="1"/>
  <c r="E20" i="1"/>
  <c r="BO20" i="1"/>
  <c r="J20" i="1"/>
  <c r="BT20" i="1"/>
  <c r="CF20" i="1"/>
  <c r="BU20" i="1"/>
  <c r="CS20" i="1"/>
  <c r="BN21" i="1"/>
  <c r="BZ21" i="1"/>
  <c r="E21" i="1"/>
  <c r="BS21" i="1"/>
  <c r="CQ21" i="1"/>
  <c r="J21" i="1"/>
  <c r="BT21" i="1"/>
  <c r="CR21" i="1"/>
  <c r="BV21" i="1"/>
  <c r="CH21" i="1"/>
  <c r="BN22" i="1"/>
  <c r="BZ22" i="1"/>
  <c r="E22" i="1"/>
  <c r="BQ22" i="1"/>
  <c r="BS22" i="1"/>
  <c r="CQ22" i="1"/>
  <c r="J22" i="1"/>
  <c r="BT22" i="1"/>
  <c r="CR22" i="1"/>
  <c r="BU22" i="1"/>
  <c r="BM23" i="1"/>
  <c r="CK23" i="1"/>
  <c r="BN23" i="1"/>
  <c r="CL23" i="1"/>
  <c r="E23" i="1"/>
  <c r="AG23" i="1"/>
  <c r="BS23" i="1"/>
  <c r="CQ23" i="1"/>
  <c r="J23" i="1"/>
  <c r="BT23" i="1"/>
  <c r="CF23" i="1"/>
  <c r="E24" i="1"/>
  <c r="BO24" i="1"/>
  <c r="CM24" i="1"/>
  <c r="J24" i="1"/>
  <c r="BT24" i="1"/>
  <c r="CR24" i="1"/>
  <c r="BM25" i="1"/>
  <c r="CK25" i="1"/>
  <c r="E25" i="1"/>
  <c r="BR25" i="1"/>
  <c r="J25" i="1"/>
  <c r="BU25" i="1"/>
  <c r="CG25" i="1"/>
  <c r="BW25" i="1"/>
  <c r="CU25" i="1"/>
  <c r="BN14" i="1"/>
  <c r="CL14" i="1"/>
  <c r="BR14" i="1"/>
  <c r="CP14" i="1"/>
  <c r="BS14" i="1"/>
  <c r="J14" i="1"/>
  <c r="BT14" i="1"/>
  <c r="CR14" i="1"/>
  <c r="BM14" i="1"/>
  <c r="CK14" i="1"/>
  <c r="E14" i="1"/>
  <c r="AG14" i="1"/>
  <c r="AF14" i="2"/>
  <c r="AF14" i="1"/>
  <c r="E48" i="2"/>
  <c r="J48" i="2"/>
  <c r="AF48" i="2"/>
  <c r="BQ48" i="2"/>
  <c r="CO48" i="2"/>
  <c r="BV48" i="2"/>
  <c r="E43" i="2"/>
  <c r="J43" i="2"/>
  <c r="BT43" i="2"/>
  <c r="AF43" i="2"/>
  <c r="BM43" i="2"/>
  <c r="BS43" i="2"/>
  <c r="BU43" i="2"/>
  <c r="E35" i="2"/>
  <c r="AG35" i="2"/>
  <c r="J35" i="2"/>
  <c r="AF35" i="2"/>
  <c r="BN35" i="2"/>
  <c r="CL35" i="2"/>
  <c r="BP35" i="2"/>
  <c r="CB35" i="2"/>
  <c r="BV35" i="2"/>
  <c r="BW35" i="2"/>
  <c r="BQ43" i="2"/>
  <c r="BS48" i="2"/>
  <c r="CQ48" i="2"/>
  <c r="BW43" i="2"/>
  <c r="CI43" i="2"/>
  <c r="BM35" i="2"/>
  <c r="BS35" i="2"/>
  <c r="CQ35" i="2"/>
  <c r="CC48" i="2"/>
  <c r="CN35" i="2"/>
  <c r="J115" i="2"/>
  <c r="BT115" i="2"/>
  <c r="CF115" i="2"/>
  <c r="E115" i="2"/>
  <c r="J114" i="2"/>
  <c r="E114" i="2"/>
  <c r="BO114" i="2"/>
  <c r="CM114" i="2"/>
  <c r="J113" i="2"/>
  <c r="BT113" i="2"/>
  <c r="E113" i="2"/>
  <c r="J112" i="2"/>
  <c r="BT112" i="2"/>
  <c r="E112" i="2"/>
  <c r="J111" i="2"/>
  <c r="E111" i="2"/>
  <c r="J110" i="2"/>
  <c r="BT110" i="2"/>
  <c r="E110" i="2"/>
  <c r="BO110" i="2"/>
  <c r="CA110" i="2"/>
  <c r="J109" i="2"/>
  <c r="BT109" i="2"/>
  <c r="CR109" i="2"/>
  <c r="E109" i="2"/>
  <c r="J108" i="2"/>
  <c r="BT108" i="2"/>
  <c r="CF108" i="2"/>
  <c r="E108" i="2"/>
  <c r="BO108" i="2"/>
  <c r="J107" i="2"/>
  <c r="BT107" i="2"/>
  <c r="E107" i="2"/>
  <c r="AG107" i="2"/>
  <c r="J106" i="2"/>
  <c r="BT106" i="2"/>
  <c r="E106" i="2"/>
  <c r="J105" i="2"/>
  <c r="E105" i="2"/>
  <c r="BO105" i="2"/>
  <c r="CM105" i="2"/>
  <c r="J104" i="2"/>
  <c r="E104" i="2"/>
  <c r="J103" i="2"/>
  <c r="BT103" i="2"/>
  <c r="E103" i="2"/>
  <c r="AG103" i="2"/>
  <c r="J102" i="2"/>
  <c r="E102" i="2"/>
  <c r="AG102" i="2"/>
  <c r="J101" i="2"/>
  <c r="BT101" i="2"/>
  <c r="E101" i="2"/>
  <c r="BO101" i="2"/>
  <c r="J100" i="2"/>
  <c r="BT100" i="2"/>
  <c r="E100" i="2"/>
  <c r="J99" i="2"/>
  <c r="E99" i="2"/>
  <c r="BO99" i="2"/>
  <c r="J98" i="2"/>
  <c r="BT98" i="2"/>
  <c r="CR98" i="2"/>
  <c r="E98" i="2"/>
  <c r="BO98" i="2"/>
  <c r="J97" i="2"/>
  <c r="BT97" i="2"/>
  <c r="CR97" i="2"/>
  <c r="E97" i="2"/>
  <c r="AG97" i="2"/>
  <c r="AH97" i="2"/>
  <c r="J96" i="2"/>
  <c r="BT96" i="2"/>
  <c r="E96" i="2"/>
  <c r="J95" i="2"/>
  <c r="E95" i="2"/>
  <c r="AG95" i="2"/>
  <c r="J94" i="2"/>
  <c r="E94" i="2"/>
  <c r="J93" i="2"/>
  <c r="BT93" i="2"/>
  <c r="E93" i="2"/>
  <c r="J92" i="2"/>
  <c r="BT92" i="2"/>
  <c r="CR92" i="2"/>
  <c r="E92" i="2"/>
  <c r="AG92" i="2"/>
  <c r="J91" i="2"/>
  <c r="BT91" i="2"/>
  <c r="CF91" i="2"/>
  <c r="E91" i="2"/>
  <c r="J90" i="2"/>
  <c r="BT90" i="2"/>
  <c r="E90" i="2"/>
  <c r="J89" i="2"/>
  <c r="E89" i="2"/>
  <c r="J88" i="2"/>
  <c r="BT88" i="2"/>
  <c r="E88" i="2"/>
  <c r="BO88" i="2"/>
  <c r="J87" i="2"/>
  <c r="BT87" i="2"/>
  <c r="E87" i="2"/>
  <c r="BO87" i="2"/>
  <c r="J86" i="2"/>
  <c r="BT86" i="2"/>
  <c r="CR86" i="2"/>
  <c r="E86" i="2"/>
  <c r="AG86" i="2"/>
  <c r="J85" i="2"/>
  <c r="E85" i="2"/>
  <c r="AG85" i="2"/>
  <c r="J84" i="2"/>
  <c r="BT84" i="2"/>
  <c r="E84" i="2"/>
  <c r="AG84" i="2"/>
  <c r="J83" i="2"/>
  <c r="E83" i="2"/>
  <c r="BO83" i="2"/>
  <c r="CA83" i="2"/>
  <c r="J82" i="2"/>
  <c r="E82" i="2"/>
  <c r="J81" i="2"/>
  <c r="BT81" i="2"/>
  <c r="CR81" i="2"/>
  <c r="E81" i="2"/>
  <c r="AG81" i="2"/>
  <c r="J80" i="2"/>
  <c r="E80" i="2"/>
  <c r="J79" i="2"/>
  <c r="E79" i="2"/>
  <c r="J78" i="2"/>
  <c r="E78" i="2"/>
  <c r="J77" i="2"/>
  <c r="E77" i="2"/>
  <c r="J76" i="2"/>
  <c r="E76" i="2"/>
  <c r="J75" i="2"/>
  <c r="BT75" i="2"/>
  <c r="E75" i="2"/>
  <c r="BU94" i="2"/>
  <c r="BN94" i="2"/>
  <c r="BM94" i="2"/>
  <c r="BY94" i="2"/>
  <c r="AF94" i="2"/>
  <c r="BW93" i="2"/>
  <c r="CU93" i="2"/>
  <c r="BS93" i="2"/>
  <c r="BR93" i="2"/>
  <c r="CD93" i="2"/>
  <c r="BQ93" i="2"/>
  <c r="CO93" i="2"/>
  <c r="BM93" i="2"/>
  <c r="AF93" i="2"/>
  <c r="BW92" i="2"/>
  <c r="BQ92" i="2"/>
  <c r="AF92" i="2"/>
  <c r="BU91" i="2"/>
  <c r="CG91" i="2"/>
  <c r="BN91" i="2"/>
  <c r="AF91" i="2"/>
  <c r="BS90" i="2"/>
  <c r="BQ90" i="2"/>
  <c r="AF90" i="2"/>
  <c r="AF89" i="2"/>
  <c r="BV88" i="2"/>
  <c r="BP88" i="2"/>
  <c r="CN88" i="2"/>
  <c r="BM88" i="2"/>
  <c r="CK88" i="2"/>
  <c r="AF88" i="2"/>
  <c r="BW87" i="2"/>
  <c r="CU87" i="2"/>
  <c r="BR87" i="2"/>
  <c r="BQ87" i="2"/>
  <c r="CO87" i="2"/>
  <c r="AF87" i="2"/>
  <c r="BW86" i="2"/>
  <c r="BV86" i="2"/>
  <c r="CH86" i="2"/>
  <c r="BU86" i="2"/>
  <c r="CS86" i="2"/>
  <c r="BR86" i="2"/>
  <c r="BQ86" i="2"/>
  <c r="BP86" i="2"/>
  <c r="CB86" i="2"/>
  <c r="AF86" i="2"/>
  <c r="AF85" i="2"/>
  <c r="BW84" i="2"/>
  <c r="CU84" i="2"/>
  <c r="BU84" i="2"/>
  <c r="CG84" i="2"/>
  <c r="BQ84" i="2"/>
  <c r="CC84" i="2"/>
  <c r="AF84" i="2"/>
  <c r="BU83" i="2"/>
  <c r="BS83" i="2"/>
  <c r="AF83" i="2"/>
  <c r="BS82" i="2"/>
  <c r="BQ82" i="2"/>
  <c r="BP82" i="2"/>
  <c r="CN82" i="2"/>
  <c r="BM82" i="2"/>
  <c r="CK82" i="2"/>
  <c r="AF82" i="2"/>
  <c r="BV81" i="2"/>
  <c r="BU81" i="2"/>
  <c r="BP81" i="2"/>
  <c r="CB81" i="2"/>
  <c r="AF81" i="2"/>
  <c r="AH81" i="2"/>
  <c r="BV115" i="2"/>
  <c r="CH115" i="2"/>
  <c r="BU115" i="2"/>
  <c r="BP115" i="2"/>
  <c r="CB115" i="2"/>
  <c r="AF115" i="2"/>
  <c r="BV114" i="2"/>
  <c r="CH114" i="2"/>
  <c r="BU114" i="2"/>
  <c r="CG114" i="2"/>
  <c r="BP114" i="2"/>
  <c r="CN114" i="2"/>
  <c r="BM114" i="2"/>
  <c r="CK114" i="2"/>
  <c r="AF114" i="2"/>
  <c r="BS113" i="2"/>
  <c r="CQ113" i="2"/>
  <c r="BN113" i="2"/>
  <c r="BZ113" i="2"/>
  <c r="BM113" i="2"/>
  <c r="AF113" i="2"/>
  <c r="BW112" i="2"/>
  <c r="BU112" i="2"/>
  <c r="CG112" i="2"/>
  <c r="BR112" i="2"/>
  <c r="CD112" i="2"/>
  <c r="BQ112" i="2"/>
  <c r="AF112" i="2"/>
  <c r="BM111" i="2"/>
  <c r="CK111" i="2"/>
  <c r="AF111" i="2"/>
  <c r="BW110" i="2"/>
  <c r="BS110" i="2"/>
  <c r="CQ110" i="2"/>
  <c r="BM110" i="2"/>
  <c r="AF110" i="2"/>
  <c r="BW109" i="2"/>
  <c r="BU109" i="2"/>
  <c r="AF109" i="2"/>
  <c r="BQ108" i="2"/>
  <c r="CO108" i="2"/>
  <c r="BN108" i="2"/>
  <c r="BM108" i="2"/>
  <c r="CK108" i="2"/>
  <c r="AF108" i="2"/>
  <c r="BQ107" i="2"/>
  <c r="AF107" i="2"/>
  <c r="BW105" i="2"/>
  <c r="CU105" i="2"/>
  <c r="BS105" i="2"/>
  <c r="BN105" i="2"/>
  <c r="AF105" i="2"/>
  <c r="BU104" i="2"/>
  <c r="CS104" i="2"/>
  <c r="BS104" i="2"/>
  <c r="CE104" i="2"/>
  <c r="BM104" i="2"/>
  <c r="AF104" i="2"/>
  <c r="BU103" i="2"/>
  <c r="CG103" i="2"/>
  <c r="AF103" i="2"/>
  <c r="AF102" i="2"/>
  <c r="BU101" i="2"/>
  <c r="CG101" i="2"/>
  <c r="BP101" i="2"/>
  <c r="BN101" i="2"/>
  <c r="BZ101" i="2"/>
  <c r="AF101" i="2"/>
  <c r="BU100" i="2"/>
  <c r="BS100" i="2"/>
  <c r="CE100" i="2"/>
  <c r="BM100" i="2"/>
  <c r="AF100" i="2"/>
  <c r="BW99" i="2"/>
  <c r="CI99" i="2"/>
  <c r="BU99" i="2"/>
  <c r="CG99" i="2"/>
  <c r="BT99" i="2"/>
  <c r="CF99" i="2"/>
  <c r="AG99" i="2"/>
  <c r="AF99" i="2"/>
  <c r="BS98" i="2"/>
  <c r="CQ98" i="2"/>
  <c r="BM98" i="2"/>
  <c r="BY98" i="2"/>
  <c r="AF98" i="2"/>
  <c r="BP97" i="2"/>
  <c r="CB97" i="2"/>
  <c r="CN97" i="2"/>
  <c r="BM97" i="2"/>
  <c r="AF97" i="2"/>
  <c r="BW96" i="2"/>
  <c r="CU96" i="2"/>
  <c r="BR96" i="2"/>
  <c r="BQ96" i="2"/>
  <c r="CO96" i="2"/>
  <c r="BN96" i="2"/>
  <c r="BZ96" i="2"/>
  <c r="AF96" i="2"/>
  <c r="BW106" i="2"/>
  <c r="CU106" i="2"/>
  <c r="BR106" i="2"/>
  <c r="BQ106" i="2"/>
  <c r="BN106" i="2"/>
  <c r="CL106" i="2"/>
  <c r="AF106" i="2"/>
  <c r="BW95" i="2"/>
  <c r="BU95" i="2"/>
  <c r="CS95" i="2"/>
  <c r="BR95" i="2"/>
  <c r="BQ95" i="2"/>
  <c r="AF95" i="2"/>
  <c r="BV80" i="2"/>
  <c r="BS80" i="2"/>
  <c r="CQ80" i="2"/>
  <c r="BP80" i="2"/>
  <c r="AF80" i="2"/>
  <c r="BR79" i="2"/>
  <c r="CD79" i="2"/>
  <c r="BQ79" i="2"/>
  <c r="CO79" i="2"/>
  <c r="BN79" i="2"/>
  <c r="BZ79" i="2"/>
  <c r="AF79" i="2"/>
  <c r="BW78" i="2"/>
  <c r="BU78" i="2"/>
  <c r="BR78" i="2"/>
  <c r="BQ78" i="2"/>
  <c r="CC78" i="2"/>
  <c r="AF78" i="2"/>
  <c r="BV77" i="2"/>
  <c r="CH77" i="2"/>
  <c r="BP77" i="2"/>
  <c r="BM77" i="2"/>
  <c r="AF77" i="2"/>
  <c r="BW76" i="2"/>
  <c r="BR76" i="2"/>
  <c r="BP76" i="2"/>
  <c r="AF76" i="2"/>
  <c r="BR75" i="2"/>
  <c r="CP75" i="2"/>
  <c r="BP75" i="2"/>
  <c r="CB75" i="2"/>
  <c r="BN75" i="2"/>
  <c r="AF75" i="2"/>
  <c r="AG75" i="2"/>
  <c r="BW56" i="2"/>
  <c r="CU56" i="2"/>
  <c r="BR56" i="2"/>
  <c r="BM56" i="2"/>
  <c r="AF56" i="2"/>
  <c r="J56" i="2"/>
  <c r="BT56" i="2"/>
  <c r="E56" i="2"/>
  <c r="BW55" i="2"/>
  <c r="CU55" i="2"/>
  <c r="BQ55" i="2"/>
  <c r="BN55" i="2"/>
  <c r="CL55" i="2"/>
  <c r="AF55" i="2"/>
  <c r="J55" i="2"/>
  <c r="E55" i="2"/>
  <c r="BU63" i="2"/>
  <c r="CG63" i="2"/>
  <c r="BS63" i="2"/>
  <c r="BM63" i="2"/>
  <c r="AF63" i="2"/>
  <c r="J63" i="2"/>
  <c r="E63" i="2"/>
  <c r="BS62" i="2"/>
  <c r="CQ62" i="2"/>
  <c r="AF62" i="2"/>
  <c r="J62" i="2"/>
  <c r="BT62" i="2"/>
  <c r="E62" i="2"/>
  <c r="BW61" i="2"/>
  <c r="AF61" i="2"/>
  <c r="J61" i="2"/>
  <c r="BT61" i="2"/>
  <c r="CF61" i="2"/>
  <c r="E61" i="2"/>
  <c r="BQ60" i="2"/>
  <c r="CC60" i="2"/>
  <c r="AF60" i="2"/>
  <c r="J60" i="2"/>
  <c r="BT60" i="2"/>
  <c r="E60" i="2"/>
  <c r="AF59" i="2"/>
  <c r="AF58" i="2"/>
  <c r="AF57" i="2"/>
  <c r="CE35" i="2"/>
  <c r="CR91" i="2"/>
  <c r="BP103" i="2"/>
  <c r="CB103" i="2"/>
  <c r="BV113" i="2"/>
  <c r="CH113" i="2"/>
  <c r="BW83" i="2"/>
  <c r="CI83" i="2"/>
  <c r="CC108" i="2"/>
  <c r="BU82" i="2"/>
  <c r="BQ89" i="2"/>
  <c r="CO89" i="2"/>
  <c r="BP93" i="2"/>
  <c r="CB93" i="2"/>
  <c r="BN83" i="2"/>
  <c r="BZ83" i="2"/>
  <c r="CC93" i="2"/>
  <c r="BT79" i="2"/>
  <c r="BW90" i="2"/>
  <c r="BN99" i="2"/>
  <c r="BM101" i="2"/>
  <c r="BS76" i="2"/>
  <c r="BP110" i="2"/>
  <c r="CB110" i="2"/>
  <c r="BW89" i="2"/>
  <c r="CI89" i="2"/>
  <c r="CI93" i="2"/>
  <c r="BP106" i="2"/>
  <c r="CN106" i="2"/>
  <c r="BN102" i="2"/>
  <c r="BR100" i="2"/>
  <c r="CP100" i="2"/>
  <c r="BR104" i="2"/>
  <c r="BN80" i="2"/>
  <c r="BZ80" i="2"/>
  <c r="BU60" i="2"/>
  <c r="BM55" i="2"/>
  <c r="BY55" i="2"/>
  <c r="BM75" i="2"/>
  <c r="BY75" i="2"/>
  <c r="BS101" i="2"/>
  <c r="CQ101" i="2"/>
  <c r="BO102" i="2"/>
  <c r="BR109" i="2"/>
  <c r="CD109" i="2"/>
  <c r="BR113" i="2"/>
  <c r="CD113" i="2"/>
  <c r="BM81" i="2"/>
  <c r="BR98" i="2"/>
  <c r="CD98" i="2"/>
  <c r="BS77" i="2"/>
  <c r="CE77" i="2"/>
  <c r="BT95" i="2"/>
  <c r="BR110" i="2"/>
  <c r="CD110" i="2"/>
  <c r="BV82" i="2"/>
  <c r="BV87" i="2"/>
  <c r="BM91" i="2"/>
  <c r="BT83" i="2"/>
  <c r="BT89" i="2"/>
  <c r="CF89" i="2"/>
  <c r="BT102" i="2"/>
  <c r="CF102" i="2"/>
  <c r="BU88" i="2"/>
  <c r="BS91" i="2"/>
  <c r="BS75" i="2"/>
  <c r="BP105" i="2"/>
  <c r="CB105" i="2"/>
  <c r="BO78" i="2"/>
  <c r="BT80" i="2"/>
  <c r="BP95" i="2"/>
  <c r="CB95" i="2"/>
  <c r="BV97" i="2"/>
  <c r="CT97" i="2"/>
  <c r="BQ102" i="2"/>
  <c r="BN103" i="2"/>
  <c r="BZ103" i="2"/>
  <c r="BR114" i="2"/>
  <c r="BN115" i="2"/>
  <c r="BO81" i="2"/>
  <c r="CM81" i="2"/>
  <c r="BR85" i="2"/>
  <c r="CD85" i="2"/>
  <c r="BZ91" i="2"/>
  <c r="CL91" i="2"/>
  <c r="BN62" i="2"/>
  <c r="BW75" i="2"/>
  <c r="CI75" i="2"/>
  <c r="BU77" i="2"/>
  <c r="CS77" i="2"/>
  <c r="BV95" i="2"/>
  <c r="BU102" i="2"/>
  <c r="BR103" i="2"/>
  <c r="CD103" i="2"/>
  <c r="BN104" i="2"/>
  <c r="BR105" i="2"/>
  <c r="BN109" i="2"/>
  <c r="BZ109" i="2"/>
  <c r="BN111" i="2"/>
  <c r="BZ111" i="2"/>
  <c r="BP84" i="2"/>
  <c r="CB84" i="2"/>
  <c r="CT86" i="2"/>
  <c r="BV93" i="2"/>
  <c r="BR94" i="2"/>
  <c r="BW77" i="2"/>
  <c r="BP96" i="2"/>
  <c r="BU97" i="2"/>
  <c r="CG97" i="2"/>
  <c r="BM99" i="2"/>
  <c r="BY99" i="2"/>
  <c r="BW100" i="2"/>
  <c r="CI100" i="2"/>
  <c r="BW102" i="2"/>
  <c r="CI102" i="2"/>
  <c r="BP104" i="2"/>
  <c r="CB104" i="2"/>
  <c r="BV105" i="2"/>
  <c r="CH105" i="2"/>
  <c r="BN107" i="2"/>
  <c r="BP108" i="2"/>
  <c r="BP109" i="2"/>
  <c r="CB109" i="2"/>
  <c r="BR111" i="2"/>
  <c r="BN112" i="2"/>
  <c r="BV84" i="2"/>
  <c r="BP85" i="2"/>
  <c r="BN89" i="2"/>
  <c r="BT77" i="2"/>
  <c r="BV103" i="2"/>
  <c r="BT111" i="2"/>
  <c r="BP112" i="2"/>
  <c r="CB112" i="2"/>
  <c r="BV99" i="2"/>
  <c r="CH99" i="2"/>
  <c r="BM76" i="2"/>
  <c r="BO106" i="2"/>
  <c r="BV96" i="2"/>
  <c r="CT96" i="2"/>
  <c r="BN98" i="2"/>
  <c r="BP99" i="2"/>
  <c r="BR101" i="2"/>
  <c r="BV108" i="2"/>
  <c r="CH108" i="2"/>
  <c r="BN110" i="2"/>
  <c r="BV111" i="2"/>
  <c r="BP113" i="2"/>
  <c r="CN113" i="2"/>
  <c r="BN81" i="2"/>
  <c r="CL81" i="2"/>
  <c r="BV85" i="2"/>
  <c r="CT85" i="2"/>
  <c r="BR88" i="2"/>
  <c r="BQ98" i="2"/>
  <c r="CC98" i="2"/>
  <c r="BS99" i="2"/>
  <c r="CE99" i="2"/>
  <c r="BQ100" i="2"/>
  <c r="BV104" i="2"/>
  <c r="BU107" i="2"/>
  <c r="BV109" i="2"/>
  <c r="CH109" i="2"/>
  <c r="BV112" i="2"/>
  <c r="CH112" i="2"/>
  <c r="BM84" i="2"/>
  <c r="BY84" i="2"/>
  <c r="BP87" i="2"/>
  <c r="CS91" i="2"/>
  <c r="CP109" i="2"/>
  <c r="CS84" i="2"/>
  <c r="BR84" i="2"/>
  <c r="CD84" i="2"/>
  <c r="BO97" i="2"/>
  <c r="CE101" i="2"/>
  <c r="BR81" i="2"/>
  <c r="CD81" i="2"/>
  <c r="BU85" i="2"/>
  <c r="CS85" i="2"/>
  <c r="CE82" i="2"/>
  <c r="CQ82" i="2"/>
  <c r="BT82" i="2"/>
  <c r="CB82" i="2"/>
  <c r="BQ83" i="2"/>
  <c r="BS84" i="2"/>
  <c r="CQ84" i="2"/>
  <c r="CD86" i="2"/>
  <c r="CP86" i="2"/>
  <c r="BN92" i="2"/>
  <c r="BY82" i="2"/>
  <c r="BV83" i="2"/>
  <c r="CH83" i="2"/>
  <c r="BN82" i="2"/>
  <c r="BZ82" i="2"/>
  <c r="BO100" i="2"/>
  <c r="CA100" i="2"/>
  <c r="AG100" i="2"/>
  <c r="BS81" i="2"/>
  <c r="BP83" i="2"/>
  <c r="CN83" i="2"/>
  <c r="BT85" i="2"/>
  <c r="CG83" i="2"/>
  <c r="CS83" i="2"/>
  <c r="BR91" i="2"/>
  <c r="BQ85" i="2"/>
  <c r="BW85" i="2"/>
  <c r="BM86" i="2"/>
  <c r="BS86" i="2"/>
  <c r="CC87" i="2"/>
  <c r="BU87" i="2"/>
  <c r="CI87" i="2"/>
  <c r="CB88" i="2"/>
  <c r="CH88" i="2"/>
  <c r="CT88" i="2"/>
  <c r="BS85" i="2"/>
  <c r="CG86" i="2"/>
  <c r="BQ88" i="2"/>
  <c r="CC88" i="2"/>
  <c r="BW88" i="2"/>
  <c r="CI88" i="2"/>
  <c r="CN86" i="2"/>
  <c r="BO86" i="2"/>
  <c r="BU89" i="2"/>
  <c r="BO94" i="2"/>
  <c r="AG94" i="2"/>
  <c r="AH94" i="2"/>
  <c r="CG94" i="2"/>
  <c r="CS94" i="2"/>
  <c r="BP89" i="2"/>
  <c r="CB89" i="2"/>
  <c r="BV89" i="2"/>
  <c r="BO91" i="2"/>
  <c r="CM91" i="2"/>
  <c r="AG91" i="2"/>
  <c r="AH91" i="2"/>
  <c r="CI92" i="2"/>
  <c r="CU92" i="2"/>
  <c r="BQ94" i="2"/>
  <c r="CO94" i="2"/>
  <c r="BW94" i="2"/>
  <c r="CU94" i="2"/>
  <c r="BR89" i="2"/>
  <c r="BM92" i="2"/>
  <c r="BS92" i="2"/>
  <c r="BN90" i="2"/>
  <c r="CL90" i="2"/>
  <c r="BP91" i="2"/>
  <c r="BV91" i="2"/>
  <c r="BR92" i="2"/>
  <c r="BN93" i="2"/>
  <c r="CL93" i="2"/>
  <c r="BV94" i="2"/>
  <c r="CT94" i="2"/>
  <c r="CO107" i="2"/>
  <c r="CC107" i="2"/>
  <c r="BU108" i="2"/>
  <c r="BQ111" i="2"/>
  <c r="CC111" i="2"/>
  <c r="AG110" i="2"/>
  <c r="AH110" i="2"/>
  <c r="BO107" i="2"/>
  <c r="BM109" i="2"/>
  <c r="BS109" i="2"/>
  <c r="CQ109" i="2"/>
  <c r="BS111" i="2"/>
  <c r="CQ111" i="2"/>
  <c r="BM112" i="2"/>
  <c r="BY112" i="2"/>
  <c r="BS112" i="2"/>
  <c r="CE112" i="2"/>
  <c r="BS114" i="2"/>
  <c r="BP107" i="2"/>
  <c r="CN107" i="2"/>
  <c r="BV107" i="2"/>
  <c r="CT107" i="2"/>
  <c r="BU110" i="2"/>
  <c r="CG110" i="2"/>
  <c r="BQ113" i="2"/>
  <c r="BW113" i="2"/>
  <c r="CU113" i="2"/>
  <c r="BY114" i="2"/>
  <c r="AG114" i="2"/>
  <c r="AG115" i="2"/>
  <c r="BO115" i="2"/>
  <c r="CN115" i="2"/>
  <c r="BU111" i="2"/>
  <c r="CT114" i="2"/>
  <c r="BP111" i="2"/>
  <c r="CL113" i="2"/>
  <c r="BQ114" i="2"/>
  <c r="BW114" i="2"/>
  <c r="BQ115" i="2"/>
  <c r="CC115" i="2"/>
  <c r="BW115" i="2"/>
  <c r="CT113" i="2"/>
  <c r="CC96" i="2"/>
  <c r="CP96" i="2"/>
  <c r="CD96" i="2"/>
  <c r="BQ97" i="2"/>
  <c r="CC97" i="2"/>
  <c r="BW97" i="2"/>
  <c r="AG98" i="2"/>
  <c r="AH98" i="2"/>
  <c r="CK98" i="2"/>
  <c r="BR99" i="2"/>
  <c r="CD99" i="2"/>
  <c r="CQ100" i="2"/>
  <c r="BO75" i="2"/>
  <c r="AG78" i="2"/>
  <c r="BS97" i="2"/>
  <c r="CE97" i="2"/>
  <c r="BN97" i="2"/>
  <c r="BZ97" i="2"/>
  <c r="BP100" i="2"/>
  <c r="CI106" i="2"/>
  <c r="BP98" i="2"/>
  <c r="BV98" i="2"/>
  <c r="CH98" i="2"/>
  <c r="CU99" i="2"/>
  <c r="AG101" i="2"/>
  <c r="BM102" i="2"/>
  <c r="BS102" i="2"/>
  <c r="CE102" i="2"/>
  <c r="BQ101" i="2"/>
  <c r="CC101" i="2"/>
  <c r="BW101" i="2"/>
  <c r="CI101" i="2"/>
  <c r="BQ104" i="2"/>
  <c r="BW104" i="2"/>
  <c r="CI104" i="2"/>
  <c r="BM103" i="2"/>
  <c r="BS103" i="2"/>
  <c r="AG104" i="2"/>
  <c r="AH104" i="2"/>
  <c r="BO104" i="2"/>
  <c r="CG104" i="2"/>
  <c r="AG105" i="2"/>
  <c r="BU105" i="2"/>
  <c r="CT77" i="2"/>
  <c r="CD75" i="2"/>
  <c r="BM78" i="2"/>
  <c r="CK78" i="2"/>
  <c r="BS78" i="2"/>
  <c r="CE78" i="2"/>
  <c r="CL79" i="2"/>
  <c r="BZ106" i="2"/>
  <c r="BR77" i="2"/>
  <c r="BU79" i="2"/>
  <c r="CH80" i="2"/>
  <c r="CT80" i="2"/>
  <c r="BU106" i="2"/>
  <c r="CS106" i="2"/>
  <c r="BQ80" i="2"/>
  <c r="CC80" i="2"/>
  <c r="BN77" i="2"/>
  <c r="CL77" i="2"/>
  <c r="CC95" i="2"/>
  <c r="CO95" i="2"/>
  <c r="CO78" i="2"/>
  <c r="BM95" i="2"/>
  <c r="BS95" i="2"/>
  <c r="CE95" i="2"/>
  <c r="BW80" i="2"/>
  <c r="BO95" i="2"/>
  <c r="AG106" i="2"/>
  <c r="AH106" i="2"/>
  <c r="AG57" i="2"/>
  <c r="AG58" i="2"/>
  <c r="AH58" i="2"/>
  <c r="CO60" i="2"/>
  <c r="BR61" i="2"/>
  <c r="CP61" i="2"/>
  <c r="BV61" i="2"/>
  <c r="CT61" i="2"/>
  <c r="BP55" i="2"/>
  <c r="CB55" i="2"/>
  <c r="BP56" i="2"/>
  <c r="BW60" i="2"/>
  <c r="CI60" i="2"/>
  <c r="BR62" i="2"/>
  <c r="CI56" i="2"/>
  <c r="BQ61" i="2"/>
  <c r="CO61" i="2"/>
  <c r="BT55" i="2"/>
  <c r="BU56" i="2"/>
  <c r="BR55" i="2"/>
  <c r="CP55" i="2"/>
  <c r="CI55" i="2"/>
  <c r="CU61" i="2"/>
  <c r="CI61" i="2"/>
  <c r="BR60" i="2"/>
  <c r="CP60" i="2"/>
  <c r="BP61" i="2"/>
  <c r="CB61" i="2"/>
  <c r="BR63" i="2"/>
  <c r="BM60" i="2"/>
  <c r="CK60" i="2"/>
  <c r="BS60" i="2"/>
  <c r="BN60" i="2"/>
  <c r="BQ63" i="2"/>
  <c r="CO63" i="2"/>
  <c r="BW63" i="2"/>
  <c r="BQ62" i="2"/>
  <c r="BW62" i="2"/>
  <c r="BN61" i="2"/>
  <c r="BP62" i="2"/>
  <c r="BV62" i="2"/>
  <c r="BP63" i="2"/>
  <c r="BV63" i="2"/>
  <c r="CT63" i="2"/>
  <c r="CP110" i="2"/>
  <c r="CU89" i="2"/>
  <c r="CD100" i="2"/>
  <c r="CK55" i="2"/>
  <c r="CH85" i="2"/>
  <c r="BZ81" i="2"/>
  <c r="CL80" i="2"/>
  <c r="CF98" i="2"/>
  <c r="CU100" i="2"/>
  <c r="CK99" i="2"/>
  <c r="CN110" i="2"/>
  <c r="CR89" i="2"/>
  <c r="CO98" i="2"/>
  <c r="CH96" i="2"/>
  <c r="CP85" i="2"/>
  <c r="CR108" i="2"/>
  <c r="CQ99" i="2"/>
  <c r="CB113" i="2"/>
  <c r="CN109" i="2"/>
  <c r="CU102" i="2"/>
  <c r="CK75" i="2"/>
  <c r="CL103" i="2"/>
  <c r="CL83" i="2"/>
  <c r="CQ91" i="2"/>
  <c r="CE91" i="2"/>
  <c r="CS102" i="2"/>
  <c r="CG102" i="2"/>
  <c r="CH61" i="2"/>
  <c r="CT108" i="2"/>
  <c r="CT99" i="2"/>
  <c r="CL111" i="2"/>
  <c r="CT109" i="2"/>
  <c r="CF81" i="2"/>
  <c r="CT112" i="2"/>
  <c r="CN104" i="2"/>
  <c r="CU75" i="2"/>
  <c r="BZ90" i="2"/>
  <c r="BY86" i="2"/>
  <c r="CK86" i="2"/>
  <c r="CL82" i="2"/>
  <c r="CF82" i="2"/>
  <c r="CR82" i="2"/>
  <c r="CC94" i="2"/>
  <c r="CA91" i="2"/>
  <c r="BZ93" i="2"/>
  <c r="CA94" i="2"/>
  <c r="CM94" i="2"/>
  <c r="CE84" i="2"/>
  <c r="CB91" i="2"/>
  <c r="CN91" i="2"/>
  <c r="CG87" i="2"/>
  <c r="CS87" i="2"/>
  <c r="CN89" i="2"/>
  <c r="CQ85" i="2"/>
  <c r="CE85" i="2"/>
  <c r="CE86" i="2"/>
  <c r="CQ86" i="2"/>
  <c r="CB83" i="2"/>
  <c r="CQ114" i="2"/>
  <c r="CE114" i="2"/>
  <c r="CI114" i="2"/>
  <c r="CU114" i="2"/>
  <c r="BY109" i="2"/>
  <c r="CK109" i="2"/>
  <c r="CI115" i="2"/>
  <c r="CU115" i="2"/>
  <c r="CE109" i="2"/>
  <c r="CS110" i="2"/>
  <c r="CH107" i="2"/>
  <c r="CQ112" i="2"/>
  <c r="CM107" i="2"/>
  <c r="CA107" i="2"/>
  <c r="CB100" i="2"/>
  <c r="CN100" i="2"/>
  <c r="CQ102" i="2"/>
  <c r="CA105" i="2"/>
  <c r="CC104" i="2"/>
  <c r="CO104" i="2"/>
  <c r="CP99" i="2"/>
  <c r="CM104" i="2"/>
  <c r="CA104" i="2"/>
  <c r="CG106" i="2"/>
  <c r="BY78" i="2"/>
  <c r="BY95" i="2"/>
  <c r="CK95" i="2"/>
  <c r="CQ78" i="2"/>
  <c r="BZ77" i="2"/>
  <c r="CN55" i="2"/>
  <c r="BZ60" i="2"/>
  <c r="CL60" i="2"/>
  <c r="CH62" i="2"/>
  <c r="CT62" i="2"/>
  <c r="CO62" i="2"/>
  <c r="CC62" i="2"/>
  <c r="CD63" i="2"/>
  <c r="CP63" i="2"/>
  <c r="CD60" i="2"/>
  <c r="E19" i="2"/>
  <c r="AG19" i="2"/>
  <c r="J19" i="2"/>
  <c r="BT19" i="2"/>
  <c r="E20" i="2"/>
  <c r="AG20" i="2"/>
  <c r="J20" i="2"/>
  <c r="E21" i="2"/>
  <c r="J21" i="2"/>
  <c r="BT21" i="2"/>
  <c r="E22" i="2"/>
  <c r="J22" i="2"/>
  <c r="BT22" i="2"/>
  <c r="CR22" i="2"/>
  <c r="E23" i="2"/>
  <c r="AG23" i="2"/>
  <c r="J23" i="2"/>
  <c r="E24" i="2"/>
  <c r="J24" i="2"/>
  <c r="BT24" i="2"/>
  <c r="E25" i="2"/>
  <c r="AG25" i="2"/>
  <c r="J25" i="2"/>
  <c r="E26" i="2"/>
  <c r="J26" i="2"/>
  <c r="E27" i="2"/>
  <c r="J27" i="2"/>
  <c r="BT27" i="2"/>
  <c r="E28" i="2"/>
  <c r="AG28" i="2"/>
  <c r="J28" i="2"/>
  <c r="BT28" i="2"/>
  <c r="E29" i="2"/>
  <c r="J29" i="2"/>
  <c r="E30" i="2"/>
  <c r="AG30" i="2"/>
  <c r="J30" i="2"/>
  <c r="BT30" i="2"/>
  <c r="CF30" i="2"/>
  <c r="BU34" i="2"/>
  <c r="CG34" i="2"/>
  <c r="BR34" i="2"/>
  <c r="CP34" i="2"/>
  <c r="AF34" i="2"/>
  <c r="J34" i="2"/>
  <c r="E34" i="2"/>
  <c r="BV33" i="2"/>
  <c r="CT33" i="2"/>
  <c r="BS33" i="2"/>
  <c r="BP33" i="2"/>
  <c r="BM33" i="2"/>
  <c r="CK33" i="2"/>
  <c r="AF33" i="2"/>
  <c r="J33" i="2"/>
  <c r="E33" i="2"/>
  <c r="BW32" i="2"/>
  <c r="CU32" i="2"/>
  <c r="BQ32" i="2"/>
  <c r="BN32" i="2"/>
  <c r="CL32" i="2"/>
  <c r="AF32" i="2"/>
  <c r="J32" i="2"/>
  <c r="BT32" i="2"/>
  <c r="CR32" i="2"/>
  <c r="E32" i="2"/>
  <c r="BO32" i="2"/>
  <c r="AF31" i="2"/>
  <c r="J31" i="2"/>
  <c r="BT31" i="2"/>
  <c r="E31" i="2"/>
  <c r="BV30" i="2"/>
  <c r="AF30" i="2"/>
  <c r="BP29" i="2"/>
  <c r="CN29" i="2"/>
  <c r="BN29" i="2"/>
  <c r="AF29" i="2"/>
  <c r="BT29" i="2"/>
  <c r="CR29" i="2"/>
  <c r="AF28" i="2"/>
  <c r="BV27" i="2"/>
  <c r="CT27" i="2"/>
  <c r="BS27" i="2"/>
  <c r="CQ27" i="2"/>
  <c r="BR27" i="2"/>
  <c r="AF27" i="2"/>
  <c r="BQ26" i="2"/>
  <c r="CO26" i="2"/>
  <c r="BP26" i="2"/>
  <c r="CB26" i="2"/>
  <c r="BM26" i="2"/>
  <c r="AF26" i="2"/>
  <c r="BW25" i="2"/>
  <c r="CU25" i="2"/>
  <c r="BU25" i="2"/>
  <c r="CG25" i="2"/>
  <c r="BQ25" i="2"/>
  <c r="CO25" i="2"/>
  <c r="AF25" i="2"/>
  <c r="BW34" i="2"/>
  <c r="CU34" i="2"/>
  <c r="BQ29" i="2"/>
  <c r="CC29" i="2"/>
  <c r="BQ34" i="2"/>
  <c r="BN26" i="2"/>
  <c r="BZ26" i="2"/>
  <c r="BU27" i="2"/>
  <c r="CG27" i="2"/>
  <c r="BN28" i="2"/>
  <c r="BQ31" i="2"/>
  <c r="CC31" i="2"/>
  <c r="BW27" i="2"/>
  <c r="CI27" i="2"/>
  <c r="BM30" i="2"/>
  <c r="CK30" i="2"/>
  <c r="BR25" i="2"/>
  <c r="CD25" i="2"/>
  <c r="BR26" i="2"/>
  <c r="BW31" i="2"/>
  <c r="CI31" i="2"/>
  <c r="BM32" i="2"/>
  <c r="BY32" i="2"/>
  <c r="BT26" i="2"/>
  <c r="BS28" i="2"/>
  <c r="CE28" i="2"/>
  <c r="BM29" i="2"/>
  <c r="BY29" i="2"/>
  <c r="BV29" i="2"/>
  <c r="CT29" i="2"/>
  <c r="BQ30" i="2"/>
  <c r="BR33" i="2"/>
  <c r="CD33" i="2"/>
  <c r="BV25" i="2"/>
  <c r="BQ27" i="2"/>
  <c r="CC27" i="2"/>
  <c r="BU28" i="2"/>
  <c r="BW29" i="2"/>
  <c r="CI29" i="2"/>
  <c r="BS30" i="2"/>
  <c r="CE30" i="2"/>
  <c r="BS32" i="2"/>
  <c r="CQ32" i="2"/>
  <c r="BU33" i="2"/>
  <c r="BM25" i="2"/>
  <c r="BV26" i="2"/>
  <c r="CT26" i="2"/>
  <c r="BM28" i="2"/>
  <c r="BY28" i="2"/>
  <c r="BN31" i="2"/>
  <c r="BN34" i="2"/>
  <c r="BZ34" i="2"/>
  <c r="AG34" i="2"/>
  <c r="CB29" i="2"/>
  <c r="CI25" i="2"/>
  <c r="CL26" i="2"/>
  <c r="BN27" i="2"/>
  <c r="BZ27" i="2"/>
  <c r="BP28" i="2"/>
  <c r="CB28" i="2"/>
  <c r="BV28" i="2"/>
  <c r="CF29" i="2"/>
  <c r="CU31" i="2"/>
  <c r="BR29" i="2"/>
  <c r="BN30" i="2"/>
  <c r="BM34" i="2"/>
  <c r="CK34" i="2"/>
  <c r="BS34" i="2"/>
  <c r="CE34" i="2"/>
  <c r="BU32" i="2"/>
  <c r="CS32" i="2"/>
  <c r="BP31" i="2"/>
  <c r="BV31" i="2"/>
  <c r="BQ33" i="2"/>
  <c r="CO33" i="2"/>
  <c r="BW33" i="2"/>
  <c r="BR30" i="2"/>
  <c r="CD30" i="2"/>
  <c r="BP34" i="2"/>
  <c r="CN34" i="2"/>
  <c r="BM31" i="2"/>
  <c r="BY31" i="2"/>
  <c r="BS31" i="2"/>
  <c r="CE31" i="2"/>
  <c r="BN33" i="2"/>
  <c r="BR32" i="2"/>
  <c r="CP32" i="2"/>
  <c r="BY33" i="2"/>
  <c r="CL34" i="2"/>
  <c r="CH29" i="2"/>
  <c r="CU27" i="2"/>
  <c r="CQ30" i="2"/>
  <c r="CU29" i="2"/>
  <c r="CC33" i="2"/>
  <c r="CH31" i="2"/>
  <c r="CT31" i="2"/>
  <c r="CH28" i="2"/>
  <c r="CT28" i="2"/>
  <c r="CN28" i="2"/>
  <c r="BV51" i="2"/>
  <c r="CH51" i="2"/>
  <c r="BN51" i="2"/>
  <c r="CL51" i="2"/>
  <c r="BM51" i="2"/>
  <c r="CK51" i="2"/>
  <c r="AF51" i="2"/>
  <c r="J51" i="2"/>
  <c r="BT51" i="2"/>
  <c r="E51" i="2"/>
  <c r="AG51" i="2"/>
  <c r="BU50" i="2"/>
  <c r="CS50" i="2"/>
  <c r="BS50" i="2"/>
  <c r="CQ50" i="2"/>
  <c r="BR50" i="2"/>
  <c r="CD50" i="2"/>
  <c r="BM50" i="2"/>
  <c r="CK50" i="2"/>
  <c r="AF50" i="2"/>
  <c r="J50" i="2"/>
  <c r="BT50" i="2"/>
  <c r="E50" i="2"/>
  <c r="AG50" i="2"/>
  <c r="BV49" i="2"/>
  <c r="CT49" i="2"/>
  <c r="BU49" i="2"/>
  <c r="CS49" i="2"/>
  <c r="BS49" i="2"/>
  <c r="CQ49" i="2"/>
  <c r="BN49" i="2"/>
  <c r="BZ49" i="2"/>
  <c r="BM49" i="2"/>
  <c r="CK49" i="2"/>
  <c r="AF49" i="2"/>
  <c r="J49" i="2"/>
  <c r="E49" i="2"/>
  <c r="AG49" i="2"/>
  <c r="AH49" i="2"/>
  <c r="BV47" i="2"/>
  <c r="CT47" i="2"/>
  <c r="BS47" i="2"/>
  <c r="CQ47" i="2"/>
  <c r="BP47" i="2"/>
  <c r="CN47" i="2"/>
  <c r="AF47" i="2"/>
  <c r="J47" i="2"/>
  <c r="BT47" i="2"/>
  <c r="E47" i="2"/>
  <c r="AF46" i="2"/>
  <c r="J46" i="2"/>
  <c r="E46" i="2"/>
  <c r="BO46" i="2"/>
  <c r="CM46" i="2"/>
  <c r="BW45" i="2"/>
  <c r="CI45" i="2"/>
  <c r="BR45" i="2"/>
  <c r="BQ45" i="2"/>
  <c r="CC45" i="2"/>
  <c r="BP45" i="2"/>
  <c r="CN45" i="2"/>
  <c r="AF45" i="2"/>
  <c r="J45" i="2"/>
  <c r="E45" i="2"/>
  <c r="AG45" i="2"/>
  <c r="BV44" i="2"/>
  <c r="CT44" i="2"/>
  <c r="BU44" i="2"/>
  <c r="CG44" i="2"/>
  <c r="BP44" i="2"/>
  <c r="CN44" i="2"/>
  <c r="BN44" i="2"/>
  <c r="CL44" i="2"/>
  <c r="AF44" i="2"/>
  <c r="J44" i="2"/>
  <c r="BT44" i="2"/>
  <c r="CF44" i="2"/>
  <c r="E44" i="2"/>
  <c r="AG44" i="2"/>
  <c r="AH44" i="2"/>
  <c r="BV42" i="2"/>
  <c r="CH42" i="2"/>
  <c r="BQ42" i="2"/>
  <c r="CO42" i="2"/>
  <c r="AF42" i="2"/>
  <c r="J42" i="2"/>
  <c r="BT42" i="2"/>
  <c r="CF42" i="2"/>
  <c r="E42" i="2"/>
  <c r="AG42" i="2"/>
  <c r="AH42" i="2"/>
  <c r="BP41" i="2"/>
  <c r="CB41" i="2"/>
  <c r="BM41" i="2"/>
  <c r="CK41" i="2"/>
  <c r="AF41" i="2"/>
  <c r="J41" i="2"/>
  <c r="E41" i="2"/>
  <c r="AF40" i="2"/>
  <c r="J40" i="2"/>
  <c r="BT40" i="2"/>
  <c r="CR40" i="2"/>
  <c r="E40" i="2"/>
  <c r="BP39" i="2"/>
  <c r="AF39" i="2"/>
  <c r="J39" i="2"/>
  <c r="E39" i="2"/>
  <c r="AG39" i="2"/>
  <c r="BW38" i="2"/>
  <c r="AF38" i="2"/>
  <c r="J38" i="2"/>
  <c r="E38" i="2"/>
  <c r="AF37" i="2"/>
  <c r="J37" i="2"/>
  <c r="BT37" i="2"/>
  <c r="E37" i="2"/>
  <c r="AG37" i="2"/>
  <c r="BM36" i="2"/>
  <c r="BY36" i="2"/>
  <c r="AF36" i="2"/>
  <c r="J36" i="2"/>
  <c r="E36" i="2"/>
  <c r="BW24" i="2"/>
  <c r="BR24" i="2"/>
  <c r="CP24" i="2"/>
  <c r="AF24" i="2"/>
  <c r="BU23" i="2"/>
  <c r="BS23" i="2"/>
  <c r="CQ23" i="2"/>
  <c r="BN23" i="2"/>
  <c r="CL23" i="2"/>
  <c r="BM23" i="2"/>
  <c r="AF23" i="2"/>
  <c r="BW22" i="2"/>
  <c r="CU22" i="2"/>
  <c r="BV22" i="2"/>
  <c r="CT22" i="2"/>
  <c r="BP22" i="2"/>
  <c r="CN22" i="2"/>
  <c r="BN22" i="2"/>
  <c r="CL22" i="2"/>
  <c r="BM22" i="2"/>
  <c r="CK22" i="2"/>
  <c r="AF22" i="2"/>
  <c r="AG22" i="2"/>
  <c r="BW21" i="2"/>
  <c r="CU21" i="2"/>
  <c r="BP21" i="2"/>
  <c r="CN21" i="2"/>
  <c r="AF21" i="2"/>
  <c r="BR20" i="2"/>
  <c r="CP20" i="2"/>
  <c r="AF20" i="2"/>
  <c r="BR19" i="2"/>
  <c r="CD19" i="2"/>
  <c r="BQ19" i="2"/>
  <c r="CC19" i="2"/>
  <c r="BP19" i="2"/>
  <c r="CB19" i="2"/>
  <c r="AF19" i="2"/>
  <c r="BW18" i="2"/>
  <c r="CU18" i="2"/>
  <c r="BU18" i="2"/>
  <c r="BQ18" i="2"/>
  <c r="BN18" i="2"/>
  <c r="BZ18" i="2"/>
  <c r="AF18" i="2"/>
  <c r="J18" i="2"/>
  <c r="E18" i="2"/>
  <c r="BO18" i="2"/>
  <c r="BS17" i="2"/>
  <c r="CQ17" i="2"/>
  <c r="BR17" i="2"/>
  <c r="CP17" i="2"/>
  <c r="BQ17" i="2"/>
  <c r="AF17" i="2"/>
  <c r="J17" i="2"/>
  <c r="BT17" i="2"/>
  <c r="CR17" i="2"/>
  <c r="E17" i="2"/>
  <c r="AG17" i="2"/>
  <c r="AH17" i="2"/>
  <c r="AF74" i="2"/>
  <c r="AH74" i="2"/>
  <c r="AG74" i="2"/>
  <c r="AF73" i="2"/>
  <c r="AF72" i="2"/>
  <c r="AF71" i="2"/>
  <c r="AF70" i="2"/>
  <c r="AF69" i="2"/>
  <c r="AF68" i="2"/>
  <c r="AF67" i="2"/>
  <c r="AF66" i="2"/>
  <c r="AF54" i="2"/>
  <c r="AF53" i="2"/>
  <c r="AF52" i="2"/>
  <c r="AH52" i="2"/>
  <c r="AG52" i="2"/>
  <c r="AF16" i="2"/>
  <c r="AF15" i="2"/>
  <c r="AG14" i="2"/>
  <c r="AH14" i="2"/>
  <c r="BT38" i="2"/>
  <c r="CF38" i="2"/>
  <c r="BT18" i="2"/>
  <c r="CF18" i="2"/>
  <c r="BT41" i="2"/>
  <c r="CF41" i="2"/>
  <c r="BT49" i="2"/>
  <c r="CF49" i="2"/>
  <c r="BT20" i="2"/>
  <c r="BU41" i="2"/>
  <c r="CS41" i="2"/>
  <c r="BU19" i="2"/>
  <c r="CS19" i="2"/>
  <c r="BP49" i="2"/>
  <c r="CB49" i="2"/>
  <c r="CN39" i="2"/>
  <c r="CB39" i="2"/>
  <c r="AG69" i="2"/>
  <c r="AG70" i="2"/>
  <c r="BQ37" i="2"/>
  <c r="CO37" i="2"/>
  <c r="BS38" i="2"/>
  <c r="CQ38" i="2"/>
  <c r="BS39" i="2"/>
  <c r="BW42" i="2"/>
  <c r="BM46" i="2"/>
  <c r="CK46" i="2"/>
  <c r="BU47" i="2"/>
  <c r="CS47" i="2"/>
  <c r="BY51" i="2"/>
  <c r="BV17" i="2"/>
  <c r="CH17" i="2"/>
  <c r="BR37" i="2"/>
  <c r="BV38" i="2"/>
  <c r="CT38" i="2"/>
  <c r="BU39" i="2"/>
  <c r="CG39" i="2"/>
  <c r="BP46" i="2"/>
  <c r="CB46" i="2"/>
  <c r="BR23" i="2"/>
  <c r="BV39" i="2"/>
  <c r="BR40" i="2"/>
  <c r="CP40" i="2"/>
  <c r="BN41" i="2"/>
  <c r="CL41" i="2"/>
  <c r="BQ46" i="2"/>
  <c r="CO46" i="2"/>
  <c r="BP51" i="2"/>
  <c r="BN38" i="2"/>
  <c r="CL38" i="2"/>
  <c r="BN39" i="2"/>
  <c r="BR46" i="2"/>
  <c r="CP46" i="2"/>
  <c r="BN47" i="2"/>
  <c r="BR49" i="2"/>
  <c r="CD49" i="2"/>
  <c r="BR51" i="2"/>
  <c r="CD51" i="2"/>
  <c r="BO20" i="2"/>
  <c r="BP38" i="2"/>
  <c r="CB38" i="2"/>
  <c r="BR44" i="2"/>
  <c r="BR47" i="2"/>
  <c r="CP47" i="2"/>
  <c r="BS51" i="2"/>
  <c r="CQ51" i="2"/>
  <c r="BS18" i="2"/>
  <c r="CQ18" i="2"/>
  <c r="BQ24" i="2"/>
  <c r="CO24" i="2"/>
  <c r="BN37" i="2"/>
  <c r="BZ37" i="2"/>
  <c r="BQ38" i="2"/>
  <c r="CO38" i="2"/>
  <c r="BR39" i="2"/>
  <c r="BW46" i="2"/>
  <c r="CU46" i="2"/>
  <c r="BY50" i="2"/>
  <c r="CH49" i="2"/>
  <c r="CH44" i="2"/>
  <c r="BW17" i="2"/>
  <c r="CU17" i="2"/>
  <c r="BM18" i="2"/>
  <c r="BQ20" i="2"/>
  <c r="CC20" i="2"/>
  <c r="BV24" i="2"/>
  <c r="CH24" i="2"/>
  <c r="BQ36" i="2"/>
  <c r="CO36" i="2"/>
  <c r="BS20" i="2"/>
  <c r="CE20" i="2"/>
  <c r="BM21" i="2"/>
  <c r="BY21" i="2"/>
  <c r="BS36" i="2"/>
  <c r="BW23" i="2"/>
  <c r="CU23" i="2"/>
  <c r="BU36" i="2"/>
  <c r="CG36" i="2"/>
  <c r="BP17" i="2"/>
  <c r="BQ21" i="2"/>
  <c r="CC21" i="2"/>
  <c r="BN24" i="2"/>
  <c r="CL24" i="2"/>
  <c r="BV36" i="2"/>
  <c r="CT36" i="2"/>
  <c r="BN19" i="2"/>
  <c r="BZ19" i="2"/>
  <c r="BM20" i="2"/>
  <c r="BY20" i="2"/>
  <c r="BS21" i="2"/>
  <c r="CE21" i="2"/>
  <c r="BS22" i="2"/>
  <c r="BP24" i="2"/>
  <c r="CB24" i="2"/>
  <c r="BW36" i="2"/>
  <c r="BO42" i="2"/>
  <c r="CM42" i="2"/>
  <c r="BO51" i="2"/>
  <c r="BO39" i="2"/>
  <c r="CM39" i="2"/>
  <c r="CI21" i="2"/>
  <c r="CB47" i="2"/>
  <c r="CE50" i="2"/>
  <c r="CD24" i="2"/>
  <c r="BZ44" i="2"/>
  <c r="BZ51" i="2"/>
  <c r="BM44" i="2"/>
  <c r="BU46" i="2"/>
  <c r="BU37" i="2"/>
  <c r="CS37" i="2"/>
  <c r="BM39" i="2"/>
  <c r="BM40" i="2"/>
  <c r="BS40" i="2"/>
  <c r="BP40" i="2"/>
  <c r="CD47" i="2"/>
  <c r="BN40" i="2"/>
  <c r="BS42" i="2"/>
  <c r="BP50" i="2"/>
  <c r="BV50" i="2"/>
  <c r="CT50" i="2"/>
  <c r="BV37" i="2"/>
  <c r="BS37" i="2"/>
  <c r="BO37" i="2"/>
  <c r="BT39" i="2"/>
  <c r="BR41" i="2"/>
  <c r="CP41" i="2"/>
  <c r="BN42" i="2"/>
  <c r="CL42" i="2"/>
  <c r="BV45" i="2"/>
  <c r="CT45" i="2"/>
  <c r="BY46" i="2"/>
  <c r="CH47" i="2"/>
  <c r="CF40" i="2"/>
  <c r="BS41" i="2"/>
  <c r="CL49" i="2"/>
  <c r="BU38" i="2"/>
  <c r="CG38" i="2"/>
  <c r="CE38" i="2"/>
  <c r="CR38" i="2"/>
  <c r="BQ39" i="2"/>
  <c r="BW39" i="2"/>
  <c r="CI39" i="2"/>
  <c r="BV40" i="2"/>
  <c r="CT40" i="2"/>
  <c r="AG41" i="2"/>
  <c r="BO41" i="2"/>
  <c r="CC42" i="2"/>
  <c r="BU40" i="2"/>
  <c r="BW41" i="2"/>
  <c r="CU41" i="2"/>
  <c r="CE47" i="2"/>
  <c r="BU42" i="2"/>
  <c r="BQ44" i="2"/>
  <c r="CC44" i="2"/>
  <c r="BW44" i="2"/>
  <c r="CU44" i="2"/>
  <c r="BM45" i="2"/>
  <c r="BS45" i="2"/>
  <c r="BY49" i="2"/>
  <c r="BV46" i="2"/>
  <c r="CT46" i="2"/>
  <c r="BU51" i="2"/>
  <c r="CS51" i="2"/>
  <c r="BQ47" i="2"/>
  <c r="CO47" i="2"/>
  <c r="BW47" i="2"/>
  <c r="BO50" i="2"/>
  <c r="CE49" i="2"/>
  <c r="BN50" i="2"/>
  <c r="CL50" i="2"/>
  <c r="CP50" i="2"/>
  <c r="BW51" i="2"/>
  <c r="CI51" i="2"/>
  <c r="CR18" i="2"/>
  <c r="CG18" i="2"/>
  <c r="CS18" i="2"/>
  <c r="BN17" i="2"/>
  <c r="CL17" i="2"/>
  <c r="BP18" i="2"/>
  <c r="CN18" i="2"/>
  <c r="BV18" i="2"/>
  <c r="CH18" i="2"/>
  <c r="CL19" i="2"/>
  <c r="BM19" i="2"/>
  <c r="CK19" i="2"/>
  <c r="BS19" i="2"/>
  <c r="CE19" i="2"/>
  <c r="CB21" i="2"/>
  <c r="BZ23" i="2"/>
  <c r="BR36" i="2"/>
  <c r="CP36" i="2"/>
  <c r="BV21" i="2"/>
  <c r="CH21" i="2"/>
  <c r="AG36" i="2"/>
  <c r="AH36" i="2"/>
  <c r="BO36" i="2"/>
  <c r="CA36" i="2"/>
  <c r="BV19" i="2"/>
  <c r="CH19" i="2"/>
  <c r="CD20" i="2"/>
  <c r="CO21" i="2"/>
  <c r="CK36" i="2"/>
  <c r="BR21" i="2"/>
  <c r="BQ22" i="2"/>
  <c r="CC22" i="2"/>
  <c r="CI22" i="2"/>
  <c r="BP23" i="2"/>
  <c r="CN23" i="2"/>
  <c r="BV23" i="2"/>
  <c r="CH23" i="2"/>
  <c r="BM24" i="2"/>
  <c r="BS24" i="2"/>
  <c r="CQ24" i="2"/>
  <c r="BR22" i="2"/>
  <c r="CD22" i="2"/>
  <c r="BT36" i="2"/>
  <c r="CR36" i="2"/>
  <c r="BU20" i="2"/>
  <c r="CG20" i="2"/>
  <c r="AG71" i="2"/>
  <c r="AH71" i="2"/>
  <c r="AG53" i="2"/>
  <c r="AG16" i="2"/>
  <c r="AG54" i="2"/>
  <c r="AH54" i="2"/>
  <c r="AG67" i="2"/>
  <c r="AG68" i="2"/>
  <c r="AH68" i="2"/>
  <c r="AG66" i="2"/>
  <c r="AG72" i="2"/>
  <c r="AG73" i="2"/>
  <c r="CR41" i="2"/>
  <c r="CN38" i="2"/>
  <c r="CI46" i="2"/>
  <c r="CG41" i="2"/>
  <c r="CD46" i="2"/>
  <c r="CC36" i="2"/>
  <c r="BZ38" i="2"/>
  <c r="CK20" i="2"/>
  <c r="CS39" i="2"/>
  <c r="CT24" i="2"/>
  <c r="CC24" i="2"/>
  <c r="CA42" i="2"/>
  <c r="CS36" i="2"/>
  <c r="CQ21" i="2"/>
  <c r="CQ36" i="2"/>
  <c r="CE36" i="2"/>
  <c r="CE22" i="2"/>
  <c r="CQ22" i="2"/>
  <c r="CE45" i="2"/>
  <c r="CQ45" i="2"/>
  <c r="CE40" i="2"/>
  <c r="CQ40" i="2"/>
  <c r="CD41" i="2"/>
  <c r="BZ40" i="2"/>
  <c r="CL40" i="2"/>
  <c r="BZ50" i="2"/>
  <c r="CI47" i="2"/>
  <c r="CU47" i="2"/>
  <c r="BY45" i="2"/>
  <c r="CK45" i="2"/>
  <c r="CH45" i="2"/>
  <c r="BY40" i="2"/>
  <c r="CK40" i="2"/>
  <c r="CS40" i="2"/>
  <c r="CG40" i="2"/>
  <c r="CM37" i="2"/>
  <c r="CA37" i="2"/>
  <c r="CH37" i="2"/>
  <c r="CT37" i="2"/>
  <c r="CK44" i="2"/>
  <c r="BY44" i="2"/>
  <c r="CC47" i="2"/>
  <c r="CC39" i="2"/>
  <c r="CO39" i="2"/>
  <c r="CN40" i="2"/>
  <c r="CB40" i="2"/>
  <c r="CG46" i="2"/>
  <c r="CS46" i="2"/>
  <c r="CS42" i="2"/>
  <c r="CG42" i="2"/>
  <c r="CS38" i="2"/>
  <c r="CQ41" i="2"/>
  <c r="CE41" i="2"/>
  <c r="CB18" i="2"/>
  <c r="BY24" i="2"/>
  <c r="CK24" i="2"/>
  <c r="CT21" i="2"/>
  <c r="CD21" i="2"/>
  <c r="CP21" i="2"/>
  <c r="CP22" i="2"/>
  <c r="CT19" i="2"/>
  <c r="CT18" i="2"/>
  <c r="CF17" i="2"/>
  <c r="AF39" i="1"/>
  <c r="AF38" i="1"/>
  <c r="AF37" i="1"/>
  <c r="AH37" i="1"/>
  <c r="AF36" i="1"/>
  <c r="AF35" i="1"/>
  <c r="AF34" i="1"/>
  <c r="AF33" i="1"/>
  <c r="AF32" i="1"/>
  <c r="AF31" i="1"/>
  <c r="AF30" i="1"/>
  <c r="AF29" i="1"/>
  <c r="AF28" i="1"/>
  <c r="AF25" i="1"/>
  <c r="AF24" i="1"/>
  <c r="AF23" i="1"/>
  <c r="AF22" i="1"/>
  <c r="AF21" i="1"/>
  <c r="AF20" i="1"/>
  <c r="AF19" i="1"/>
  <c r="AF18" i="1"/>
  <c r="AF17" i="1"/>
  <c r="AF16" i="1"/>
  <c r="AF15" i="1"/>
  <c r="AG22" i="1"/>
  <c r="AG25" i="1"/>
  <c r="AH25" i="1"/>
  <c r="AG19" i="1"/>
  <c r="AH19" i="1"/>
  <c r="AG24" i="1"/>
  <c r="AH24" i="1"/>
  <c r="AG30" i="1"/>
  <c r="AH30" i="1"/>
  <c r="AG36" i="1"/>
  <c r="AG33" i="1"/>
  <c r="AH33" i="1"/>
  <c r="AG35" i="1"/>
  <c r="AG28" i="1"/>
  <c r="CF50" i="2"/>
  <c r="CR50" i="2"/>
  <c r="BZ24" i="2"/>
  <c r="CO19" i="2"/>
  <c r="BQ51" i="2"/>
  <c r="CO51" i="2"/>
  <c r="BP42" i="2"/>
  <c r="CN42" i="2"/>
  <c r="CN41" i="2"/>
  <c r="CS44" i="2"/>
  <c r="BW50" i="2"/>
  <c r="CI50" i="2"/>
  <c r="BQ40" i="2"/>
  <c r="CG50" i="2"/>
  <c r="BN46" i="2"/>
  <c r="BT33" i="2"/>
  <c r="CR33" i="2"/>
  <c r="CB107" i="2"/>
  <c r="BV100" i="2"/>
  <c r="BS89" i="2"/>
  <c r="CN81" i="2"/>
  <c r="BV56" i="2"/>
  <c r="CT56" i="2"/>
  <c r="BN78" i="2"/>
  <c r="BU75" i="2"/>
  <c r="BR108" i="2"/>
  <c r="CD108" i="2"/>
  <c r="BM79" i="2"/>
  <c r="BQ99" i="2"/>
  <c r="BV101" i="2"/>
  <c r="CT101" i="2"/>
  <c r="BQ81" i="2"/>
  <c r="BM83" i="2"/>
  <c r="BN87" i="2"/>
  <c r="BN88" i="2"/>
  <c r="BR90" i="2"/>
  <c r="CE73" i="2"/>
  <c r="CI72" i="2"/>
  <c r="BP69" i="2"/>
  <c r="CN69" i="2"/>
  <c r="BP53" i="2"/>
  <c r="CN53" i="2"/>
  <c r="CN24" i="2"/>
  <c r="BZ17" i="2"/>
  <c r="CK21" i="2"/>
  <c r="BT23" i="2"/>
  <c r="BO45" i="2"/>
  <c r="CD40" i="2"/>
  <c r="BR18" i="2"/>
  <c r="BM38" i="2"/>
  <c r="AG15" i="2"/>
  <c r="AH15" i="2"/>
  <c r="BU17" i="2"/>
  <c r="CS17" i="2"/>
  <c r="BU45" i="2"/>
  <c r="CK28" i="2"/>
  <c r="CP25" i="2"/>
  <c r="CO97" i="2"/>
  <c r="CU104" i="2"/>
  <c r="CO111" i="2"/>
  <c r="BV60" i="2"/>
  <c r="CF109" i="2"/>
  <c r="BU113" i="2"/>
  <c r="BM107" i="2"/>
  <c r="BW91" i="2"/>
  <c r="CU91" i="2"/>
  <c r="BU93" i="2"/>
  <c r="BM89" i="2"/>
  <c r="BN85" i="2"/>
  <c r="BZ85" i="2"/>
  <c r="AG83" i="2"/>
  <c r="AH83" i="2"/>
  <c r="BP92" i="2"/>
  <c r="CB92" i="2"/>
  <c r="CP98" i="2"/>
  <c r="BR107" i="2"/>
  <c r="BQ56" i="2"/>
  <c r="CO56" i="2"/>
  <c r="BS106" i="2"/>
  <c r="CE106" i="2"/>
  <c r="CB114" i="2"/>
  <c r="BR83" i="2"/>
  <c r="BT104" i="2"/>
  <c r="CF104" i="2"/>
  <c r="BV43" i="2"/>
  <c r="BQ73" i="2"/>
  <c r="BQ70" i="2"/>
  <c r="CO70" i="2"/>
  <c r="BV69" i="2"/>
  <c r="BR67" i="2"/>
  <c r="BS66" i="2"/>
  <c r="CQ66" i="2"/>
  <c r="BU54" i="2"/>
  <c r="CL18" i="2"/>
  <c r="CD17" i="2"/>
  <c r="CE51" i="2"/>
  <c r="BM47" i="2"/>
  <c r="BW37" i="2"/>
  <c r="CU37" i="2"/>
  <c r="CQ28" i="2"/>
  <c r="CK29" i="2"/>
  <c r="BP27" i="2"/>
  <c r="CN61" i="2"/>
  <c r="CU60" i="2"/>
  <c r="CH94" i="2"/>
  <c r="CR115" i="2"/>
  <c r="BT63" i="2"/>
  <c r="CF63" i="2"/>
  <c r="BS115" i="2"/>
  <c r="CQ115" i="2"/>
  <c r="CO84" i="2"/>
  <c r="BV110" i="2"/>
  <c r="BN114" i="2"/>
  <c r="CU43" i="2"/>
  <c r="BU62" i="2"/>
  <c r="BP102" i="2"/>
  <c r="CN102" i="2"/>
  <c r="BQ110" i="2"/>
  <c r="BR82" i="2"/>
  <c r="CD82" i="2"/>
  <c r="BT78" i="2"/>
  <c r="CF78" i="2"/>
  <c r="BW73" i="2"/>
  <c r="CN73" i="2"/>
  <c r="CI58" i="2"/>
  <c r="BP58" i="2"/>
  <c r="BQ52" i="2"/>
  <c r="CH50" i="2"/>
  <c r="BW19" i="2"/>
  <c r="BU24" i="2"/>
  <c r="BQ50" i="2"/>
  <c r="BQ41" i="2"/>
  <c r="CC41" i="2"/>
  <c r="BM37" i="2"/>
  <c r="BW49" i="2"/>
  <c r="BP36" i="2"/>
  <c r="BO23" i="2"/>
  <c r="BM17" i="2"/>
  <c r="BU30" i="2"/>
  <c r="CG30" i="2"/>
  <c r="BT25" i="2"/>
  <c r="CQ77" i="2"/>
  <c r="BU55" i="2"/>
  <c r="BO103" i="2"/>
  <c r="CA103" i="2"/>
  <c r="BW98" i="2"/>
  <c r="CI98" i="2"/>
  <c r="BN95" i="2"/>
  <c r="BO55" i="2"/>
  <c r="BM106" i="2"/>
  <c r="BV102" i="2"/>
  <c r="BQ109" i="2"/>
  <c r="BW81" i="2"/>
  <c r="CI81" i="2"/>
  <c r="CK94" i="2"/>
  <c r="BT114" i="2"/>
  <c r="BP57" i="2"/>
  <c r="CN57" i="2"/>
  <c r="CI52" i="2"/>
  <c r="CN46" i="2"/>
  <c r="BP20" i="2"/>
  <c r="CB20" i="2"/>
  <c r="BQ49" i="2"/>
  <c r="BU21" i="2"/>
  <c r="BW40" i="2"/>
  <c r="BV20" i="2"/>
  <c r="CT20" i="2"/>
  <c r="BR38" i="2"/>
  <c r="BT46" i="2"/>
  <c r="BU29" i="2"/>
  <c r="CG29" i="2"/>
  <c r="BU26" i="2"/>
  <c r="CF97" i="2"/>
  <c r="BU61" i="2"/>
  <c r="BW111" i="2"/>
  <c r="BO92" i="2"/>
  <c r="CM92" i="2"/>
  <c r="BR97" i="2"/>
  <c r="BN63" i="2"/>
  <c r="BR80" i="2"/>
  <c r="CD80" i="2"/>
  <c r="BS96" i="2"/>
  <c r="BV92" i="2"/>
  <c r="CH92" i="2"/>
  <c r="BN76" i="2"/>
  <c r="BS79" i="2"/>
  <c r="CE79" i="2"/>
  <c r="BM96" i="2"/>
  <c r="BY96" i="2"/>
  <c r="CS112" i="2"/>
  <c r="BW82" i="2"/>
  <c r="BT76" i="2"/>
  <c r="BQ68" i="2"/>
  <c r="CO68" i="2"/>
  <c r="CR67" i="2"/>
  <c r="BM66" i="2"/>
  <c r="BP59" i="2"/>
  <c r="CN59" i="2"/>
  <c r="CK23" i="3"/>
  <c r="CF19" i="3"/>
  <c r="CB23" i="2"/>
  <c r="CB34" i="2"/>
  <c r="BY102" i="2"/>
  <c r="CK102" i="2"/>
  <c r="CA97" i="2"/>
  <c r="CM97" i="2"/>
  <c r="CR111" i="2"/>
  <c r="CF111" i="2"/>
  <c r="BO61" i="2"/>
  <c r="CA61" i="2"/>
  <c r="AG61" i="2"/>
  <c r="CK63" i="2"/>
  <c r="BY63" i="2"/>
  <c r="BY56" i="2"/>
  <c r="CK56" i="2"/>
  <c r="DV31" i="2"/>
  <c r="BU31" i="2"/>
  <c r="CB111" i="2"/>
  <c r="CN111" i="2"/>
  <c r="CP89" i="2"/>
  <c r="CD89" i="2"/>
  <c r="CH103" i="2"/>
  <c r="CT103" i="2"/>
  <c r="CK104" i="2"/>
  <c r="BY104" i="2"/>
  <c r="CS115" i="2"/>
  <c r="CG115" i="2"/>
  <c r="CS81" i="2"/>
  <c r="CG81" i="2"/>
  <c r="CP83" i="2"/>
  <c r="CD83" i="2"/>
  <c r="BO90" i="2"/>
  <c r="CA90" i="2"/>
  <c r="AG90" i="2"/>
  <c r="CF101" i="2"/>
  <c r="CR101" i="2"/>
  <c r="CR107" i="2"/>
  <c r="CF107" i="2"/>
  <c r="CH43" i="2"/>
  <c r="CT43" i="2"/>
  <c r="DW14" i="2"/>
  <c r="BV14" i="2"/>
  <c r="CH14" i="2"/>
  <c r="CU63" i="2"/>
  <c r="CI63" i="2"/>
  <c r="CB98" i="2"/>
  <c r="CN98" i="2"/>
  <c r="CI97" i="2"/>
  <c r="CU97" i="2"/>
  <c r="CH104" i="2"/>
  <c r="CT104" i="2"/>
  <c r="CM106" i="2"/>
  <c r="CA106" i="2"/>
  <c r="CT82" i="2"/>
  <c r="CH82" i="2"/>
  <c r="CR75" i="2"/>
  <c r="CF75" i="2"/>
  <c r="CA99" i="2"/>
  <c r="CM99" i="2"/>
  <c r="CN70" i="2"/>
  <c r="CB70" i="2"/>
  <c r="DT26" i="2"/>
  <c r="EF26" i="2"/>
  <c r="BS26" i="2"/>
  <c r="DT29" i="2"/>
  <c r="BS29" i="2"/>
  <c r="CE29" i="2"/>
  <c r="AH51" i="2"/>
  <c r="CQ34" i="2"/>
  <c r="CQ97" i="2"/>
  <c r="CN87" i="2"/>
  <c r="CB87" i="2"/>
  <c r="BY76" i="2"/>
  <c r="CK76" i="2"/>
  <c r="CL62" i="2"/>
  <c r="BZ62" i="2"/>
  <c r="CS82" i="2"/>
  <c r="CG82" i="2"/>
  <c r="CK77" i="2"/>
  <c r="BY77" i="2"/>
  <c r="BW26" i="2"/>
  <c r="DX26" i="2"/>
  <c r="CK112" i="2"/>
  <c r="CL61" i="2"/>
  <c r="BZ61" i="2"/>
  <c r="CD62" i="2"/>
  <c r="CP62" i="2"/>
  <c r="CI80" i="2"/>
  <c r="CU80" i="2"/>
  <c r="CG105" i="2"/>
  <c r="CS105" i="2"/>
  <c r="CP91" i="2"/>
  <c r="CD91" i="2"/>
  <c r="CP97" i="2"/>
  <c r="CD97" i="2"/>
  <c r="CB101" i="2"/>
  <c r="CN101" i="2"/>
  <c r="CS70" i="2"/>
  <c r="CG70" i="2"/>
  <c r="CS67" i="2"/>
  <c r="CG67" i="2"/>
  <c r="DQ25" i="2"/>
  <c r="BP25" i="2"/>
  <c r="DX28" i="2"/>
  <c r="EJ28" i="2"/>
  <c r="BW28" i="2"/>
  <c r="DR28" i="2"/>
  <c r="BQ28" i="2"/>
  <c r="DW32" i="2"/>
  <c r="EI32" i="2"/>
  <c r="BV32" i="2"/>
  <c r="AH69" i="2"/>
  <c r="CN26" i="2"/>
  <c r="CL29" i="2"/>
  <c r="BZ29" i="2"/>
  <c r="CE89" i="2"/>
  <c r="CQ89" i="2"/>
  <c r="CB99" i="2"/>
  <c r="CN99" i="2"/>
  <c r="CL107" i="2"/>
  <c r="BZ107" i="2"/>
  <c r="CH95" i="2"/>
  <c r="CT95" i="2"/>
  <c r="BZ102" i="2"/>
  <c r="CL102" i="2"/>
  <c r="CK101" i="2"/>
  <c r="BY101" i="2"/>
  <c r="CS71" i="2"/>
  <c r="CG71" i="2"/>
  <c r="BO34" i="2"/>
  <c r="AH30" i="2"/>
  <c r="CN75" i="2"/>
  <c r="AG88" i="2"/>
  <c r="AH88" i="2"/>
  <c r="BP60" i="2"/>
  <c r="BP78" i="2"/>
  <c r="CB78" i="2"/>
  <c r="AH101" i="2"/>
  <c r="BW103" i="2"/>
  <c r="BW107" i="2"/>
  <c r="BW108" i="2"/>
  <c r="BU35" i="2"/>
  <c r="CG35" i="2"/>
  <c r="CB71" i="2"/>
  <c r="BR71" i="2"/>
  <c r="BR70" i="2"/>
  <c r="CG59" i="2"/>
  <c r="BN54" i="2"/>
  <c r="BV52" i="2"/>
  <c r="BO52" i="2"/>
  <c r="CM52" i="2"/>
  <c r="BT34" i="2"/>
  <c r="CN103" i="2"/>
  <c r="CE62" i="2"/>
  <c r="AG108" i="2"/>
  <c r="AH108" i="2"/>
  <c r="BQ77" i="2"/>
  <c r="BN86" i="2"/>
  <c r="BZ86" i="2"/>
  <c r="BN84" i="2"/>
  <c r="CL84" i="2"/>
  <c r="BM80" i="2"/>
  <c r="CK80" i="2"/>
  <c r="BU98" i="2"/>
  <c r="BR102" i="2"/>
  <c r="BQ105" i="2"/>
  <c r="BO35" i="2"/>
  <c r="BV71" i="2"/>
  <c r="BV70" i="2"/>
  <c r="CT70" i="2"/>
  <c r="BP67" i="2"/>
  <c r="BO59" i="2"/>
  <c r="BT16" i="2"/>
  <c r="CR16" i="2"/>
  <c r="DT52" i="2"/>
  <c r="EF52" i="2"/>
  <c r="DS58" i="2"/>
  <c r="EE58" i="2"/>
  <c r="AH99" i="2"/>
  <c r="AH35" i="2"/>
  <c r="BR43" i="2"/>
  <c r="CD43" i="2"/>
  <c r="BM72" i="2"/>
  <c r="BM71" i="2"/>
  <c r="CK71" i="2"/>
  <c r="BO70" i="2"/>
  <c r="BW69" i="2"/>
  <c r="BV68" i="2"/>
  <c r="BV57" i="2"/>
  <c r="BT53" i="2"/>
  <c r="CF53" i="2"/>
  <c r="AH34" i="2"/>
  <c r="BO22" i="2"/>
  <c r="AH59" i="2"/>
  <c r="CB106" i="2"/>
  <c r="CS101" i="2"/>
  <c r="CT115" i="2"/>
  <c r="CE110" i="2"/>
  <c r="BV79" i="2"/>
  <c r="BV90" i="2"/>
  <c r="CH90" i="2"/>
  <c r="BV76" i="2"/>
  <c r="BV78" i="2"/>
  <c r="BU80" i="2"/>
  <c r="CS80" i="2"/>
  <c r="BQ103" i="2"/>
  <c r="BS72" i="2"/>
  <c r="CC66" i="2"/>
  <c r="BU57" i="2"/>
  <c r="CS57" i="2"/>
  <c r="CC56" i="2"/>
  <c r="BO85" i="2"/>
  <c r="CP112" i="2"/>
  <c r="BS55" i="2"/>
  <c r="BP79" i="2"/>
  <c r="BV75" i="2"/>
  <c r="AH102" i="2"/>
  <c r="BS88" i="2"/>
  <c r="BU92" i="2"/>
  <c r="BS94" i="2"/>
  <c r="CG74" i="2"/>
  <c r="BQ74" i="2"/>
  <c r="CO74" i="2"/>
  <c r="CR28" i="2"/>
  <c r="CF28" i="2"/>
  <c r="CR25" i="2"/>
  <c r="CF25" i="2"/>
  <c r="CR19" i="2"/>
  <c r="CF19" i="2"/>
  <c r="CU110" i="2"/>
  <c r="CI110" i="2"/>
  <c r="DT107" i="2"/>
  <c r="EF107" i="2"/>
  <c r="BS107" i="2"/>
  <c r="BS44" i="2"/>
  <c r="CE44" i="2"/>
  <c r="BY22" i="2"/>
  <c r="CD34" i="2"/>
  <c r="AH28" i="2"/>
  <c r="AH19" i="2"/>
  <c r="CC63" i="2"/>
  <c r="CF112" i="2"/>
  <c r="CR112" i="2"/>
  <c r="CQ106" i="2"/>
  <c r="BY93" i="2"/>
  <c r="CK93" i="2"/>
  <c r="CR84" i="2"/>
  <c r="CF84" i="2"/>
  <c r="BO93" i="2"/>
  <c r="AG93" i="2"/>
  <c r="AH93" i="2"/>
  <c r="CU53" i="2"/>
  <c r="CI53" i="2"/>
  <c r="DR14" i="2"/>
  <c r="ED14" i="2"/>
  <c r="BQ14" i="2"/>
  <c r="DN27" i="2"/>
  <c r="DZ27" i="2"/>
  <c r="BM27" i="2"/>
  <c r="DS28" i="2"/>
  <c r="BR28" i="2"/>
  <c r="DN68" i="2"/>
  <c r="DZ68" i="2"/>
  <c r="BM68" i="2"/>
  <c r="CK68" i="2"/>
  <c r="DS69" i="2"/>
  <c r="BR69" i="2"/>
  <c r="DX70" i="2"/>
  <c r="EJ70" i="2"/>
  <c r="BW70" i="2"/>
  <c r="DX71" i="2"/>
  <c r="BW71" i="2"/>
  <c r="DO71" i="2"/>
  <c r="BN71" i="2"/>
  <c r="DR75" i="2"/>
  <c r="ED75" i="2"/>
  <c r="BQ75" i="2"/>
  <c r="CC75" i="2"/>
  <c r="DR76" i="2"/>
  <c r="ED76" i="2"/>
  <c r="BQ76" i="2"/>
  <c r="DX79" i="2"/>
  <c r="BW79" i="2"/>
  <c r="CU79" i="2"/>
  <c r="DR91" i="2"/>
  <c r="BQ91" i="2"/>
  <c r="DU94" i="2"/>
  <c r="EG94" i="2"/>
  <c r="BT94" i="2"/>
  <c r="DQ94" i="2"/>
  <c r="BP94" i="2"/>
  <c r="CB94" i="2"/>
  <c r="DO100" i="2"/>
  <c r="EA100" i="2"/>
  <c r="BN100" i="2"/>
  <c r="DN105" i="2"/>
  <c r="BM105" i="2"/>
  <c r="CE60" i="2"/>
  <c r="CQ60" i="2"/>
  <c r="CG98" i="2"/>
  <c r="CS98" i="2"/>
  <c r="CM87" i="2"/>
  <c r="CA87" i="2"/>
  <c r="CS20" i="2"/>
  <c r="CC51" i="2"/>
  <c r="CH38" i="2"/>
  <c r="BN36" i="2"/>
  <c r="BO49" i="2"/>
  <c r="CM49" i="2"/>
  <c r="CT42" i="2"/>
  <c r="BZ22" i="2"/>
  <c r="AH66" i="2"/>
  <c r="BP37" i="2"/>
  <c r="CN37" i="2"/>
  <c r="CP30" i="2"/>
  <c r="CP33" i="2"/>
  <c r="CE32" i="2"/>
  <c r="CC26" i="2"/>
  <c r="CD55" i="2"/>
  <c r="CI94" i="2"/>
  <c r="CF92" i="2"/>
  <c r="CD61" i="2"/>
  <c r="CS108" i="2"/>
  <c r="CG108" i="2"/>
  <c r="CE92" i="2"/>
  <c r="CQ92" i="2"/>
  <c r="CS89" i="2"/>
  <c r="CG89" i="2"/>
  <c r="BZ92" i="2"/>
  <c r="CL92" i="2"/>
  <c r="CP82" i="2"/>
  <c r="CC100" i="2"/>
  <c r="CO100" i="2"/>
  <c r="CH111" i="2"/>
  <c r="CT111" i="2"/>
  <c r="BZ112" i="2"/>
  <c r="CL112" i="2"/>
  <c r="CF80" i="2"/>
  <c r="CR80" i="2"/>
  <c r="CG88" i="2"/>
  <c r="CS88" i="2"/>
  <c r="CC89" i="2"/>
  <c r="BO56" i="2"/>
  <c r="AG56" i="2"/>
  <c r="AH56" i="2"/>
  <c r="CI78" i="2"/>
  <c r="CU78" i="2"/>
  <c r="BZ105" i="2"/>
  <c r="CL105" i="2"/>
  <c r="CU107" i="2"/>
  <c r="CI107" i="2"/>
  <c r="CK110" i="2"/>
  <c r="BY110" i="2"/>
  <c r="CU112" i="2"/>
  <c r="CI112" i="2"/>
  <c r="CO90" i="2"/>
  <c r="CC90" i="2"/>
  <c r="CA88" i="2"/>
  <c r="CM88" i="2"/>
  <c r="CF90" i="2"/>
  <c r="CR90" i="2"/>
  <c r="DW66" i="2"/>
  <c r="BV66" i="2"/>
  <c r="CT66" i="2"/>
  <c r="DQ66" i="2"/>
  <c r="BP66" i="2"/>
  <c r="AG60" i="2"/>
  <c r="AH60" i="2"/>
  <c r="BO60" i="2"/>
  <c r="DO48" i="2"/>
  <c r="EA48" i="2"/>
  <c r="BN48" i="2"/>
  <c r="CL48" i="2"/>
  <c r="CT23" i="2"/>
  <c r="CU39" i="2"/>
  <c r="BZ41" i="2"/>
  <c r="CC37" i="2"/>
  <c r="CP19" i="2"/>
  <c r="BM42" i="2"/>
  <c r="CN49" i="2"/>
  <c r="BV41" i="2"/>
  <c r="CD32" i="2"/>
  <c r="CQ31" i="2"/>
  <c r="CK32" i="2"/>
  <c r="BV34" i="2"/>
  <c r="CT34" i="2"/>
  <c r="CS25" i="2"/>
  <c r="CS114" i="2"/>
  <c r="AG87" i="2"/>
  <c r="AH87" i="2"/>
  <c r="CE113" i="2"/>
  <c r="BZ110" i="2"/>
  <c r="CL110" i="2"/>
  <c r="CD111" i="2"/>
  <c r="CP111" i="2"/>
  <c r="CN96" i="2"/>
  <c r="CB96" i="2"/>
  <c r="CD114" i="2"/>
  <c r="CP114" i="2"/>
  <c r="CM78" i="2"/>
  <c r="CA78" i="2"/>
  <c r="CR96" i="2"/>
  <c r="CF96" i="2"/>
  <c r="CF56" i="2"/>
  <c r="CR56" i="2"/>
  <c r="CO92" i="2"/>
  <c r="CC92" i="2"/>
  <c r="CQ52" i="2"/>
  <c r="CE52" i="2"/>
  <c r="DS52" i="2"/>
  <c r="EE52" i="2"/>
  <c r="BR52" i="2"/>
  <c r="CP52" i="2"/>
  <c r="DT53" i="2"/>
  <c r="EF53" i="2"/>
  <c r="BS53" i="2"/>
  <c r="CE53" i="2"/>
  <c r="DV58" i="2"/>
  <c r="EH58" i="2"/>
  <c r="BU58" i="2"/>
  <c r="CU51" i="2"/>
  <c r="CE17" i="2"/>
  <c r="BY41" i="2"/>
  <c r="CB44" i="2"/>
  <c r="CU45" i="2"/>
  <c r="CL27" i="2"/>
  <c r="CH27" i="2"/>
  <c r="CC25" i="2"/>
  <c r="CL97" i="2"/>
  <c r="CR63" i="2"/>
  <c r="CB56" i="2"/>
  <c r="CN56" i="2"/>
  <c r="CP79" i="2"/>
  <c r="CP92" i="2"/>
  <c r="CD92" i="2"/>
  <c r="CI84" i="2"/>
  <c r="CC79" i="2"/>
  <c r="CI77" i="2"/>
  <c r="CU77" i="2"/>
  <c r="CL78" i="2"/>
  <c r="BZ78" i="2"/>
  <c r="CM102" i="2"/>
  <c r="CA102" i="2"/>
  <c r="CF79" i="2"/>
  <c r="CR79" i="2"/>
  <c r="CE98" i="2"/>
  <c r="CR99" i="2"/>
  <c r="CH101" i="2"/>
  <c r="CQ104" i="2"/>
  <c r="CC82" i="2"/>
  <c r="CO82" i="2"/>
  <c r="CK83" i="2"/>
  <c r="BY83" i="2"/>
  <c r="AG112" i="2"/>
  <c r="AH112" i="2"/>
  <c r="BO112" i="2"/>
  <c r="CQ74" i="2"/>
  <c r="CE74" i="2"/>
  <c r="CE67" i="2"/>
  <c r="CI54" i="2"/>
  <c r="DQ43" i="2"/>
  <c r="EC43" i="2"/>
  <c r="BP43" i="2"/>
  <c r="DQ48" i="2"/>
  <c r="EC48" i="2"/>
  <c r="BP48" i="2"/>
  <c r="CG79" i="2"/>
  <c r="CS79" i="2"/>
  <c r="CH93" i="2"/>
  <c r="CT93" i="2"/>
  <c r="CD76" i="2"/>
  <c r="CP76" i="2"/>
  <c r="CM101" i="2"/>
  <c r="CA101" i="2"/>
  <c r="BO113" i="2"/>
  <c r="AG113" i="2"/>
  <c r="DO43" i="2"/>
  <c r="EA43" i="2"/>
  <c r="BN43" i="2"/>
  <c r="CL37" i="2"/>
  <c r="BO17" i="2"/>
  <c r="CA17" i="2"/>
  <c r="BN45" i="2"/>
  <c r="AH37" i="2"/>
  <c r="BR42" i="2"/>
  <c r="BT45" i="2"/>
  <c r="CR45" i="2"/>
  <c r="BS46" i="2"/>
  <c r="CI32" i="2"/>
  <c r="CQ95" i="2"/>
  <c r="CL109" i="2"/>
  <c r="CN62" i="2"/>
  <c r="CB62" i="2"/>
  <c r="CM95" i="2"/>
  <c r="CA95" i="2"/>
  <c r="CS99" i="2"/>
  <c r="CH91" i="2"/>
  <c r="CT91" i="2"/>
  <c r="BO84" i="2"/>
  <c r="CF85" i="2"/>
  <c r="CR85" i="2"/>
  <c r="CS107" i="2"/>
  <c r="CG107" i="2"/>
  <c r="CG77" i="2"/>
  <c r="CG60" i="2"/>
  <c r="CS60" i="2"/>
  <c r="CB80" i="2"/>
  <c r="CN80" i="2"/>
  <c r="CO106" i="2"/>
  <c r="CC106" i="2"/>
  <c r="CL96" i="2"/>
  <c r="CS103" i="2"/>
  <c r="CI86" i="2"/>
  <c r="CU86" i="2"/>
  <c r="BT48" i="2"/>
  <c r="CN67" i="2"/>
  <c r="CB67" i="2"/>
  <c r="DX30" i="2"/>
  <c r="EJ30" i="2"/>
  <c r="BW30" i="2"/>
  <c r="CI30" i="2"/>
  <c r="DS31" i="2"/>
  <c r="BR31" i="2"/>
  <c r="CU73" i="2"/>
  <c r="CI73" i="2"/>
  <c r="BQ71" i="2"/>
  <c r="CD67" i="2"/>
  <c r="CP67" i="2"/>
  <c r="BQ54" i="2"/>
  <c r="DV48" i="2"/>
  <c r="EH48" i="2"/>
  <c r="BU48" i="2"/>
  <c r="DN52" i="2"/>
  <c r="BM52" i="2"/>
  <c r="CK52" i="2"/>
  <c r="DX59" i="2"/>
  <c r="EJ59" i="2"/>
  <c r="BW59" i="2"/>
  <c r="DX74" i="2"/>
  <c r="EJ74" i="2"/>
  <c r="BW74" i="2"/>
  <c r="DW54" i="2"/>
  <c r="BV54" i="2"/>
  <c r="CH54" i="2"/>
  <c r="DV68" i="2"/>
  <c r="EH68" i="2"/>
  <c r="BU68" i="2"/>
  <c r="DQ68" i="2"/>
  <c r="EC68" i="2"/>
  <c r="BP68" i="2"/>
  <c r="BP74" i="2"/>
  <c r="DQ74" i="2"/>
  <c r="BV106" i="2"/>
  <c r="BU76" i="2"/>
  <c r="CE48" i="2"/>
  <c r="BM61" i="2"/>
  <c r="BR35" i="2"/>
  <c r="BS14" i="2"/>
  <c r="CE14" i="2"/>
  <c r="CF73" i="2"/>
  <c r="CR73" i="2"/>
  <c r="CE69" i="2"/>
  <c r="CQ69" i="2"/>
  <c r="CO58" i="2"/>
  <c r="CC58" i="2"/>
  <c r="CS54" i="2"/>
  <c r="CG54" i="2"/>
  <c r="DS16" i="2"/>
  <c r="BR16" i="2"/>
  <c r="CU101" i="2"/>
  <c r="CI113" i="2"/>
  <c r="CA114" i="2"/>
  <c r="CT83" i="2"/>
  <c r="BV55" i="2"/>
  <c r="AH114" i="2"/>
  <c r="BP90" i="2"/>
  <c r="BU90" i="2"/>
  <c r="BS61" i="2"/>
  <c r="BN56" i="2"/>
  <c r="AH95" i="2"/>
  <c r="AH100" i="2"/>
  <c r="AH84" i="2"/>
  <c r="BM85" i="2"/>
  <c r="BM87" i="2"/>
  <c r="AH86" i="2"/>
  <c r="CN14" i="2"/>
  <c r="CB14" i="2"/>
  <c r="BR72" i="2"/>
  <c r="BV59" i="2"/>
  <c r="BN57" i="2"/>
  <c r="CL57" i="2"/>
  <c r="DS48" i="2"/>
  <c r="EE48" i="2"/>
  <c r="BR48" i="2"/>
  <c r="DX57" i="2"/>
  <c r="EJ57" i="2"/>
  <c r="BW57" i="2"/>
  <c r="DS66" i="2"/>
  <c r="BR66" i="2"/>
  <c r="CP66" i="2"/>
  <c r="DX67" i="2"/>
  <c r="EJ67" i="2"/>
  <c r="BW67" i="2"/>
  <c r="DO74" i="2"/>
  <c r="BN74" i="2"/>
  <c r="CM103" i="2"/>
  <c r="BU96" i="2"/>
  <c r="AH107" i="2"/>
  <c r="BZ35" i="2"/>
  <c r="CP73" i="2"/>
  <c r="CD73" i="2"/>
  <c r="CI66" i="2"/>
  <c r="DQ15" i="2"/>
  <c r="EC15" i="2"/>
  <c r="BP15" i="2"/>
  <c r="CN15" i="2"/>
  <c r="DX48" i="2"/>
  <c r="EJ48" i="2"/>
  <c r="BW48" i="2"/>
  <c r="DW58" i="2"/>
  <c r="EI58" i="2"/>
  <c r="BV58" i="2"/>
  <c r="DO58" i="2"/>
  <c r="BN58" i="2"/>
  <c r="DR67" i="2"/>
  <c r="BQ67" i="2"/>
  <c r="CO67" i="2"/>
  <c r="DO73" i="2"/>
  <c r="BN73" i="2"/>
  <c r="CC69" i="2"/>
  <c r="BM67" i="2"/>
  <c r="CC59" i="2"/>
  <c r="BV53" i="2"/>
  <c r="CH53" i="2"/>
  <c r="BT15" i="2"/>
  <c r="BV73" i="2"/>
  <c r="BT66" i="2"/>
  <c r="CR66" i="2"/>
  <c r="BN66" i="2"/>
  <c r="BQ57" i="2"/>
  <c r="BT54" i="2"/>
  <c r="CF54" i="2"/>
  <c r="BO53" i="2"/>
  <c r="BT72" i="2"/>
  <c r="BO67" i="2"/>
  <c r="CA67" i="2"/>
  <c r="BO57" i="2"/>
  <c r="CM57" i="2"/>
  <c r="BM53" i="2"/>
  <c r="CA22" i="2"/>
  <c r="CM22" i="2"/>
  <c r="CA55" i="2"/>
  <c r="CM55" i="2"/>
  <c r="CR21" i="2"/>
  <c r="CF21" i="2"/>
  <c r="CA18" i="2"/>
  <c r="CM18" i="2"/>
  <c r="CR47" i="2"/>
  <c r="CF47" i="2"/>
  <c r="CR51" i="2"/>
  <c r="CF51" i="2"/>
  <c r="BO31" i="2"/>
  <c r="CA31" i="2"/>
  <c r="AG31" i="2"/>
  <c r="AH31" i="2"/>
  <c r="CR27" i="2"/>
  <c r="CF27" i="2"/>
  <c r="CM86" i="2"/>
  <c r="CA86" i="2"/>
  <c r="CD88" i="2"/>
  <c r="CP88" i="2"/>
  <c r="CM74" i="2"/>
  <c r="CA74" i="2"/>
  <c r="DN115" i="2"/>
  <c r="DZ115" i="2"/>
  <c r="BM115" i="2"/>
  <c r="CG37" i="2"/>
  <c r="CH46" i="2"/>
  <c r="CM17" i="2"/>
  <c r="CT17" i="2"/>
  <c r="AH73" i="2"/>
  <c r="AH16" i="2"/>
  <c r="CG17" i="2"/>
  <c r="CI18" i="2"/>
  <c r="BO19" i="2"/>
  <c r="BW20" i="2"/>
  <c r="CR44" i="2"/>
  <c r="BN21" i="2"/>
  <c r="CO29" i="2"/>
  <c r="AG32" i="2"/>
  <c r="AH32" i="2"/>
  <c r="CF26" i="2"/>
  <c r="CR26" i="2"/>
  <c r="CR31" i="2"/>
  <c r="CF31" i="2"/>
  <c r="CT98" i="2"/>
  <c r="CE111" i="2"/>
  <c r="CU88" i="2"/>
  <c r="CP81" i="2"/>
  <c r="CS97" i="2"/>
  <c r="CB63" i="2"/>
  <c r="CN63" i="2"/>
  <c r="CC114" i="2"/>
  <c r="CO114" i="2"/>
  <c r="CS111" i="2"/>
  <c r="CG111" i="2"/>
  <c r="CO113" i="2"/>
  <c r="CC113" i="2"/>
  <c r="CO14" i="2"/>
  <c r="CC14" i="2"/>
  <c r="BY19" i="2"/>
  <c r="CR42" i="2"/>
  <c r="CO41" i="2"/>
  <c r="CI41" i="2"/>
  <c r="CG51" i="2"/>
  <c r="CH36" i="2"/>
  <c r="CP49" i="2"/>
  <c r="CB22" i="2"/>
  <c r="AG18" i="2"/>
  <c r="AH18" i="2"/>
  <c r="CT51" i="2"/>
  <c r="AG46" i="2"/>
  <c r="AH46" i="2"/>
  <c r="CE23" i="2"/>
  <c r="BQ23" i="2"/>
  <c r="AH39" i="2"/>
  <c r="AH50" i="2"/>
  <c r="CS30" i="2"/>
  <c r="CB31" i="2"/>
  <c r="CN31" i="2"/>
  <c r="CH33" i="2"/>
  <c r="BP32" i="2"/>
  <c r="CB32" i="2"/>
  <c r="CP27" i="2"/>
  <c r="CD27" i="2"/>
  <c r="CH63" i="2"/>
  <c r="CM110" i="2"/>
  <c r="CS56" i="2"/>
  <c r="CG56" i="2"/>
  <c r="CP77" i="2"/>
  <c r="CD77" i="2"/>
  <c r="CE103" i="2"/>
  <c r="CQ103" i="2"/>
  <c r="CH89" i="2"/>
  <c r="CT89" i="2"/>
  <c r="CC83" i="2"/>
  <c r="CO83" i="2"/>
  <c r="CB108" i="2"/>
  <c r="CN108" i="2"/>
  <c r="CR76" i="2"/>
  <c r="CF76" i="2"/>
  <c r="CF60" i="2"/>
  <c r="CR60" i="2"/>
  <c r="CG80" i="2"/>
  <c r="CI95" i="2"/>
  <c r="CU95" i="2"/>
  <c r="CH35" i="2"/>
  <c r="CT35" i="2"/>
  <c r="CU62" i="2"/>
  <c r="CI62" i="2"/>
  <c r="DT25" i="2"/>
  <c r="BS25" i="2"/>
  <c r="CQ25" i="2"/>
  <c r="DS115" i="2"/>
  <c r="EE115" i="2"/>
  <c r="BR115" i="2"/>
  <c r="CO22" i="2"/>
  <c r="CQ19" i="2"/>
  <c r="CA49" i="2"/>
  <c r="CQ44" i="2"/>
  <c r="CH40" i="2"/>
  <c r="CO44" i="2"/>
  <c r="CQ20" i="2"/>
  <c r="CC46" i="2"/>
  <c r="BU22" i="2"/>
  <c r="CB45" i="2"/>
  <c r="CG49" i="2"/>
  <c r="BO44" i="2"/>
  <c r="AH70" i="2"/>
  <c r="CR30" i="2"/>
  <c r="CK31" i="2"/>
  <c r="CO27" i="2"/>
  <c r="CF32" i="2"/>
  <c r="CS34" i="2"/>
  <c r="BZ31" i="2"/>
  <c r="CL31" i="2"/>
  <c r="CH26" i="2"/>
  <c r="BO25" i="2"/>
  <c r="BN25" i="2"/>
  <c r="CL25" i="2"/>
  <c r="CE27" i="2"/>
  <c r="BY60" i="2"/>
  <c r="CN105" i="2"/>
  <c r="AG55" i="2"/>
  <c r="AH55" i="2"/>
  <c r="BY103" i="2"/>
  <c r="CK103" i="2"/>
  <c r="CA75" i="2"/>
  <c r="CM75" i="2"/>
  <c r="CN94" i="2"/>
  <c r="CL85" i="2"/>
  <c r="CE96" i="2"/>
  <c r="CQ96" i="2"/>
  <c r="CI79" i="2"/>
  <c r="CA108" i="2"/>
  <c r="CM108" i="2"/>
  <c r="CM73" i="2"/>
  <c r="CA73" i="2"/>
  <c r="CD36" i="2"/>
  <c r="CM36" i="2"/>
  <c r="CF22" i="2"/>
  <c r="CE18" i="2"/>
  <c r="CG19" i="2"/>
  <c r="CP51" i="2"/>
  <c r="CO20" i="2"/>
  <c r="CC38" i="2"/>
  <c r="CR49" i="2"/>
  <c r="BN20" i="2"/>
  <c r="CL20" i="2"/>
  <c r="BP30" i="2"/>
  <c r="BY30" i="2"/>
  <c r="CO101" i="2"/>
  <c r="CP84" i="2"/>
  <c r="CO88" i="2"/>
  <c r="BZ84" i="2"/>
  <c r="CU85" i="2"/>
  <c r="CI85" i="2"/>
  <c r="CF110" i="2"/>
  <c r="CR110" i="2"/>
  <c r="CH84" i="2"/>
  <c r="CT84" i="2"/>
  <c r="CM90" i="2"/>
  <c r="CO55" i="2"/>
  <c r="CC55" i="2"/>
  <c r="BZ75" i="2"/>
  <c r="CL75" i="2"/>
  <c r="CH102" i="2"/>
  <c r="CT102" i="2"/>
  <c r="BZ108" i="2"/>
  <c r="CL108" i="2"/>
  <c r="CO112" i="2"/>
  <c r="CC112" i="2"/>
  <c r="CQ54" i="2"/>
  <c r="CE54" i="2"/>
  <c r="AH67" i="2"/>
  <c r="AH22" i="2"/>
  <c r="CF33" i="2"/>
  <c r="CS29" i="2"/>
  <c r="BZ30" i="2"/>
  <c r="CL30" i="2"/>
  <c r="CK25" i="2"/>
  <c r="BY25" i="2"/>
  <c r="CK26" i="2"/>
  <c r="BY26" i="2"/>
  <c r="CT30" i="2"/>
  <c r="CH30" i="2"/>
  <c r="BO28" i="2"/>
  <c r="CA28" i="2"/>
  <c r="AH25" i="2"/>
  <c r="CS61" i="2"/>
  <c r="CG61" i="2"/>
  <c r="CK92" i="2"/>
  <c r="BY92" i="2"/>
  <c r="CO85" i="2"/>
  <c r="CC85" i="2"/>
  <c r="CE81" i="2"/>
  <c r="CQ81" i="2"/>
  <c r="CD94" i="2"/>
  <c r="CP94" i="2"/>
  <c r="BY100" i="2"/>
  <c r="CK100" i="2"/>
  <c r="CQ70" i="2"/>
  <c r="CE70" i="2"/>
  <c r="CM70" i="2"/>
  <c r="CA70" i="2"/>
  <c r="AH45" i="2"/>
  <c r="CG85" i="2"/>
  <c r="CR61" i="2"/>
  <c r="CK84" i="2"/>
  <c r="CR104" i="2"/>
  <c r="CH97" i="2"/>
  <c r="CA81" i="2"/>
  <c r="CM100" i="2"/>
  <c r="CS63" i="2"/>
  <c r="CR102" i="2"/>
  <c r="AH115" i="2"/>
  <c r="BM62" i="2"/>
  <c r="CG48" i="2"/>
  <c r="CS48" i="2"/>
  <c r="BO48" i="2"/>
  <c r="AG48" i="2"/>
  <c r="AH48" i="2"/>
  <c r="CU71" i="2"/>
  <c r="CI71" i="2"/>
  <c r="CC53" i="2"/>
  <c r="DT108" i="2"/>
  <c r="EF108" i="2"/>
  <c r="BS108" i="2"/>
  <c r="AH23" i="2"/>
  <c r="AH20" i="2"/>
  <c r="CP103" i="2"/>
  <c r="CP108" i="2"/>
  <c r="CN84" i="2"/>
  <c r="CT105" i="2"/>
  <c r="CN93" i="2"/>
  <c r="CT92" i="2"/>
  <c r="CP113" i="2"/>
  <c r="BZ55" i="2"/>
  <c r="CQ79" i="2"/>
  <c r="CG95" i="2"/>
  <c r="CN78" i="2"/>
  <c r="CI105" i="2"/>
  <c r="CL101" i="2"/>
  <c r="CI96" i="2"/>
  <c r="CP93" i="2"/>
  <c r="CL86" i="2"/>
  <c r="AH57" i="2"/>
  <c r="CS43" i="2"/>
  <c r="CG43" i="2"/>
  <c r="CU70" i="2"/>
  <c r="CI70" i="2"/>
  <c r="CF57" i="2"/>
  <c r="CR57" i="2"/>
  <c r="CN52" i="2"/>
  <c r="CB52" i="2"/>
  <c r="DX14" i="2"/>
  <c r="BW14" i="2"/>
  <c r="DT87" i="2"/>
  <c r="EF87" i="2"/>
  <c r="BS87" i="2"/>
  <c r="DN90" i="2"/>
  <c r="BM90" i="2"/>
  <c r="CN92" i="2"/>
  <c r="CO75" i="2"/>
  <c r="CU83" i="2"/>
  <c r="CK96" i="2"/>
  <c r="BY108" i="2"/>
  <c r="CE80" i="2"/>
  <c r="CE43" i="2"/>
  <c r="CQ43" i="2"/>
  <c r="AG43" i="2"/>
  <c r="AH43" i="2"/>
  <c r="BO43" i="2"/>
  <c r="CM43" i="2"/>
  <c r="CN66" i="2"/>
  <c r="CB66" i="2"/>
  <c r="CQ59" i="2"/>
  <c r="CE59" i="2"/>
  <c r="CB15" i="2"/>
  <c r="DR35" i="2"/>
  <c r="ED35" i="2"/>
  <c r="BQ35" i="2"/>
  <c r="AH75" i="2"/>
  <c r="AH78" i="2"/>
  <c r="CC43" i="2"/>
  <c r="CO43" i="2"/>
  <c r="CN72" i="2"/>
  <c r="CB72" i="2"/>
  <c r="CS68" i="2"/>
  <c r="CG68" i="2"/>
  <c r="CS58" i="2"/>
  <c r="CG58" i="2"/>
  <c r="CF52" i="2"/>
  <c r="CR52" i="2"/>
  <c r="DO52" i="2"/>
  <c r="EA52" i="2"/>
  <c r="BN52" i="2"/>
  <c r="CL52" i="2"/>
  <c r="CN74" i="2"/>
  <c r="CB74" i="2"/>
  <c r="CQ71" i="2"/>
  <c r="CE71" i="2"/>
  <c r="CF66" i="2"/>
  <c r="CS53" i="2"/>
  <c r="CG53" i="2"/>
  <c r="DP14" i="2"/>
  <c r="EB14" i="2"/>
  <c r="BO14" i="2"/>
  <c r="DO16" i="2"/>
  <c r="EA16" i="2"/>
  <c r="BN16" i="2"/>
  <c r="BZ16" i="2"/>
  <c r="DN48" i="2"/>
  <c r="BM48" i="2"/>
  <c r="BY48" i="2"/>
  <c r="AH90" i="2"/>
  <c r="AH85" i="2"/>
  <c r="BU14" i="2"/>
  <c r="CS14" i="2"/>
  <c r="BM14" i="2"/>
  <c r="CK14" i="2"/>
  <c r="CG73" i="2"/>
  <c r="CG72" i="2"/>
  <c r="CR58" i="2"/>
  <c r="BT14" i="2"/>
  <c r="CR14" i="2"/>
  <c r="CR69" i="2"/>
  <c r="CG66" i="2"/>
  <c r="CG57" i="2"/>
  <c r="BM54" i="2"/>
  <c r="CK54" i="2"/>
  <c r="CG52" i="2"/>
  <c r="AH105" i="2"/>
  <c r="CQ14" i="2"/>
  <c r="CT74" i="2"/>
  <c r="CR71" i="2"/>
  <c r="CR70" i="2"/>
  <c r="CB69" i="2"/>
  <c r="CI68" i="2"/>
  <c r="CQ68" i="2"/>
  <c r="CR59" i="2"/>
  <c r="CQ58" i="2"/>
  <c r="CB54" i="2"/>
  <c r="CQ53" i="2"/>
  <c r="BR15" i="2"/>
  <c r="CP15" i="2"/>
  <c r="DS14" i="2"/>
  <c r="AH113" i="2"/>
  <c r="AH92" i="2"/>
  <c r="BT105" i="2"/>
  <c r="BV16" i="2"/>
  <c r="CT16" i="2"/>
  <c r="CC15" i="2"/>
  <c r="CM32" i="2"/>
  <c r="CA32" i="2"/>
  <c r="CD39" i="2"/>
  <c r="CP39" i="2"/>
  <c r="CO40" i="2"/>
  <c r="CC40" i="2"/>
  <c r="AH53" i="2"/>
  <c r="CO30" i="2"/>
  <c r="CC30" i="2"/>
  <c r="CF36" i="2"/>
  <c r="CI44" i="2"/>
  <c r="CA39" i="2"/>
  <c r="CH22" i="2"/>
  <c r="CE37" i="2"/>
  <c r="CQ37" i="2"/>
  <c r="CB50" i="2"/>
  <c r="CN50" i="2"/>
  <c r="CC49" i="2"/>
  <c r="CO49" i="2"/>
  <c r="CK39" i="2"/>
  <c r="BY39" i="2"/>
  <c r="CO45" i="2"/>
  <c r="CI36" i="2"/>
  <c r="CU36" i="2"/>
  <c r="CE39" i="2"/>
  <c r="CQ39" i="2"/>
  <c r="CR20" i="2"/>
  <c r="CF20" i="2"/>
  <c r="CO18" i="2"/>
  <c r="CC18" i="2"/>
  <c r="CI24" i="2"/>
  <c r="CU24" i="2"/>
  <c r="CQ29" i="2"/>
  <c r="CS27" i="2"/>
  <c r="BZ33" i="2"/>
  <c r="CL33" i="2"/>
  <c r="CS33" i="2"/>
  <c r="CG33" i="2"/>
  <c r="BO30" i="2"/>
  <c r="CP31" i="2"/>
  <c r="CD31" i="2"/>
  <c r="CO32" i="2"/>
  <c r="CC32" i="2"/>
  <c r="CN33" i="2"/>
  <c r="CB33" i="2"/>
  <c r="AG29" i="2"/>
  <c r="AH29" i="2"/>
  <c r="BO29" i="2"/>
  <c r="AG26" i="2"/>
  <c r="AH26" i="2"/>
  <c r="BO26" i="2"/>
  <c r="CF16" i="2"/>
  <c r="BZ39" i="2"/>
  <c r="CL39" i="2"/>
  <c r="CU42" i="2"/>
  <c r="CI42" i="2"/>
  <c r="CM23" i="2"/>
  <c r="CA23" i="2"/>
  <c r="CK23" i="2"/>
  <c r="BY23" i="2"/>
  <c r="BO38" i="2"/>
  <c r="AG38" i="2"/>
  <c r="AH38" i="2"/>
  <c r="CG28" i="2"/>
  <c r="CS28" i="2"/>
  <c r="CE25" i="2"/>
  <c r="CI17" i="2"/>
  <c r="CG47" i="2"/>
  <c r="CI23" i="2"/>
  <c r="CN19" i="2"/>
  <c r="CK18" i="2"/>
  <c r="BY18" i="2"/>
  <c r="CD44" i="2"/>
  <c r="CP44" i="2"/>
  <c r="CL47" i="2"/>
  <c r="BZ47" i="2"/>
  <c r="AH72" i="2"/>
  <c r="CF37" i="2"/>
  <c r="CR37" i="2"/>
  <c r="AG47" i="2"/>
  <c r="AH47" i="2"/>
  <c r="BO47" i="2"/>
  <c r="CO31" i="2"/>
  <c r="CI33" i="2"/>
  <c r="CU33" i="2"/>
  <c r="CH25" i="2"/>
  <c r="CT25" i="2"/>
  <c r="CM31" i="2"/>
  <c r="CE33" i="2"/>
  <c r="CQ33" i="2"/>
  <c r="CM115" i="2"/>
  <c r="CA115" i="2"/>
  <c r="CA113" i="2"/>
  <c r="CM113" i="2"/>
  <c r="CM50" i="2"/>
  <c r="CA50" i="2"/>
  <c r="CE42" i="2"/>
  <c r="CQ42" i="2"/>
  <c r="CN17" i="2"/>
  <c r="CB17" i="2"/>
  <c r="CB51" i="2"/>
  <c r="CN51" i="2"/>
  <c r="CP23" i="2"/>
  <c r="CD23" i="2"/>
  <c r="CF45" i="2"/>
  <c r="CS23" i="2"/>
  <c r="CG23" i="2"/>
  <c r="CP38" i="2"/>
  <c r="CD38" i="2"/>
  <c r="CQ26" i="2"/>
  <c r="CE26" i="2"/>
  <c r="BZ32" i="2"/>
  <c r="CA34" i="2"/>
  <c r="CM34" i="2"/>
  <c r="CO28" i="2"/>
  <c r="CC28" i="2"/>
  <c r="CC34" i="2"/>
  <c r="CO34" i="2"/>
  <c r="CG26" i="2"/>
  <c r="CS26" i="2"/>
  <c r="AG33" i="2"/>
  <c r="AH33" i="2"/>
  <c r="BO33" i="2"/>
  <c r="CE24" i="2"/>
  <c r="BZ42" i="2"/>
  <c r="CA46" i="2"/>
  <c r="CH20" i="2"/>
  <c r="CA51" i="2"/>
  <c r="CM51" i="2"/>
  <c r="CS21" i="2"/>
  <c r="CG21" i="2"/>
  <c r="CT39" i="2"/>
  <c r="CH39" i="2"/>
  <c r="CP37" i="2"/>
  <c r="CD37" i="2"/>
  <c r="CI38" i="2"/>
  <c r="CU38" i="2"/>
  <c r="BO40" i="2"/>
  <c r="AG40" i="2"/>
  <c r="AH40" i="2"/>
  <c r="AH41" i="2"/>
  <c r="CP45" i="2"/>
  <c r="CD45" i="2"/>
  <c r="BY34" i="2"/>
  <c r="CD29" i="2"/>
  <c r="CP29" i="2"/>
  <c r="CP26" i="2"/>
  <c r="CD26" i="2"/>
  <c r="CM56" i="2"/>
  <c r="CA56" i="2"/>
  <c r="CF105" i="2"/>
  <c r="CR105" i="2"/>
  <c r="CI35" i="2"/>
  <c r="CU35" i="2"/>
  <c r="CF43" i="2"/>
  <c r="CR43" i="2"/>
  <c r="CL66" i="2"/>
  <c r="BZ66" i="2"/>
  <c r="CG24" i="2"/>
  <c r="CS24" i="2"/>
  <c r="CM41" i="2"/>
  <c r="CA41" i="2"/>
  <c r="CR39" i="2"/>
  <c r="CF39" i="2"/>
  <c r="CR24" i="2"/>
  <c r="CF24" i="2"/>
  <c r="CM20" i="2"/>
  <c r="CA20" i="2"/>
  <c r="CK38" i="2"/>
  <c r="BY38" i="2"/>
  <c r="CO17" i="2"/>
  <c r="CC17" i="2"/>
  <c r="CG32" i="2"/>
  <c r="CI34" i="2"/>
  <c r="CM28" i="2"/>
  <c r="CL28" i="2"/>
  <c r="BZ28" i="2"/>
  <c r="CF34" i="2"/>
  <c r="CR34" i="2"/>
  <c r="AG27" i="2"/>
  <c r="AH27" i="2"/>
  <c r="BO27" i="2"/>
  <c r="AG24" i="2"/>
  <c r="AH24" i="2"/>
  <c r="BO24" i="2"/>
  <c r="BO21" i="2"/>
  <c r="AG21" i="2"/>
  <c r="AH21" i="2"/>
  <c r="CD105" i="2"/>
  <c r="CP105" i="2"/>
  <c r="BZ63" i="2"/>
  <c r="CL63" i="2"/>
  <c r="CE76" i="2"/>
  <c r="CQ76" i="2"/>
  <c r="CM98" i="2"/>
  <c r="CA98" i="2"/>
  <c r="CO115" i="2"/>
  <c r="CF95" i="2"/>
  <c r="CR95" i="2"/>
  <c r="BY81" i="2"/>
  <c r="CK81" i="2"/>
  <c r="CP14" i="2"/>
  <c r="CD14" i="2"/>
  <c r="CT71" i="2"/>
  <c r="CH71" i="2"/>
  <c r="CT15" i="2"/>
  <c r="CH15" i="2"/>
  <c r="CM15" i="2"/>
  <c r="CA15" i="2"/>
  <c r="EG19" i="2"/>
  <c r="EA19" i="2"/>
  <c r="CB85" i="2"/>
  <c r="CN85" i="2"/>
  <c r="CL115" i="2"/>
  <c r="BZ115" i="2"/>
  <c r="CK91" i="2"/>
  <c r="BY91" i="2"/>
  <c r="BO62" i="2"/>
  <c r="AG62" i="2"/>
  <c r="AH62" i="2"/>
  <c r="CE63" i="2"/>
  <c r="CQ63" i="2"/>
  <c r="CI76" i="2"/>
  <c r="CU76" i="2"/>
  <c r="CP95" i="2"/>
  <c r="CD95" i="2"/>
  <c r="CO105" i="2"/>
  <c r="CC105" i="2"/>
  <c r="CQ93" i="2"/>
  <c r="CE93" i="2"/>
  <c r="CQ94" i="2"/>
  <c r="CE94" i="2"/>
  <c r="BO77" i="2"/>
  <c r="AG77" i="2"/>
  <c r="AH77" i="2"/>
  <c r="AG80" i="2"/>
  <c r="AH80" i="2"/>
  <c r="BO80" i="2"/>
  <c r="CR103" i="2"/>
  <c r="CF103" i="2"/>
  <c r="CF106" i="2"/>
  <c r="CR106" i="2"/>
  <c r="CK35" i="2"/>
  <c r="BY35" i="2"/>
  <c r="CL74" i="2"/>
  <c r="BZ74" i="2"/>
  <c r="CK72" i="2"/>
  <c r="BY72" i="2"/>
  <c r="CT68" i="2"/>
  <c r="CH68" i="2"/>
  <c r="BZ52" i="2"/>
  <c r="DZ25" i="2"/>
  <c r="CO80" i="2"/>
  <c r="CN95" i="2"/>
  <c r="CR55" i="2"/>
  <c r="CF55" i="2"/>
  <c r="CP101" i="2"/>
  <c r="CD101" i="2"/>
  <c r="CK69" i="2"/>
  <c r="BY69" i="2"/>
  <c r="DT16" i="2"/>
  <c r="BS16" i="2"/>
  <c r="DN16" i="2"/>
  <c r="BM16" i="2"/>
  <c r="EE19" i="2"/>
  <c r="EG32" i="2"/>
  <c r="EG35" i="2"/>
  <c r="BY88" i="2"/>
  <c r="CI90" i="2"/>
  <c r="CU90" i="2"/>
  <c r="CF87" i="2"/>
  <c r="CR87" i="2"/>
  <c r="AH61" i="2"/>
  <c r="AG63" i="2"/>
  <c r="AH63" i="2"/>
  <c r="BO63" i="2"/>
  <c r="CN76" i="2"/>
  <c r="CB76" i="2"/>
  <c r="BY97" i="2"/>
  <c r="CK97" i="2"/>
  <c r="CW97" i="2"/>
  <c r="CY97" i="2"/>
  <c r="CI109" i="2"/>
  <c r="CU109" i="2"/>
  <c r="CU82" i="2"/>
  <c r="CI82" i="2"/>
  <c r="CR88" i="2"/>
  <c r="CF88" i="2"/>
  <c r="CR93" i="2"/>
  <c r="CF93" i="2"/>
  <c r="CM48" i="2"/>
  <c r="CA48" i="2"/>
  <c r="CK43" i="2"/>
  <c r="BY43" i="2"/>
  <c r="CH48" i="2"/>
  <c r="CT48" i="2"/>
  <c r="DZ14" i="2"/>
  <c r="EE14" i="2"/>
  <c r="EH15" i="2"/>
  <c r="DZ15" i="2"/>
  <c r="EL15" i="2"/>
  <c r="EN15" i="2"/>
  <c r="ER15" i="2"/>
  <c r="CB102" i="2"/>
  <c r="BY111" i="2"/>
  <c r="CD107" i="2"/>
  <c r="CP107" i="2"/>
  <c r="BW16" i="2"/>
  <c r="DX16" i="2"/>
  <c r="BQ16" i="2"/>
  <c r="DR16" i="2"/>
  <c r="EA30" i="2"/>
  <c r="EL30" i="2"/>
  <c r="EN30" i="2"/>
  <c r="EQ30" i="2"/>
  <c r="CN112" i="2"/>
  <c r="CF86" i="2"/>
  <c r="BZ104" i="2"/>
  <c r="CL104" i="2"/>
  <c r="CM60" i="2"/>
  <c r="CA60" i="2"/>
  <c r="CF83" i="2"/>
  <c r="CR83" i="2"/>
  <c r="CD106" i="2"/>
  <c r="CP106" i="2"/>
  <c r="CQ105" i="2"/>
  <c r="CE105" i="2"/>
  <c r="CS109" i="2"/>
  <c r="CG109" i="2"/>
  <c r="CE83" i="2"/>
  <c r="CQ83" i="2"/>
  <c r="CC86" i="2"/>
  <c r="CO86" i="2"/>
  <c r="CD87" i="2"/>
  <c r="CP87" i="2"/>
  <c r="AG96" i="2"/>
  <c r="AH96" i="2"/>
  <c r="BO96" i="2"/>
  <c r="CP43" i="2"/>
  <c r="CL71" i="2"/>
  <c r="BZ71" i="2"/>
  <c r="CL68" i="2"/>
  <c r="BZ68" i="2"/>
  <c r="CM54" i="2"/>
  <c r="CA54" i="2"/>
  <c r="CP53" i="2"/>
  <c r="CD53" i="2"/>
  <c r="CL53" i="2"/>
  <c r="BZ53" i="2"/>
  <c r="CP16" i="2"/>
  <c r="CD16" i="2"/>
  <c r="EJ18" i="2"/>
  <c r="EC26" i="2"/>
  <c r="CR62" i="2"/>
  <c r="CF62" i="2"/>
  <c r="CL98" i="2"/>
  <c r="BZ98" i="2"/>
  <c r="CR77" i="2"/>
  <c r="CF77" i="2"/>
  <c r="CK61" i="2"/>
  <c r="BY61" i="2"/>
  <c r="CD78" i="2"/>
  <c r="CP78" i="2"/>
  <c r="AH103" i="2"/>
  <c r="BY105" i="2"/>
  <c r="CK105" i="2"/>
  <c r="CH81" i="2"/>
  <c r="CT81" i="2"/>
  <c r="CD90" i="2"/>
  <c r="CP90" i="2"/>
  <c r="AG89" i="2"/>
  <c r="AH89" i="2"/>
  <c r="BO89" i="2"/>
  <c r="AG111" i="2"/>
  <c r="AH111" i="2"/>
  <c r="BO111" i="2"/>
  <c r="CR113" i="2"/>
  <c r="CF113" i="2"/>
  <c r="CK74" i="2"/>
  <c r="BY74" i="2"/>
  <c r="CA72" i="2"/>
  <c r="CM72" i="2"/>
  <c r="CA69" i="2"/>
  <c r="CM69" i="2"/>
  <c r="CL67" i="2"/>
  <c r="BZ67" i="2"/>
  <c r="CM58" i="2"/>
  <c r="CA58" i="2"/>
  <c r="CF15" i="2"/>
  <c r="CR15" i="2"/>
  <c r="EJ20" i="2"/>
  <c r="EG20" i="2"/>
  <c r="ED20" i="2"/>
  <c r="EA20" i="2"/>
  <c r="EG21" i="2"/>
  <c r="EJ26" i="2"/>
  <c r="DZ34" i="2"/>
  <c r="CT110" i="2"/>
  <c r="CH110" i="2"/>
  <c r="CF100" i="2"/>
  <c r="CR100" i="2"/>
  <c r="CE75" i="2"/>
  <c r="CQ75" i="2"/>
  <c r="CH87" i="2"/>
  <c r="CT87" i="2"/>
  <c r="CB60" i="2"/>
  <c r="CN60" i="2"/>
  <c r="CP56" i="2"/>
  <c r="CD56" i="2"/>
  <c r="CB77" i="2"/>
  <c r="CN77" i="2"/>
  <c r="CG78" i="2"/>
  <c r="CS78" i="2"/>
  <c r="BY80" i="2"/>
  <c r="CG100" i="2"/>
  <c r="CS100" i="2"/>
  <c r="CQ90" i="2"/>
  <c r="CE90" i="2"/>
  <c r="AG76" i="2"/>
  <c r="AH76" i="2"/>
  <c r="BO76" i="2"/>
  <c r="BO79" i="2"/>
  <c r="AG79" i="2"/>
  <c r="AH79" i="2"/>
  <c r="CR74" i="2"/>
  <c r="CF74" i="2"/>
  <c r="CL73" i="2"/>
  <c r="BZ73" i="2"/>
  <c r="CT72" i="2"/>
  <c r="CH72" i="2"/>
  <c r="CL70" i="2"/>
  <c r="BZ70" i="2"/>
  <c r="CT69" i="2"/>
  <c r="CH69" i="2"/>
  <c r="CK67" i="2"/>
  <c r="BY67" i="2"/>
  <c r="CP57" i="2"/>
  <c r="CD57" i="2"/>
  <c r="BZ57" i="2"/>
  <c r="EA14" i="2"/>
  <c r="EI14" i="2"/>
  <c r="EF14" i="2"/>
  <c r="EC14" i="2"/>
  <c r="EF18" i="2"/>
  <c r="EL18" i="2"/>
  <c r="EN18" i="2"/>
  <c r="EH25" i="2"/>
  <c r="EC25" i="2"/>
  <c r="EB58" i="2"/>
  <c r="CM83" i="2"/>
  <c r="CL89" i="2"/>
  <c r="BZ89" i="2"/>
  <c r="CO102" i="2"/>
  <c r="CC102" i="2"/>
  <c r="CS75" i="2"/>
  <c r="CG75" i="2"/>
  <c r="CP104" i="2"/>
  <c r="CD104" i="2"/>
  <c r="CL99" i="2"/>
  <c r="BZ99" i="2"/>
  <c r="CF94" i="2"/>
  <c r="CR94" i="2"/>
  <c r="BY113" i="2"/>
  <c r="CK113" i="2"/>
  <c r="BZ94" i="2"/>
  <c r="CL94" i="2"/>
  <c r="AG82" i="2"/>
  <c r="AH82" i="2"/>
  <c r="BO82" i="2"/>
  <c r="BO109" i="2"/>
  <c r="AG109" i="2"/>
  <c r="AH109" i="2"/>
  <c r="BZ48" i="2"/>
  <c r="CS35" i="2"/>
  <c r="CC35" i="2"/>
  <c r="CO35" i="2"/>
  <c r="CK73" i="2"/>
  <c r="BY73" i="2"/>
  <c r="CM71" i="2"/>
  <c r="CA71" i="2"/>
  <c r="CK70" i="2"/>
  <c r="BY70" i="2"/>
  <c r="CM68" i="2"/>
  <c r="CA68" i="2"/>
  <c r="CM59" i="2"/>
  <c r="CA59" i="2"/>
  <c r="CP58" i="2"/>
  <c r="CD58" i="2"/>
  <c r="CL58" i="2"/>
  <c r="BZ58" i="2"/>
  <c r="CM53" i="2"/>
  <c r="CA53" i="2"/>
  <c r="EI20" i="2"/>
  <c r="EF20" i="2"/>
  <c r="EC20" i="2"/>
  <c r="DZ20" i="2"/>
  <c r="EH34" i="2"/>
  <c r="EC34" i="2"/>
  <c r="ED42" i="2"/>
  <c r="EL42" i="2"/>
  <c r="EN42" i="2"/>
  <c r="EF56" i="2"/>
  <c r="EE62" i="2"/>
  <c r="EJ77" i="2"/>
  <c r="EG77" i="2"/>
  <c r="ED77" i="2"/>
  <c r="EA77" i="2"/>
  <c r="EF78" i="2"/>
  <c r="EL78" i="2"/>
  <c r="EN78" i="2"/>
  <c r="CC61" i="2"/>
  <c r="CA43" i="2"/>
  <c r="BT35" i="2"/>
  <c r="BZ14" i="2"/>
  <c r="CA66" i="2"/>
  <c r="BY66" i="2"/>
  <c r="CK66" i="2"/>
  <c r="CD59" i="2"/>
  <c r="CT58" i="2"/>
  <c r="CH58" i="2"/>
  <c r="CA57" i="2"/>
  <c r="BY57" i="2"/>
  <c r="CK57" i="2"/>
  <c r="CD54" i="2"/>
  <c r="CT53" i="2"/>
  <c r="CA52" i="2"/>
  <c r="BY52" i="2"/>
  <c r="CA16" i="2"/>
  <c r="EE16" i="2"/>
  <c r="EI17" i="2"/>
  <c r="EF17" i="2"/>
  <c r="EC17" i="2"/>
  <c r="DZ17" i="2"/>
  <c r="EF19" i="2"/>
  <c r="DZ19" i="2"/>
  <c r="EF22" i="2"/>
  <c r="DZ22" i="2"/>
  <c r="EA23" i="2"/>
  <c r="ED25" i="2"/>
  <c r="EJ31" i="2"/>
  <c r="ED31" i="2"/>
  <c r="EB32" i="2"/>
  <c r="ED34" i="2"/>
  <c r="EC45" i="2"/>
  <c r="EF49" i="2"/>
  <c r="BS56" i="2"/>
  <c r="CF14" i="2"/>
  <c r="CD74" i="2"/>
  <c r="BY71" i="2"/>
  <c r="BY68" i="2"/>
  <c r="CT59" i="2"/>
  <c r="CH59" i="2"/>
  <c r="BY58" i="2"/>
  <c r="CK58" i="2"/>
  <c r="CT54" i="2"/>
  <c r="BY53" i="2"/>
  <c r="CK53" i="2"/>
  <c r="EI16" i="2"/>
  <c r="DQ16" i="2"/>
  <c r="BP16" i="2"/>
  <c r="EA21" i="2"/>
  <c r="EJ22" i="2"/>
  <c r="ED22" i="2"/>
  <c r="EH23" i="2"/>
  <c r="EG25" i="2"/>
  <c r="EH31" i="2"/>
  <c r="EB31" i="2"/>
  <c r="EG34" i="2"/>
  <c r="DZ35" i="2"/>
  <c r="EC36" i="2"/>
  <c r="EG47" i="2"/>
  <c r="EC47" i="2"/>
  <c r="EF51" i="2"/>
  <c r="EE67" i="2"/>
  <c r="CC74" i="2"/>
  <c r="CT73" i="2"/>
  <c r="CH73" i="2"/>
  <c r="CL72" i="2"/>
  <c r="BZ72" i="2"/>
  <c r="CH70" i="2"/>
  <c r="CL69" i="2"/>
  <c r="BZ69" i="2"/>
  <c r="CT67" i="2"/>
  <c r="CH67" i="2"/>
  <c r="CL59" i="2"/>
  <c r="BZ59" i="2"/>
  <c r="CL54" i="2"/>
  <c r="BZ54" i="2"/>
  <c r="CL15" i="2"/>
  <c r="BZ15" i="2"/>
  <c r="EJ14" i="2"/>
  <c r="EG14" i="2"/>
  <c r="DV16" i="2"/>
  <c r="BU16" i="2"/>
  <c r="EB16" i="2"/>
  <c r="EI19" i="2"/>
  <c r="EC19" i="2"/>
  <c r="EI24" i="2"/>
  <c r="EL24" i="2"/>
  <c r="EN24" i="2"/>
  <c r="EL27" i="2"/>
  <c r="EN27" i="2"/>
  <c r="EQ27" i="2"/>
  <c r="EH28" i="2"/>
  <c r="ED28" i="2"/>
  <c r="DZ28" i="2"/>
  <c r="EB41" i="2"/>
  <c r="EC44" i="2"/>
  <c r="EE54" i="2"/>
  <c r="EI57" i="2"/>
  <c r="EE57" i="2"/>
  <c r="EA57" i="2"/>
  <c r="EI66" i="2"/>
  <c r="BY59" i="2"/>
  <c r="CK59" i="2"/>
  <c r="CT57" i="2"/>
  <c r="CH57" i="2"/>
  <c r="BY54" i="2"/>
  <c r="CT52" i="2"/>
  <c r="CH52" i="2"/>
  <c r="BY15" i="2"/>
  <c r="CK15" i="2"/>
  <c r="EJ17" i="2"/>
  <c r="EG17" i="2"/>
  <c r="ED17" i="2"/>
  <c r="EA17" i="2"/>
  <c r="EH19" i="2"/>
  <c r="EB19" i="2"/>
  <c r="EH22" i="2"/>
  <c r="EB22" i="2"/>
  <c r="EG23" i="2"/>
  <c r="EB23" i="2"/>
  <c r="EF29" i="2"/>
  <c r="EF31" i="2"/>
  <c r="DZ31" i="2"/>
  <c r="EI33" i="2"/>
  <c r="EJ36" i="2"/>
  <c r="EB50" i="2"/>
  <c r="EG63" i="2"/>
  <c r="BS15" i="2"/>
  <c r="EC22" i="2"/>
  <c r="EJ23" i="2"/>
  <c r="EF25" i="2"/>
  <c r="EI31" i="2"/>
  <c r="EE31" i="2"/>
  <c r="ED32" i="2"/>
  <c r="EF34" i="2"/>
  <c r="EC40" i="2"/>
  <c r="EG44" i="2"/>
  <c r="EJ50" i="2"/>
  <c r="EA50" i="2"/>
  <c r="EJ51" i="2"/>
  <c r="EE51" i="2"/>
  <c r="DZ51" i="2"/>
  <c r="EG52" i="2"/>
  <c r="EI54" i="2"/>
  <c r="EG69" i="2"/>
  <c r="EC69" i="2"/>
  <c r="EH70" i="2"/>
  <c r="EJ76" i="2"/>
  <c r="EJ103" i="2"/>
  <c r="BU15" i="2"/>
  <c r="EC28" i="2"/>
  <c r="EJ29" i="2"/>
  <c r="EE29" i="2"/>
  <c r="EU30" i="2"/>
  <c r="EC33" i="2"/>
  <c r="EJ38" i="2"/>
  <c r="EG38" i="2"/>
  <c r="ED39" i="2"/>
  <c r="EE45" i="2"/>
  <c r="EE50" i="2"/>
  <c r="EI51" i="2"/>
  <c r="ED52" i="2"/>
  <c r="DZ56" i="2"/>
  <c r="EB60" i="2"/>
  <c r="EI61" i="2"/>
  <c r="EC61" i="2"/>
  <c r="EG66" i="2"/>
  <c r="EI25" i="2"/>
  <c r="EE25" i="2"/>
  <c r="ED26" i="2"/>
  <c r="EX27" i="2"/>
  <c r="EF28" i="2"/>
  <c r="EW30" i="2"/>
  <c r="EI34" i="2"/>
  <c r="EE34" i="2"/>
  <c r="ED36" i="2"/>
  <c r="EE37" i="2"/>
  <c r="EL37" i="2"/>
  <c r="EN37" i="2"/>
  <c r="EU37" i="2"/>
  <c r="ED38" i="2"/>
  <c r="EJ40" i="2"/>
  <c r="EF40" i="2"/>
  <c r="EB40" i="2"/>
  <c r="EH41" i="2"/>
  <c r="EA44" i="2"/>
  <c r="EL46" i="2"/>
  <c r="EN46" i="2"/>
  <c r="EP46" i="2"/>
  <c r="EI47" i="2"/>
  <c r="EB49" i="2"/>
  <c r="ED50" i="2"/>
  <c r="EH51" i="2"/>
  <c r="EC54" i="2"/>
  <c r="EJ55" i="2"/>
  <c r="EE55" i="2"/>
  <c r="EG57" i="2"/>
  <c r="EC57" i="2"/>
  <c r="EI59" i="2"/>
  <c r="EA62" i="2"/>
  <c r="EI63" i="2"/>
  <c r="DZ63" i="2"/>
  <c r="EF68" i="2"/>
  <c r="BW15" i="2"/>
  <c r="EI22" i="2"/>
  <c r="EE22" i="2"/>
  <c r="ED23" i="2"/>
  <c r="EC31" i="2"/>
  <c r="EJ32" i="2"/>
  <c r="EI40" i="2"/>
  <c r="EA40" i="2"/>
  <c r="DZ41" i="2"/>
  <c r="EE44" i="2"/>
  <c r="ED45" i="2"/>
  <c r="DZ48" i="2"/>
  <c r="EH50" i="2"/>
  <c r="EG54" i="2"/>
  <c r="EI69" i="2"/>
  <c r="EE69" i="2"/>
  <c r="ED72" i="2"/>
  <c r="EL72" i="2"/>
  <c r="EN72" i="2"/>
  <c r="EZ72" i="2"/>
  <c r="EI28" i="2"/>
  <c r="EE28" i="2"/>
  <c r="ED29" i="2"/>
  <c r="DZ38" i="2"/>
  <c r="EL39" i="2"/>
  <c r="EN39" i="2"/>
  <c r="ET39" i="2"/>
  <c r="EG41" i="2"/>
  <c r="DZ43" i="2"/>
  <c r="EL43" i="2"/>
  <c r="EN43" i="2"/>
  <c r="EP43" i="2"/>
  <c r="EI44" i="2"/>
  <c r="EH47" i="2"/>
  <c r="ED47" i="2"/>
  <c r="DZ47" i="2"/>
  <c r="EA49" i="2"/>
  <c r="EB51" i="2"/>
  <c r="DZ52" i="2"/>
  <c r="EA54" i="2"/>
  <c r="ED55" i="2"/>
  <c r="EF61" i="2"/>
  <c r="DZ61" i="2"/>
  <c r="DZ62" i="2"/>
  <c r="EJ81" i="2"/>
  <c r="EF44" i="2"/>
  <c r="EB44" i="2"/>
  <c r="EG45" i="2"/>
  <c r="EC51" i="2"/>
  <c r="EL53" i="2"/>
  <c r="EN53" i="2"/>
  <c r="ET53" i="2"/>
  <c r="EH54" i="2"/>
  <c r="DZ54" i="2"/>
  <c r="EA55" i="2"/>
  <c r="EH61" i="2"/>
  <c r="EB61" i="2"/>
  <c r="EJ62" i="2"/>
  <c r="ED63" i="2"/>
  <c r="EC66" i="2"/>
  <c r="EC67" i="2"/>
  <c r="EB70" i="2"/>
  <c r="EG74" i="2"/>
  <c r="ED74" i="2"/>
  <c r="EA74" i="2"/>
  <c r="EF92" i="2"/>
  <c r="DZ92" i="2"/>
  <c r="EH40" i="2"/>
  <c r="DZ40" i="2"/>
  <c r="EA41" i="2"/>
  <c r="EF47" i="2"/>
  <c r="EB47" i="2"/>
  <c r="EG49" i="2"/>
  <c r="EH57" i="2"/>
  <c r="DZ57" i="2"/>
  <c r="EA58" i="2"/>
  <c r="DZ59" i="2"/>
  <c r="EG62" i="2"/>
  <c r="EH69" i="2"/>
  <c r="ED69" i="2"/>
  <c r="DZ69" i="2"/>
  <c r="EJ80" i="2"/>
  <c r="EG80" i="2"/>
  <c r="ED80" i="2"/>
  <c r="EA80" i="2"/>
  <c r="EA70" i="2"/>
  <c r="EE84" i="2"/>
  <c r="EA114" i="2"/>
  <c r="EH44" i="2"/>
  <c r="DZ44" i="2"/>
  <c r="EA45" i="2"/>
  <c r="EX53" i="2"/>
  <c r="EU53" i="2"/>
  <c r="EF54" i="2"/>
  <c r="EB54" i="2"/>
  <c r="EG55" i="2"/>
  <c r="EG59" i="2"/>
  <c r="EE61" i="2"/>
  <c r="EF62" i="2"/>
  <c r="EF63" i="2"/>
  <c r="EA66" i="2"/>
  <c r="EF70" i="2"/>
  <c r="EG83" i="2"/>
  <c r="EC83" i="2"/>
  <c r="EE91" i="2"/>
  <c r="EI92" i="2"/>
  <c r="EC92" i="2"/>
  <c r="EF57" i="2"/>
  <c r="EB57" i="2"/>
  <c r="EG58" i="2"/>
  <c r="EL60" i="2"/>
  <c r="EN60" i="2"/>
  <c r="EU60" i="2"/>
  <c r="ED61" i="2"/>
  <c r="EJ63" i="2"/>
  <c r="EE66" i="2"/>
  <c r="ED67" i="2"/>
  <c r="EI71" i="2"/>
  <c r="EF71" i="2"/>
  <c r="EC71" i="2"/>
  <c r="DZ71" i="2"/>
  <c r="EG73" i="2"/>
  <c r="EA73" i="2"/>
  <c r="EE85" i="2"/>
  <c r="EL85" i="2"/>
  <c r="EN85" i="2"/>
  <c r="EW85" i="2"/>
  <c r="EI86" i="2"/>
  <c r="EE86" i="2"/>
  <c r="EA86" i="2"/>
  <c r="EG90" i="2"/>
  <c r="EC90" i="2"/>
  <c r="EF66" i="2"/>
  <c r="EB66" i="2"/>
  <c r="EG67" i="2"/>
  <c r="EJ71" i="2"/>
  <c r="ED71" i="2"/>
  <c r="EA71" i="2"/>
  <c r="EF73" i="2"/>
  <c r="DZ73" i="2"/>
  <c r="EH74" i="2"/>
  <c r="EE74" i="2"/>
  <c r="EH76" i="2"/>
  <c r="EB76" i="2"/>
  <c r="EF84" i="2"/>
  <c r="EF91" i="2"/>
  <c r="EG97" i="2"/>
  <c r="EA59" i="2"/>
  <c r="EF69" i="2"/>
  <c r="EB69" i="2"/>
  <c r="EG70" i="2"/>
  <c r="EA76" i="2"/>
  <c r="EJ79" i="2"/>
  <c r="DZ81" i="2"/>
  <c r="EH66" i="2"/>
  <c r="DZ66" i="2"/>
  <c r="EA67" i="2"/>
  <c r="EI73" i="2"/>
  <c r="EC73" i="2"/>
  <c r="EE75" i="2"/>
  <c r="EL75" i="2"/>
  <c r="EN75" i="2"/>
  <c r="EH79" i="2"/>
  <c r="EB79" i="2"/>
  <c r="EI81" i="2"/>
  <c r="EE82" i="2"/>
  <c r="EL82" i="2"/>
  <c r="EN82" i="2"/>
  <c r="EU82" i="2"/>
  <c r="EF88" i="2"/>
  <c r="EE89" i="2"/>
  <c r="EL89" i="2"/>
  <c r="EN89" i="2"/>
  <c r="EY89" i="2"/>
  <c r="EG101" i="2"/>
  <c r="EC101" i="2"/>
  <c r="EC106" i="2"/>
  <c r="EA79" i="2"/>
  <c r="EE73" i="2"/>
  <c r="EI74" i="2"/>
  <c r="EF74" i="2"/>
  <c r="EC74" i="2"/>
  <c r="DZ74" i="2"/>
  <c r="EF76" i="2"/>
  <c r="DZ76" i="2"/>
  <c r="EF79" i="2"/>
  <c r="DZ79" i="2"/>
  <c r="EE81" i="2"/>
  <c r="EE88" i="2"/>
  <c r="EG93" i="2"/>
  <c r="EE96" i="2"/>
  <c r="EE109" i="2"/>
  <c r="EE76" i="2"/>
  <c r="EI77" i="2"/>
  <c r="EF77" i="2"/>
  <c r="EC77" i="2"/>
  <c r="DZ77" i="2"/>
  <c r="EE79" i="2"/>
  <c r="EI80" i="2"/>
  <c r="EF80" i="2"/>
  <c r="EC80" i="2"/>
  <c r="DZ80" i="2"/>
  <c r="EI83" i="2"/>
  <c r="EE83" i="2"/>
  <c r="EA83" i="2"/>
  <c r="EG86" i="2"/>
  <c r="EC86" i="2"/>
  <c r="EI90" i="2"/>
  <c r="EE90" i="2"/>
  <c r="EA90" i="2"/>
  <c r="EE97" i="2"/>
  <c r="EH73" i="2"/>
  <c r="EB73" i="2"/>
  <c r="EI76" i="2"/>
  <c r="EC76" i="2"/>
  <c r="EI79" i="2"/>
  <c r="EC79" i="2"/>
  <c r="EJ93" i="2"/>
  <c r="EE93" i="2"/>
  <c r="EH96" i="2"/>
  <c r="DZ100" i="2"/>
  <c r="EL100" i="2"/>
  <c r="EN100" i="2"/>
  <c r="EP100" i="2"/>
  <c r="EI111" i="2"/>
  <c r="ED111" i="2"/>
  <c r="EG112" i="2"/>
  <c r="DZ83" i="2"/>
  <c r="EJ84" i="2"/>
  <c r="ED84" i="2"/>
  <c r="EF86" i="2"/>
  <c r="DZ90" i="2"/>
  <c r="EJ91" i="2"/>
  <c r="ED91" i="2"/>
  <c r="EE92" i="2"/>
  <c r="EB93" i="2"/>
  <c r="EI97" i="2"/>
  <c r="EH98" i="2"/>
  <c r="DZ98" i="2"/>
  <c r="EH102" i="2"/>
  <c r="EG109" i="2"/>
  <c r="EF93" i="2"/>
  <c r="EA93" i="2"/>
  <c r="EF96" i="2"/>
  <c r="EC97" i="2"/>
  <c r="EH99" i="2"/>
  <c r="EB99" i="2"/>
  <c r="EC115" i="2"/>
  <c r="EF83" i="2"/>
  <c r="DZ86" i="2"/>
  <c r="DZ87" i="2"/>
  <c r="EJ88" i="2"/>
  <c r="ED88" i="2"/>
  <c r="EF90" i="2"/>
  <c r="EH92" i="2"/>
  <c r="EB92" i="2"/>
  <c r="EI93" i="2"/>
  <c r="EC94" i="2"/>
  <c r="EJ99" i="2"/>
  <c r="ED99" i="2"/>
  <c r="EC93" i="2"/>
  <c r="EH94" i="2"/>
  <c r="DZ94" i="2"/>
  <c r="EL95" i="2"/>
  <c r="EN95" i="2"/>
  <c r="EP95" i="2"/>
  <c r="EI96" i="2"/>
  <c r="EA97" i="2"/>
  <c r="EJ101" i="2"/>
  <c r="EF101" i="2"/>
  <c r="EB101" i="2"/>
  <c r="ED107" i="2"/>
  <c r="EH110" i="2"/>
  <c r="EB96" i="2"/>
  <c r="EH97" i="2"/>
  <c r="DZ97" i="2"/>
  <c r="EA107" i="2"/>
  <c r="EH111" i="2"/>
  <c r="EC112" i="2"/>
  <c r="EI101" i="2"/>
  <c r="EA101" i="2"/>
  <c r="EC103" i="2"/>
  <c r="EF105" i="2"/>
  <c r="DZ105" i="2"/>
  <c r="EG106" i="2"/>
  <c r="EB106" i="2"/>
  <c r="EG107" i="2"/>
  <c r="EI112" i="2"/>
  <c r="EE114" i="2"/>
  <c r="DZ114" i="2"/>
  <c r="EG115" i="2"/>
  <c r="EB115" i="2"/>
  <c r="EF97" i="2"/>
  <c r="EB97" i="2"/>
  <c r="EE102" i="2"/>
  <c r="DZ102" i="2"/>
  <c r="EG103" i="2"/>
  <c r="EB103" i="2"/>
  <c r="EF106" i="2"/>
  <c r="EJ107" i="2"/>
  <c r="EC109" i="2"/>
  <c r="EA111" i="2"/>
  <c r="EE112" i="2"/>
  <c r="EA112" i="2"/>
  <c r="EI114" i="2"/>
  <c r="ED114" i="2"/>
  <c r="EF115" i="2"/>
  <c r="EH93" i="2"/>
  <c r="DZ93" i="2"/>
  <c r="EA94" i="2"/>
  <c r="EH101" i="2"/>
  <c r="DZ101" i="2"/>
  <c r="ED102" i="2"/>
  <c r="EF103" i="2"/>
  <c r="EB104" i="2"/>
  <c r="EJ106" i="2"/>
  <c r="EE110" i="2"/>
  <c r="EE111" i="2"/>
  <c r="DZ111" i="2"/>
  <c r="EH114" i="2"/>
  <c r="EJ115" i="2"/>
  <c r="EH103" i="2"/>
  <c r="DZ103" i="2"/>
  <c r="EH106" i="2"/>
  <c r="EE107" i="2"/>
  <c r="EA109" i="2"/>
  <c r="EJ111" i="2"/>
  <c r="EB111" i="2"/>
  <c r="EJ114" i="2"/>
  <c r="EB114" i="2"/>
  <c r="EH115" i="2"/>
  <c r="EJ105" i="2"/>
  <c r="ED105" i="2"/>
  <c r="EH108" i="2"/>
  <c r="ED108" i="2"/>
  <c r="EI103" i="2"/>
  <c r="EA103" i="2"/>
  <c r="EI106" i="2"/>
  <c r="EA106" i="2"/>
  <c r="EJ108" i="2"/>
  <c r="EB108" i="2"/>
  <c r="EI109" i="2"/>
  <c r="EG110" i="2"/>
  <c r="EA110" i="2"/>
  <c r="EI115" i="2"/>
  <c r="EA115" i="2"/>
  <c r="EJ104" i="2"/>
  <c r="EH105" i="2"/>
  <c r="EB105" i="2"/>
  <c r="EI108" i="2"/>
  <c r="EE108" i="2"/>
  <c r="EF110" i="2"/>
  <c r="DZ110" i="2"/>
  <c r="EJ113" i="2"/>
  <c r="EF113" i="2"/>
  <c r="ED113" i="2"/>
  <c r="DZ113" i="2"/>
  <c r="BY36" i="3"/>
  <c r="CO24" i="3"/>
  <c r="CP17" i="3"/>
  <c r="CK22" i="3"/>
  <c r="CE24" i="3"/>
  <c r="CQ22" i="3"/>
  <c r="CN16" i="3"/>
  <c r="CO33" i="3"/>
  <c r="CD32" i="3"/>
  <c r="CB28" i="3"/>
  <c r="CR34" i="3"/>
  <c r="CT30" i="3"/>
  <c r="CM21" i="3"/>
  <c r="CE16" i="3"/>
  <c r="CR18" i="3"/>
  <c r="CU25" i="3"/>
  <c r="CE21" i="3"/>
  <c r="CT36" i="3"/>
  <c r="CO21" i="3"/>
  <c r="CP33" i="3"/>
  <c r="CS21" i="3"/>
  <c r="CG18" i="3"/>
  <c r="CG30" i="3"/>
  <c r="CS28" i="3"/>
  <c r="CN19" i="3"/>
  <c r="CF16" i="3"/>
  <c r="CO16" i="3"/>
  <c r="CC16" i="3"/>
  <c r="CH20" i="3"/>
  <c r="CT16" i="3"/>
  <c r="CK34" i="3"/>
  <c r="BY34" i="3"/>
  <c r="BQ24" i="1"/>
  <c r="BW16" i="1"/>
  <c r="CI16" i="1"/>
  <c r="DL28" i="1"/>
  <c r="DX28" i="1"/>
  <c r="BW23" i="1"/>
  <c r="CI23" i="1"/>
  <c r="BV17" i="1"/>
  <c r="CH17" i="1"/>
  <c r="DQ24" i="1"/>
  <c r="EC24" i="1"/>
  <c r="BU18" i="1"/>
  <c r="CS18" i="1"/>
  <c r="CT36" i="1"/>
  <c r="BU24" i="1"/>
  <c r="CG24" i="1"/>
  <c r="BR32" i="1"/>
  <c r="CP32" i="1"/>
  <c r="CI25" i="1"/>
  <c r="BR17" i="1"/>
  <c r="CD17" i="1"/>
  <c r="BO28" i="1"/>
  <c r="BP24" i="1"/>
  <c r="BO21" i="1"/>
  <c r="CM21" i="1"/>
  <c r="BS31" i="1"/>
  <c r="DU24" i="1"/>
  <c r="BV25" i="1"/>
  <c r="CT25" i="1"/>
  <c r="CL22" i="1"/>
  <c r="CH33" i="1"/>
  <c r="BW21" i="1"/>
  <c r="BS17" i="1"/>
  <c r="CQ17" i="1"/>
  <c r="AH16" i="1"/>
  <c r="CH30" i="1"/>
  <c r="BT19" i="1"/>
  <c r="CR19" i="1"/>
  <c r="BM16" i="1"/>
  <c r="BY16" i="1"/>
  <c r="AG34" i="1"/>
  <c r="BM30" i="1"/>
  <c r="BY30" i="1"/>
  <c r="DL19" i="1"/>
  <c r="DX19" i="1"/>
  <c r="BQ20" i="1"/>
  <c r="CO20" i="1"/>
  <c r="BP19" i="1"/>
  <c r="CN19" i="1"/>
  <c r="DP19" i="1"/>
  <c r="EB19" i="1"/>
  <c r="AG21" i="1"/>
  <c r="BT25" i="1"/>
  <c r="CR25" i="1"/>
  <c r="BM22" i="1"/>
  <c r="CK22" i="1"/>
  <c r="BR21" i="1"/>
  <c r="CD21" i="1"/>
  <c r="CC16" i="1"/>
  <c r="BR16" i="1"/>
  <c r="BS28" i="1"/>
  <c r="BM38" i="1"/>
  <c r="BY38" i="1"/>
  <c r="DO14" i="1"/>
  <c r="EA14" i="1"/>
  <c r="CF33" i="1"/>
  <c r="CR33" i="1"/>
  <c r="CK19" i="1"/>
  <c r="BY19" i="1"/>
  <c r="AH15" i="1"/>
  <c r="AH21" i="1"/>
  <c r="AH36" i="1"/>
  <c r="CH16" i="1"/>
  <c r="BN28" i="1"/>
  <c r="BO30" i="1"/>
  <c r="CM30" i="1"/>
  <c r="CE33" i="1"/>
  <c r="BW34" i="1"/>
  <c r="CI34" i="1"/>
  <c r="BP34" i="1"/>
  <c r="CN34" i="1"/>
  <c r="BO35" i="1"/>
  <c r="CM35" i="1"/>
  <c r="BU36" i="1"/>
  <c r="CG36" i="1"/>
  <c r="CF14" i="1"/>
  <c r="BP25" i="1"/>
  <c r="CN25" i="1"/>
  <c r="CE22" i="1"/>
  <c r="BP21" i="1"/>
  <c r="BP18" i="1"/>
  <c r="BO29" i="1"/>
  <c r="CA29" i="1"/>
  <c r="BN30" i="1"/>
  <c r="BT32" i="1"/>
  <c r="CR32" i="1"/>
  <c r="BM36" i="1"/>
  <c r="BY36" i="1"/>
  <c r="BZ14" i="1"/>
  <c r="BO25" i="1"/>
  <c r="BW24" i="1"/>
  <c r="AH18" i="1"/>
  <c r="BT15" i="1"/>
  <c r="CR15" i="1"/>
  <c r="CS29" i="1"/>
  <c r="BN29" i="1"/>
  <c r="BQ33" i="1"/>
  <c r="CK35" i="1"/>
  <c r="CG37" i="1"/>
  <c r="CD38" i="1"/>
  <c r="BR39" i="1"/>
  <c r="CP39" i="1"/>
  <c r="BY25" i="1"/>
  <c r="BR23" i="1"/>
  <c r="BP17" i="1"/>
  <c r="CN17" i="1"/>
  <c r="BT30" i="1"/>
  <c r="CF30" i="1"/>
  <c r="BT31" i="1"/>
  <c r="CF31" i="1"/>
  <c r="BV35" i="1"/>
  <c r="CT35" i="1"/>
  <c r="BR36" i="1"/>
  <c r="CD36" i="1"/>
  <c r="BV38" i="1"/>
  <c r="CT38" i="1"/>
  <c r="DT15" i="1"/>
  <c r="EF15" i="1"/>
  <c r="DT21" i="1"/>
  <c r="EF21" i="1"/>
  <c r="DP21" i="1"/>
  <c r="EB21" i="1"/>
  <c r="CH24" i="1"/>
  <c r="CT24" i="1"/>
  <c r="CK28" i="1"/>
  <c r="BY28" i="1"/>
  <c r="CG15" i="1"/>
  <c r="CS15" i="1"/>
  <c r="AH29" i="1"/>
  <c r="CE23" i="1"/>
  <c r="CD29" i="1"/>
  <c r="BZ23" i="1"/>
  <c r="CF22" i="1"/>
  <c r="CR20" i="1"/>
  <c r="CI19" i="1"/>
  <c r="CG18" i="1"/>
  <c r="BS18" i="1"/>
  <c r="CQ18" i="1"/>
  <c r="CI28" i="1"/>
  <c r="BT28" i="1"/>
  <c r="CM29" i="1"/>
  <c r="BP30" i="1"/>
  <c r="CN30" i="1"/>
  <c r="BU31" i="1"/>
  <c r="CG31" i="1"/>
  <c r="BO33" i="1"/>
  <c r="CM33" i="1"/>
  <c r="CC37" i="1"/>
  <c r="BM37" i="1"/>
  <c r="CK37" i="1"/>
  <c r="BU39" i="1"/>
  <c r="BQ39" i="1"/>
  <c r="DP18" i="1"/>
  <c r="EB18" i="1"/>
  <c r="DT35" i="1"/>
  <c r="EF35" i="1"/>
  <c r="BM15" i="1"/>
  <c r="BQ25" i="1"/>
  <c r="CO25" i="1"/>
  <c r="CF24" i="1"/>
  <c r="CU23" i="1"/>
  <c r="BO23" i="1"/>
  <c r="CM23" i="1"/>
  <c r="CT21" i="1"/>
  <c r="CE19" i="1"/>
  <c r="BO16" i="1"/>
  <c r="CM16" i="1"/>
  <c r="BQ15" i="1"/>
  <c r="CC30" i="1"/>
  <c r="BV32" i="1"/>
  <c r="BQ32" i="1"/>
  <c r="BR35" i="1"/>
  <c r="CP35" i="1"/>
  <c r="BN36" i="1"/>
  <c r="AH38" i="1"/>
  <c r="BP39" i="1"/>
  <c r="CN39" i="1"/>
  <c r="CD14" i="1"/>
  <c r="AH23" i="1"/>
  <c r="BP22" i="1"/>
  <c r="CN22" i="1"/>
  <c r="BS20" i="1"/>
  <c r="BZ18" i="1"/>
  <c r="BR18" i="1"/>
  <c r="BP15" i="1"/>
  <c r="CN15" i="1"/>
  <c r="CS32" i="1"/>
  <c r="BP32" i="1"/>
  <c r="BW33" i="1"/>
  <c r="CP33" i="1"/>
  <c r="BW35" i="1"/>
  <c r="CI35" i="1"/>
  <c r="CC36" i="1"/>
  <c r="BT37" i="1"/>
  <c r="BO39" i="1"/>
  <c r="CM39" i="1"/>
  <c r="DT38" i="1"/>
  <c r="EF38" i="1"/>
  <c r="BM29" i="1"/>
  <c r="AG20" i="1"/>
  <c r="AH20" i="1"/>
  <c r="AH22" i="1"/>
  <c r="CS25" i="1"/>
  <c r="BO22" i="1"/>
  <c r="CA22" i="1"/>
  <c r="CE21" i="1"/>
  <c r="BW18" i="1"/>
  <c r="CU18" i="1"/>
  <c r="BS16" i="1"/>
  <c r="CQ16" i="1"/>
  <c r="CE15" i="1"/>
  <c r="BQ28" i="1"/>
  <c r="BS29" i="1"/>
  <c r="BP31" i="1"/>
  <c r="AH32" i="1"/>
  <c r="BQ34" i="1"/>
  <c r="CC34" i="1"/>
  <c r="CL35" i="1"/>
  <c r="BN38" i="1"/>
  <c r="BZ39" i="1"/>
  <c r="AH39" i="1"/>
  <c r="CA20" i="1"/>
  <c r="CM20" i="1"/>
  <c r="CS19" i="1"/>
  <c r="CG19" i="1"/>
  <c r="CA34" i="1"/>
  <c r="CM34" i="1"/>
  <c r="CF35" i="1"/>
  <c r="CR35" i="1"/>
  <c r="CS21" i="1"/>
  <c r="CG21" i="1"/>
  <c r="CC35" i="1"/>
  <c r="CO35" i="1"/>
  <c r="CU20" i="1"/>
  <c r="CI20" i="1"/>
  <c r="CC18" i="1"/>
  <c r="CO18" i="1"/>
  <c r="CQ25" i="1"/>
  <c r="CE25" i="1"/>
  <c r="CM25" i="1"/>
  <c r="CA25" i="1"/>
  <c r="CN33" i="1"/>
  <c r="CB33" i="1"/>
  <c r="BN24" i="1"/>
  <c r="BO14" i="1"/>
  <c r="CM14" i="1"/>
  <c r="BU23" i="1"/>
  <c r="CS23" i="1"/>
  <c r="BP23" i="1"/>
  <c r="CG20" i="1"/>
  <c r="BO19" i="1"/>
  <c r="BT18" i="1"/>
  <c r="CR18" i="1"/>
  <c r="BT16" i="1"/>
  <c r="BO15" i="1"/>
  <c r="CM15" i="1"/>
  <c r="BS32" i="1"/>
  <c r="CQ32" i="1"/>
  <c r="BY32" i="1"/>
  <c r="BP35" i="1"/>
  <c r="CN35" i="1"/>
  <c r="BQ38" i="1"/>
  <c r="CK39" i="1"/>
  <c r="DV14" i="1"/>
  <c r="EH14" i="1"/>
  <c r="CH15" i="1"/>
  <c r="BR19" i="1"/>
  <c r="BN25" i="1"/>
  <c r="BS24" i="1"/>
  <c r="CI22" i="1"/>
  <c r="BR22" i="1"/>
  <c r="CP22" i="1"/>
  <c r="CF21" i="1"/>
  <c r="CL21" i="1"/>
  <c r="BV20" i="1"/>
  <c r="BR20" i="1"/>
  <c r="BN20" i="1"/>
  <c r="BO18" i="1"/>
  <c r="CA18" i="1"/>
  <c r="CT17" i="1"/>
  <c r="CB28" i="1"/>
  <c r="BU28" i="1"/>
  <c r="BV29" i="1"/>
  <c r="CM31" i="1"/>
  <c r="CD32" i="1"/>
  <c r="BO32" i="1"/>
  <c r="BZ33" i="1"/>
  <c r="BU33" i="1"/>
  <c r="CS36" i="1"/>
  <c r="CR38" i="1"/>
  <c r="BP38" i="1"/>
  <c r="CB38" i="1"/>
  <c r="BW39" i="1"/>
  <c r="CU39" i="1"/>
  <c r="DT19" i="1"/>
  <c r="EF19" i="1"/>
  <c r="DV20" i="1"/>
  <c r="EH20" i="1"/>
  <c r="DL21" i="1"/>
  <c r="DX21" i="1"/>
  <c r="DR25" i="1"/>
  <c r="ED25" i="1"/>
  <c r="DO33" i="1"/>
  <c r="EA33" i="1"/>
  <c r="DP35" i="1"/>
  <c r="EB35" i="1"/>
  <c r="AH35" i="1"/>
  <c r="BV14" i="1"/>
  <c r="CE35" i="1"/>
  <c r="BO37" i="1"/>
  <c r="CA24" i="1"/>
  <c r="BU17" i="1"/>
  <c r="BS30" i="1"/>
  <c r="BW31" i="1"/>
  <c r="CU31" i="1"/>
  <c r="BM31" i="1"/>
  <c r="BN32" i="1"/>
  <c r="CD34" i="1"/>
  <c r="BW36" i="1"/>
  <c r="CI36" i="1"/>
  <c r="BW37" i="1"/>
  <c r="CI37" i="1"/>
  <c r="BS37" i="1"/>
  <c r="AG31" i="1"/>
  <c r="AH31" i="1"/>
  <c r="BY14" i="1"/>
  <c r="BU14" i="1"/>
  <c r="BM24" i="1"/>
  <c r="BV23" i="1"/>
  <c r="BQ23" i="1"/>
  <c r="BV28" i="1"/>
  <c r="CH28" i="1"/>
  <c r="BR28" i="1"/>
  <c r="CP28" i="1"/>
  <c r="BW29" i="1"/>
  <c r="CI29" i="1"/>
  <c r="BQ31" i="1"/>
  <c r="BW32" i="1"/>
  <c r="CI32" i="1"/>
  <c r="BS36" i="1"/>
  <c r="BO36" i="1"/>
  <c r="BR37" i="1"/>
  <c r="DX16" i="1"/>
  <c r="DO20" i="1"/>
  <c r="BP20" i="1"/>
  <c r="DV38" i="1"/>
  <c r="BW38" i="1"/>
  <c r="EA39" i="1"/>
  <c r="AH14" i="1"/>
  <c r="CC25" i="1"/>
  <c r="CD24" i="1"/>
  <c r="CS38" i="1"/>
  <c r="CG38" i="1"/>
  <c r="DM31" i="1"/>
  <c r="BN31" i="1"/>
  <c r="CQ14" i="1"/>
  <c r="CE14" i="1"/>
  <c r="CO22" i="1"/>
  <c r="CC22" i="1"/>
  <c r="CF29" i="1"/>
  <c r="CR29" i="1"/>
  <c r="DY24" i="1"/>
  <c r="CP15" i="1"/>
  <c r="CD15" i="1"/>
  <c r="CS22" i="1"/>
  <c r="CG22" i="1"/>
  <c r="CF19" i="1"/>
  <c r="CN37" i="1"/>
  <c r="CB37" i="1"/>
  <c r="CU14" i="1"/>
  <c r="CI14" i="1"/>
  <c r="AH28" i="1"/>
  <c r="AH34" i="1"/>
  <c r="CP25" i="1"/>
  <c r="CD25" i="1"/>
  <c r="CK20" i="1"/>
  <c r="BY20" i="1"/>
  <c r="CR23" i="1"/>
  <c r="BY23" i="1"/>
  <c r="CA21" i="1"/>
  <c r="BY18" i="1"/>
  <c r="CK18" i="1"/>
  <c r="AG17" i="1"/>
  <c r="AH17" i="1"/>
  <c r="CG23" i="1"/>
  <c r="CC19" i="1"/>
  <c r="CS16" i="1"/>
  <c r="EF14" i="1"/>
  <c r="DV17" i="1"/>
  <c r="ED17" i="1"/>
  <c r="DM18" i="1"/>
  <c r="DT29" i="1"/>
  <c r="EA29" i="1"/>
  <c r="CQ34" i="1"/>
  <c r="CE34" i="1"/>
  <c r="DO16" i="1"/>
  <c r="BP16" i="1"/>
  <c r="DZ20" i="1"/>
  <c r="DQ31" i="1"/>
  <c r="BR31" i="1"/>
  <c r="BQ14" i="1"/>
  <c r="CN32" i="1"/>
  <c r="CB32" i="1"/>
  <c r="CF39" i="1"/>
  <c r="CR39" i="1"/>
  <c r="EE14" i="1"/>
  <c r="CU17" i="1"/>
  <c r="CI17" i="1"/>
  <c r="EA19" i="1"/>
  <c r="DZ29" i="1"/>
  <c r="EA35" i="1"/>
  <c r="EC36" i="1"/>
  <c r="CM17" i="1"/>
  <c r="CA17" i="1"/>
  <c r="EF16" i="1"/>
  <c r="DS17" i="1"/>
  <c r="BT17" i="1"/>
  <c r="DX31" i="1"/>
  <c r="CB14" i="1"/>
  <c r="BY21" i="1"/>
  <c r="CA28" i="1"/>
  <c r="CM28" i="1"/>
  <c r="CK33" i="1"/>
  <c r="BY33" i="1"/>
  <c r="CB36" i="1"/>
  <c r="CI39" i="1"/>
  <c r="EH15" i="1"/>
  <c r="DX20" i="1"/>
  <c r="DU22" i="1"/>
  <c r="BV22" i="1"/>
  <c r="EE35" i="1"/>
  <c r="DZ35" i="1"/>
  <c r="CQ36" i="1"/>
  <c r="CE36" i="1"/>
  <c r="CC21" i="1"/>
  <c r="CN29" i="1"/>
  <c r="CB29" i="1"/>
  <c r="CQ31" i="1"/>
  <c r="CE31" i="1"/>
  <c r="CF37" i="1"/>
  <c r="CR37" i="1"/>
  <c r="DZ24" i="1"/>
  <c r="DU34" i="1"/>
  <c r="BV34" i="1"/>
  <c r="EB34" i="1"/>
  <c r="CE17" i="1"/>
  <c r="BY17" i="1"/>
  <c r="CU16" i="1"/>
  <c r="CU15" i="1"/>
  <c r="CS30" i="1"/>
  <c r="CP30" i="1"/>
  <c r="CS34" i="1"/>
  <c r="CP36" i="1"/>
  <c r="BO38" i="1"/>
  <c r="CQ39" i="1"/>
  <c r="CE39" i="1"/>
  <c r="ED14" i="1"/>
  <c r="DX18" i="1"/>
  <c r="EG21" i="1"/>
  <c r="DZ23" i="1"/>
  <c r="DX24" i="1"/>
  <c r="EG28" i="1"/>
  <c r="EF34" i="1"/>
  <c r="EA34" i="1"/>
  <c r="BY34" i="1"/>
  <c r="CK34" i="1"/>
  <c r="DZ14" i="1"/>
  <c r="EA15" i="1"/>
  <c r="DM17" i="1"/>
  <c r="BN17" i="1"/>
  <c r="EC21" i="1"/>
  <c r="DZ21" i="1"/>
  <c r="EF24" i="1"/>
  <c r="EC25" i="1"/>
  <c r="EF28" i="1"/>
  <c r="EG32" i="1"/>
  <c r="EB32" i="1"/>
  <c r="EF33" i="1"/>
  <c r="EC39" i="1"/>
  <c r="CU30" i="1"/>
  <c r="EF17" i="1"/>
  <c r="DP17" i="1"/>
  <c r="DX17" i="1"/>
  <c r="EH18" i="1"/>
  <c r="DU19" i="1"/>
  <c r="BV19" i="1"/>
  <c r="EG20" i="1"/>
  <c r="EB22" i="1"/>
  <c r="DX23" i="1"/>
  <c r="EE30" i="1"/>
  <c r="EF32" i="1"/>
  <c r="EE36" i="1"/>
  <c r="EA36" i="1"/>
  <c r="DX36" i="1"/>
  <c r="DZ38" i="1"/>
  <c r="CQ28" i="1"/>
  <c r="CE28" i="1"/>
  <c r="EG14" i="1"/>
  <c r="DM19" i="1"/>
  <c r="BN19" i="1"/>
  <c r="EE21" i="1"/>
  <c r="EE22" i="1"/>
  <c r="EC23" i="1"/>
  <c r="BQ29" i="1"/>
  <c r="DP29" i="1"/>
  <c r="EH30" i="1"/>
  <c r="EA32" i="1"/>
  <c r="DR38" i="1"/>
  <c r="BS38" i="1"/>
  <c r="CL28" i="1"/>
  <c r="BZ28" i="1"/>
  <c r="CR34" i="1"/>
  <c r="CG35" i="1"/>
  <c r="CR36" i="1"/>
  <c r="EC22" i="1"/>
  <c r="EG23" i="1"/>
  <c r="EB23" i="1"/>
  <c r="EH24" i="1"/>
  <c r="DX29" i="1"/>
  <c r="DY30" i="1"/>
  <c r="DU31" i="1"/>
  <c r="BV31" i="1"/>
  <c r="EB31" i="1"/>
  <c r="DZ32" i="1"/>
  <c r="EG35" i="1"/>
  <c r="DU37" i="1"/>
  <c r="BV37" i="1"/>
  <c r="EC37" i="1"/>
  <c r="DM37" i="1"/>
  <c r="BN37" i="1"/>
  <c r="DM15" i="1"/>
  <c r="BN15" i="1"/>
  <c r="DM16" i="1"/>
  <c r="BN16" i="1"/>
  <c r="EC17" i="1"/>
  <c r="DU18" i="1"/>
  <c r="BV18" i="1"/>
  <c r="EB20" i="1"/>
  <c r="ED24" i="1"/>
  <c r="EG25" i="1"/>
  <c r="EF30" i="1"/>
  <c r="EB30" i="1"/>
  <c r="EF31" i="1"/>
  <c r="EA31" i="1"/>
  <c r="DM34" i="1"/>
  <c r="BN34" i="1"/>
  <c r="EB36" i="1"/>
  <c r="EB24" i="1"/>
  <c r="DY25" i="1"/>
  <c r="EE28" i="1"/>
  <c r="DY28" i="1"/>
  <c r="ED29" i="1"/>
  <c r="EE31" i="1"/>
  <c r="ED32" i="1"/>
  <c r="EH33" i="1"/>
  <c r="EE34" i="1"/>
  <c r="ED35" i="1"/>
  <c r="EH36" i="1"/>
  <c r="EH39" i="1"/>
  <c r="EA25" i="1"/>
  <c r="EH29" i="1"/>
  <c r="EC30" i="1"/>
  <c r="DZ30" i="1"/>
  <c r="EH32" i="1"/>
  <c r="EC32" i="1"/>
  <c r="DX32" i="1"/>
  <c r="EG33" i="1"/>
  <c r="EH35" i="1"/>
  <c r="EC35" i="1"/>
  <c r="DX35" i="1"/>
  <c r="EG36" i="1"/>
  <c r="DZ36" i="1"/>
  <c r="EB38" i="1"/>
  <c r="DX38" i="1"/>
  <c r="EG39" i="1"/>
  <c r="DZ39" i="1"/>
  <c r="DY39" i="1"/>
  <c r="EC34" i="1"/>
  <c r="DX34" i="1"/>
  <c r="EF36" i="1"/>
  <c r="EA38" i="1"/>
  <c r="EF39" i="1"/>
  <c r="EE39" i="1"/>
  <c r="EB39" i="1"/>
  <c r="EE37" i="1"/>
  <c r="EG38" i="1"/>
  <c r="EC38" i="1"/>
  <c r="EA24" i="1"/>
  <c r="EC28" i="1"/>
  <c r="EG29" i="1"/>
  <c r="EC29" i="1"/>
  <c r="EG24" i="1"/>
  <c r="CH37" i="3"/>
  <c r="EI20" i="3"/>
  <c r="EJ20" i="3"/>
  <c r="EQ20" i="3"/>
  <c r="CN23" i="3"/>
  <c r="CR31" i="3"/>
  <c r="CH23" i="3"/>
  <c r="CB20" i="3"/>
  <c r="CL19" i="3"/>
  <c r="CI19" i="3"/>
  <c r="CS20" i="3"/>
  <c r="CB31" i="3"/>
  <c r="CN31" i="3"/>
  <c r="CQ17" i="3"/>
  <c r="CE17" i="3"/>
  <c r="CG23" i="3"/>
  <c r="CS23" i="3"/>
  <c r="CQ32" i="3"/>
  <c r="CE32" i="3"/>
  <c r="CC25" i="3"/>
  <c r="CO25" i="3"/>
  <c r="CQ14" i="3"/>
  <c r="CE14" i="3"/>
  <c r="CP37" i="3"/>
  <c r="CU16" i="3"/>
  <c r="CI16" i="3"/>
  <c r="CI22" i="3"/>
  <c r="CU22" i="3"/>
  <c r="CA23" i="3"/>
  <c r="CM23" i="3"/>
  <c r="CM18" i="3"/>
  <c r="CA18" i="3"/>
  <c r="CU21" i="3"/>
  <c r="CS14" i="3"/>
  <c r="CB14" i="3"/>
  <c r="CF20" i="3"/>
  <c r="CD30" i="3"/>
  <c r="CP30" i="3"/>
  <c r="BZ29" i="3"/>
  <c r="CL29" i="3"/>
  <c r="CD35" i="3"/>
  <c r="CP35" i="3"/>
  <c r="CK16" i="3"/>
  <c r="CG32" i="3"/>
  <c r="CS32" i="3"/>
  <c r="CR36" i="3"/>
  <c r="CF36" i="3"/>
  <c r="CA24" i="3"/>
  <c r="CM24" i="3"/>
  <c r="CB39" i="3"/>
  <c r="CN39" i="3"/>
  <c r="CD34" i="3"/>
  <c r="CP34" i="3"/>
  <c r="CT32" i="3"/>
  <c r="CH32" i="3"/>
  <c r="BY24" i="3"/>
  <c r="CK24" i="3"/>
  <c r="CK17" i="3"/>
  <c r="BY17" i="3"/>
  <c r="BZ31" i="3"/>
  <c r="CL31" i="3"/>
  <c r="BZ36" i="3"/>
  <c r="CL36" i="3"/>
  <c r="CF25" i="3"/>
  <c r="CF22" i="3"/>
  <c r="ER20" i="3"/>
  <c r="EH39" i="3"/>
  <c r="CQ36" i="3"/>
  <c r="CE36" i="3"/>
  <c r="DX38" i="3"/>
  <c r="CO35" i="3"/>
  <c r="CC35" i="3"/>
  <c r="CI37" i="3"/>
  <c r="CU37" i="3"/>
  <c r="EA35" i="3"/>
  <c r="EG31" i="3"/>
  <c r="EH29" i="3"/>
  <c r="CA20" i="3"/>
  <c r="CM20" i="3"/>
  <c r="DY32" i="3"/>
  <c r="DX31" i="3"/>
  <c r="CA29" i="3"/>
  <c r="CM29" i="3"/>
  <c r="CD29" i="3"/>
  <c r="CP29" i="3"/>
  <c r="CP25" i="3"/>
  <c r="CD25" i="3"/>
  <c r="CF24" i="3"/>
  <c r="CR24" i="3"/>
  <c r="EG33" i="3"/>
  <c r="EE30" i="3"/>
  <c r="CR28" i="3"/>
  <c r="CF28" i="3"/>
  <c r="CH22" i="3"/>
  <c r="CT22" i="3"/>
  <c r="CD39" i="3"/>
  <c r="CP39" i="3"/>
  <c r="DY24" i="3"/>
  <c r="DX33" i="3"/>
  <c r="EF29" i="3"/>
  <c r="CP22" i="3"/>
  <c r="CD22" i="3"/>
  <c r="CG16" i="3"/>
  <c r="CS16" i="3"/>
  <c r="CC14" i="3"/>
  <c r="CO14" i="3"/>
  <c r="CE18" i="3"/>
  <c r="CQ18" i="3"/>
  <c r="EC16" i="3"/>
  <c r="BY15" i="3"/>
  <c r="CK15" i="3"/>
  <c r="CI17" i="3"/>
  <c r="CU17" i="3"/>
  <c r="BZ15" i="3"/>
  <c r="CL15" i="3"/>
  <c r="EH32" i="3"/>
  <c r="CD36" i="3"/>
  <c r="CP36" i="3"/>
  <c r="EB35" i="3"/>
  <c r="EB37" i="3"/>
  <c r="EG34" i="3"/>
  <c r="CF33" i="3"/>
  <c r="CR33" i="3"/>
  <c r="CU29" i="3"/>
  <c r="CI29" i="3"/>
  <c r="CK31" i="3"/>
  <c r="BY31" i="3"/>
  <c r="EC29" i="3"/>
  <c r="CR23" i="3"/>
  <c r="CF23" i="3"/>
  <c r="CT33" i="3"/>
  <c r="CH33" i="3"/>
  <c r="EC39" i="3"/>
  <c r="EA21" i="3"/>
  <c r="BY33" i="3"/>
  <c r="CK33" i="3"/>
  <c r="CA17" i="3"/>
  <c r="CM17" i="3"/>
  <c r="DX18" i="3"/>
  <c r="CD16" i="3"/>
  <c r="CP16" i="3"/>
  <c r="EB17" i="3"/>
  <c r="ED38" i="3"/>
  <c r="DX35" i="3"/>
  <c r="DX37" i="3"/>
  <c r="CM38" i="3"/>
  <c r="CA38" i="3"/>
  <c r="CA39" i="3"/>
  <c r="CM39" i="3"/>
  <c r="CI32" i="3"/>
  <c r="CU32" i="3"/>
  <c r="EC36" i="3"/>
  <c r="CC37" i="3"/>
  <c r="CO37" i="3"/>
  <c r="EE33" i="3"/>
  <c r="EG24" i="3"/>
  <c r="CF21" i="3"/>
  <c r="CR21" i="3"/>
  <c r="CM31" i="3"/>
  <c r="CA31" i="3"/>
  <c r="CN21" i="3"/>
  <c r="CB21" i="3"/>
  <c r="EC28" i="3"/>
  <c r="EG15" i="3"/>
  <c r="CK18" i="3"/>
  <c r="CV18" i="3"/>
  <c r="CW18" i="3"/>
  <c r="CZ18" i="3"/>
  <c r="BY18" i="3"/>
  <c r="EA15" i="3"/>
  <c r="CO17" i="3"/>
  <c r="CC17" i="3"/>
  <c r="CH38" i="3"/>
  <c r="CT38" i="3"/>
  <c r="CM35" i="3"/>
  <c r="CA35" i="3"/>
  <c r="EF35" i="3"/>
  <c r="EF36" i="3"/>
  <c r="EB32" i="3"/>
  <c r="CB29" i="3"/>
  <c r="CN29" i="3"/>
  <c r="ED30" i="3"/>
  <c r="EI30" i="3"/>
  <c r="EJ30" i="3"/>
  <c r="EF38" i="3"/>
  <c r="CM30" i="3"/>
  <c r="CA30" i="3"/>
  <c r="DY28" i="3"/>
  <c r="EG18" i="3"/>
  <c r="DX19" i="3"/>
  <c r="EF34" i="3"/>
  <c r="EG25" i="3"/>
  <c r="BZ30" i="3"/>
  <c r="CL30" i="3"/>
  <c r="EC23" i="3"/>
  <c r="EI23" i="3"/>
  <c r="EJ23" i="3"/>
  <c r="EQ23" i="3"/>
  <c r="ED19" i="3"/>
  <c r="EA25" i="3"/>
  <c r="EA22" i="3"/>
  <c r="EH14" i="3"/>
  <c r="ED15" i="3"/>
  <c r="CD14" i="3"/>
  <c r="CP14" i="3"/>
  <c r="CA14" i="3"/>
  <c r="CM14" i="3"/>
  <c r="CG36" i="3"/>
  <c r="CS36" i="3"/>
  <c r="CC32" i="3"/>
  <c r="CO32" i="3"/>
  <c r="BZ33" i="3"/>
  <c r="CL33" i="3"/>
  <c r="CU35" i="3"/>
  <c r="CI35" i="3"/>
  <c r="CQ39" i="3"/>
  <c r="CE39" i="3"/>
  <c r="CQ30" i="3"/>
  <c r="CE30" i="3"/>
  <c r="ED31" i="3"/>
  <c r="CL22" i="3"/>
  <c r="BZ22" i="3"/>
  <c r="CS38" i="3"/>
  <c r="CG38" i="3"/>
  <c r="EA24" i="3"/>
  <c r="CA32" i="3"/>
  <c r="CM32" i="3"/>
  <c r="CG34" i="3"/>
  <c r="CS34" i="3"/>
  <c r="EF31" i="3"/>
  <c r="CH25" i="3"/>
  <c r="CT25" i="3"/>
  <c r="ED33" i="3"/>
  <c r="CI14" i="3"/>
  <c r="CU14" i="3"/>
  <c r="CM19" i="3"/>
  <c r="CV19" i="3"/>
  <c r="CW19" i="3"/>
  <c r="CA19" i="3"/>
  <c r="CE15" i="3"/>
  <c r="CQ15" i="3"/>
  <c r="CM37" i="3"/>
  <c r="CA37" i="3"/>
  <c r="CM36" i="3"/>
  <c r="CA36" i="3"/>
  <c r="CA34" i="3"/>
  <c r="CM34" i="3"/>
  <c r="EH35" i="3"/>
  <c r="ED39" i="3"/>
  <c r="EH37" i="3"/>
  <c r="CB35" i="3"/>
  <c r="CN35" i="3"/>
  <c r="CB34" i="3"/>
  <c r="CN34" i="3"/>
  <c r="CH31" i="3"/>
  <c r="CT31" i="3"/>
  <c r="CL32" i="3"/>
  <c r="BZ32" i="3"/>
  <c r="CQ31" i="3"/>
  <c r="CE31" i="3"/>
  <c r="CL25" i="3"/>
  <c r="BZ25" i="3"/>
  <c r="EC25" i="3"/>
  <c r="CN24" i="3"/>
  <c r="CB24" i="3"/>
  <c r="DY17" i="3"/>
  <c r="CF30" i="3"/>
  <c r="CR30" i="3"/>
  <c r="EG22" i="3"/>
  <c r="EA18" i="3"/>
  <c r="CS31" i="3"/>
  <c r="CG31" i="3"/>
  <c r="EG21" i="3"/>
  <c r="CE33" i="3"/>
  <c r="CQ33" i="3"/>
  <c r="EC22" i="3"/>
  <c r="EF16" i="3"/>
  <c r="EB14" i="3"/>
  <c r="ED18" i="3"/>
  <c r="DX15" i="3"/>
  <c r="EH17" i="3"/>
  <c r="CW101" i="2"/>
  <c r="CY101" i="2"/>
  <c r="DK101" i="2"/>
  <c r="CH56" i="2"/>
  <c r="BZ114" i="2"/>
  <c r="CL114" i="2"/>
  <c r="CW114" i="2"/>
  <c r="CY114" i="2"/>
  <c r="BZ46" i="2"/>
  <c r="CL46" i="2"/>
  <c r="CH34" i="2"/>
  <c r="CR54" i="2"/>
  <c r="CP80" i="2"/>
  <c r="CM61" i="2"/>
  <c r="CU30" i="2"/>
  <c r="CC68" i="2"/>
  <c r="CC70" i="2"/>
  <c r="CR53" i="2"/>
  <c r="CA92" i="2"/>
  <c r="CU98" i="2"/>
  <c r="CW98" i="2"/>
  <c r="CY98" i="2"/>
  <c r="CR114" i="2"/>
  <c r="CF114" i="2"/>
  <c r="CK37" i="2"/>
  <c r="BY37" i="2"/>
  <c r="CO52" i="2"/>
  <c r="CC52" i="2"/>
  <c r="CK47" i="2"/>
  <c r="BY47" i="2"/>
  <c r="CK107" i="2"/>
  <c r="BY107" i="2"/>
  <c r="CC99" i="2"/>
  <c r="CO99" i="2"/>
  <c r="CI40" i="2"/>
  <c r="CU40" i="2"/>
  <c r="BY106" i="2"/>
  <c r="CK106" i="2"/>
  <c r="CU49" i="2"/>
  <c r="CI49" i="2"/>
  <c r="ER53" i="2"/>
  <c r="ER39" i="2"/>
  <c r="CH66" i="2"/>
  <c r="CH16" i="2"/>
  <c r="CM67" i="2"/>
  <c r="CT14" i="2"/>
  <c r="CB57" i="2"/>
  <c r="CI37" i="2"/>
  <c r="DK37" i="2"/>
  <c r="CE66" i="2"/>
  <c r="CU81" i="2"/>
  <c r="CN20" i="2"/>
  <c r="BZ95" i="2"/>
  <c r="CL95" i="2"/>
  <c r="CN58" i="2"/>
  <c r="CB58" i="2"/>
  <c r="CO110" i="2"/>
  <c r="CC110" i="2"/>
  <c r="CS113" i="2"/>
  <c r="CW113" i="2"/>
  <c r="CY113" i="2"/>
  <c r="CG113" i="2"/>
  <c r="CD18" i="2"/>
  <c r="CP18" i="2"/>
  <c r="CL88" i="2"/>
  <c r="BZ88" i="2"/>
  <c r="BY79" i="2"/>
  <c r="CK79" i="2"/>
  <c r="CW99" i="2"/>
  <c r="CY99" i="2"/>
  <c r="DC99" i="2"/>
  <c r="CB37" i="2"/>
  <c r="CD66" i="2"/>
  <c r="CN32" i="2"/>
  <c r="CC67" i="2"/>
  <c r="CR78" i="2"/>
  <c r="CW78" i="2"/>
  <c r="CY78" i="2"/>
  <c r="BZ76" i="2"/>
  <c r="CL76" i="2"/>
  <c r="CR46" i="2"/>
  <c r="CF46" i="2"/>
  <c r="CK17" i="2"/>
  <c r="BY17" i="2"/>
  <c r="CO50" i="2"/>
  <c r="CC50" i="2"/>
  <c r="CN27" i="2"/>
  <c r="CB27" i="2"/>
  <c r="BZ87" i="2"/>
  <c r="CL87" i="2"/>
  <c r="CH100" i="2"/>
  <c r="CT100" i="2"/>
  <c r="CK48" i="2"/>
  <c r="CD52" i="2"/>
  <c r="DF52" i="2"/>
  <c r="CB53" i="2"/>
  <c r="CU50" i="2"/>
  <c r="CE115" i="2"/>
  <c r="CI91" i="2"/>
  <c r="CI111" i="2"/>
  <c r="CU111" i="2"/>
  <c r="CO109" i="2"/>
  <c r="CC109" i="2"/>
  <c r="CG62" i="2"/>
  <c r="CS62" i="2"/>
  <c r="CO73" i="2"/>
  <c r="CC73" i="2"/>
  <c r="BY89" i="2"/>
  <c r="CK89" i="2"/>
  <c r="CH60" i="2"/>
  <c r="CT60" i="2"/>
  <c r="CS45" i="2"/>
  <c r="CG45" i="2"/>
  <c r="CM45" i="2"/>
  <c r="CA45" i="2"/>
  <c r="EL104" i="2"/>
  <c r="EN104" i="2"/>
  <c r="EW82" i="2"/>
  <c r="ET60" i="2"/>
  <c r="EL70" i="2"/>
  <c r="EN70" i="2"/>
  <c r="ES70" i="2"/>
  <c r="EL48" i="2"/>
  <c r="EN48" i="2"/>
  <c r="EP48" i="2"/>
  <c r="EL68" i="2"/>
  <c r="EN68" i="2"/>
  <c r="EL56" i="2"/>
  <c r="EN56" i="2"/>
  <c r="EX56" i="2"/>
  <c r="CB42" i="2"/>
  <c r="CB59" i="2"/>
  <c r="DD59" i="2"/>
  <c r="CT90" i="2"/>
  <c r="CG55" i="2"/>
  <c r="CS55" i="2"/>
  <c r="CN36" i="2"/>
  <c r="CB36" i="2"/>
  <c r="CU19" i="2"/>
  <c r="CI19" i="2"/>
  <c r="CS93" i="2"/>
  <c r="CG93" i="2"/>
  <c r="CR23" i="2"/>
  <c r="CF23" i="2"/>
  <c r="CC81" i="2"/>
  <c r="CO81" i="2"/>
  <c r="EI36" i="3"/>
  <c r="EJ36" i="3"/>
  <c r="CV28" i="3"/>
  <c r="CW28" i="3"/>
  <c r="DB28" i="3"/>
  <c r="EX60" i="2"/>
  <c r="EV39" i="2"/>
  <c r="CW95" i="2"/>
  <c r="CY95" i="2"/>
  <c r="DE95" i="2"/>
  <c r="CH78" i="2"/>
  <c r="CT78" i="2"/>
  <c r="CD102" i="2"/>
  <c r="CP102" i="2"/>
  <c r="CU108" i="2"/>
  <c r="CI108" i="2"/>
  <c r="EL99" i="2"/>
  <c r="EN99" i="2"/>
  <c r="CT75" i="2"/>
  <c r="CW75" i="2"/>
  <c r="CY75" i="2"/>
  <c r="CH75" i="2"/>
  <c r="CT76" i="2"/>
  <c r="CH76" i="2"/>
  <c r="CW102" i="2"/>
  <c r="CY102" i="2"/>
  <c r="DA102" i="2"/>
  <c r="CB79" i="2"/>
  <c r="CN79" i="2"/>
  <c r="CI69" i="2"/>
  <c r="CU69" i="2"/>
  <c r="CP70" i="2"/>
  <c r="CD70" i="2"/>
  <c r="CI103" i="2"/>
  <c r="CU103" i="2"/>
  <c r="CW103" i="2"/>
  <c r="CY103" i="2"/>
  <c r="CU28" i="2"/>
  <c r="CI28" i="2"/>
  <c r="CI26" i="2"/>
  <c r="CU26" i="2"/>
  <c r="EZ46" i="2"/>
  <c r="CW51" i="2"/>
  <c r="CY51" i="2"/>
  <c r="DK51" i="2"/>
  <c r="CE55" i="2"/>
  <c r="CQ55" i="2"/>
  <c r="CE72" i="2"/>
  <c r="CQ72" i="2"/>
  <c r="CT79" i="2"/>
  <c r="CH79" i="2"/>
  <c r="CP71" i="2"/>
  <c r="CD71" i="2"/>
  <c r="CS92" i="2"/>
  <c r="CG92" i="2"/>
  <c r="CO103" i="2"/>
  <c r="CC103" i="2"/>
  <c r="CM35" i="2"/>
  <c r="CA35" i="2"/>
  <c r="CH32" i="2"/>
  <c r="CT32" i="2"/>
  <c r="CB25" i="2"/>
  <c r="CN25" i="2"/>
  <c r="CS31" i="2"/>
  <c r="CG31" i="2"/>
  <c r="CE88" i="2"/>
  <c r="CQ88" i="2"/>
  <c r="CW88" i="2"/>
  <c r="CY88" i="2"/>
  <c r="CA85" i="2"/>
  <c r="CM85" i="2"/>
  <c r="CW85" i="2"/>
  <c r="CY85" i="2"/>
  <c r="CO77" i="2"/>
  <c r="CC77" i="2"/>
  <c r="EZ60" i="2"/>
  <c r="EY37" i="2"/>
  <c r="CW92" i="2"/>
  <c r="CY92" i="2"/>
  <c r="CN68" i="2"/>
  <c r="CB68" i="2"/>
  <c r="CI74" i="2"/>
  <c r="CU74" i="2"/>
  <c r="CA112" i="2"/>
  <c r="CM112" i="2"/>
  <c r="CW112" i="2"/>
  <c r="CY112" i="2"/>
  <c r="BZ36" i="2"/>
  <c r="CL36" i="2"/>
  <c r="CC76" i="2"/>
  <c r="CO76" i="2"/>
  <c r="EW37" i="2"/>
  <c r="EL36" i="2"/>
  <c r="EN36" i="2"/>
  <c r="ES36" i="2"/>
  <c r="CW68" i="2"/>
  <c r="CY68" i="2"/>
  <c r="CU48" i="2"/>
  <c r="CI48" i="2"/>
  <c r="CG96" i="2"/>
  <c r="CS96" i="2"/>
  <c r="CH55" i="2"/>
  <c r="CT55" i="2"/>
  <c r="CW55" i="2"/>
  <c r="CY55" i="2"/>
  <c r="CE46" i="2"/>
  <c r="CQ46" i="2"/>
  <c r="CK42" i="2"/>
  <c r="BY42" i="2"/>
  <c r="CO57" i="2"/>
  <c r="CW57" i="2"/>
  <c r="CY57" i="2"/>
  <c r="CC57" i="2"/>
  <c r="CL56" i="2"/>
  <c r="BZ56" i="2"/>
  <c r="CG76" i="2"/>
  <c r="CS76" i="2"/>
  <c r="CI59" i="2"/>
  <c r="CU59" i="2"/>
  <c r="CO54" i="2"/>
  <c r="CC54" i="2"/>
  <c r="CM84" i="2"/>
  <c r="CW84" i="2"/>
  <c r="CY84" i="2"/>
  <c r="CA84" i="2"/>
  <c r="BZ43" i="2"/>
  <c r="CL43" i="2"/>
  <c r="CB48" i="2"/>
  <c r="CN48" i="2"/>
  <c r="BZ100" i="2"/>
  <c r="CL100" i="2"/>
  <c r="CW100" i="2"/>
  <c r="CY100" i="2"/>
  <c r="CO91" i="2"/>
  <c r="CW91" i="2"/>
  <c r="CY91" i="2"/>
  <c r="CC91" i="2"/>
  <c r="CP28" i="2"/>
  <c r="CD28" i="2"/>
  <c r="ES82" i="2"/>
  <c r="ET46" i="2"/>
  <c r="EL33" i="2"/>
  <c r="EN33" i="2"/>
  <c r="EZ33" i="2"/>
  <c r="EL50" i="2"/>
  <c r="EN50" i="2"/>
  <c r="CW110" i="2"/>
  <c r="CY110" i="2"/>
  <c r="DF110" i="2"/>
  <c r="CI57" i="2"/>
  <c r="CU57" i="2"/>
  <c r="BY87" i="2"/>
  <c r="CK87" i="2"/>
  <c r="CW87" i="2"/>
  <c r="CY87" i="2"/>
  <c r="DF87" i="2"/>
  <c r="CE61" i="2"/>
  <c r="CQ61" i="2"/>
  <c r="CH106" i="2"/>
  <c r="CT106" i="2"/>
  <c r="CW106" i="2"/>
  <c r="CY106" i="2"/>
  <c r="CP42" i="2"/>
  <c r="CD42" i="2"/>
  <c r="CK85" i="2"/>
  <c r="BY85" i="2"/>
  <c r="CS90" i="2"/>
  <c r="CG90" i="2"/>
  <c r="CR48" i="2"/>
  <c r="CW48" i="2"/>
  <c r="CY48" i="2"/>
  <c r="DB48" i="2"/>
  <c r="CF48" i="2"/>
  <c r="CB43" i="2"/>
  <c r="CN43" i="2"/>
  <c r="CP69" i="2"/>
  <c r="CD69" i="2"/>
  <c r="BY27" i="2"/>
  <c r="CK27" i="2"/>
  <c r="CQ107" i="2"/>
  <c r="CW107" i="2"/>
  <c r="CY107" i="2"/>
  <c r="CE107" i="2"/>
  <c r="CW36" i="2"/>
  <c r="CY36" i="2"/>
  <c r="CF72" i="2"/>
  <c r="CR72" i="2"/>
  <c r="CU67" i="2"/>
  <c r="CI67" i="2"/>
  <c r="CD48" i="2"/>
  <c r="CP48" i="2"/>
  <c r="CP72" i="2"/>
  <c r="CW72" i="2"/>
  <c r="CY72" i="2"/>
  <c r="CD72" i="2"/>
  <c r="CN90" i="2"/>
  <c r="CB90" i="2"/>
  <c r="CD35" i="2"/>
  <c r="CP35" i="2"/>
  <c r="CO71" i="2"/>
  <c r="CW71" i="2"/>
  <c r="CY71" i="2"/>
  <c r="CC71" i="2"/>
  <c r="CL45" i="2"/>
  <c r="BZ45" i="2"/>
  <c r="CH41" i="2"/>
  <c r="CT41" i="2"/>
  <c r="CW41" i="2"/>
  <c r="CY41" i="2"/>
  <c r="CM93" i="2"/>
  <c r="CA93" i="2"/>
  <c r="EZ50" i="2"/>
  <c r="EY50" i="2"/>
  <c r="EX99" i="2"/>
  <c r="ER99" i="2"/>
  <c r="EP99" i="2"/>
  <c r="EX78" i="2"/>
  <c r="EW78" i="2"/>
  <c r="EY78" i="2"/>
  <c r="EU78" i="2"/>
  <c r="EV78" i="2"/>
  <c r="EV18" i="2"/>
  <c r="EX18" i="2"/>
  <c r="ER18" i="2"/>
  <c r="EZ18" i="2"/>
  <c r="ET18" i="2"/>
  <c r="ET42" i="2"/>
  <c r="ER42" i="2"/>
  <c r="EP42" i="2"/>
  <c r="DK68" i="2"/>
  <c r="DH68" i="2"/>
  <c r="DF68" i="2"/>
  <c r="CK115" i="2"/>
  <c r="BY115" i="2"/>
  <c r="DA97" i="2"/>
  <c r="EL97" i="2"/>
  <c r="EN97" i="2"/>
  <c r="EP70" i="2"/>
  <c r="EL29" i="2"/>
  <c r="EN29" i="2"/>
  <c r="EU29" i="2"/>
  <c r="EL21" i="2"/>
  <c r="EN21" i="2"/>
  <c r="ET21" i="2"/>
  <c r="CI14" i="2"/>
  <c r="CU14" i="2"/>
  <c r="CQ108" i="2"/>
  <c r="CE108" i="2"/>
  <c r="DE92" i="2"/>
  <c r="DH92" i="2"/>
  <c r="DG92" i="2"/>
  <c r="CA44" i="2"/>
  <c r="CM44" i="2"/>
  <c r="CW44" i="2"/>
  <c r="CY44" i="2"/>
  <c r="DJ44" i="2"/>
  <c r="CD115" i="2"/>
  <c r="CP115" i="2"/>
  <c r="EY82" i="2"/>
  <c r="EL45" i="2"/>
  <c r="EN45" i="2"/>
  <c r="ES45" i="2"/>
  <c r="EL58" i="2"/>
  <c r="EN58" i="2"/>
  <c r="CD15" i="2"/>
  <c r="CL16" i="2"/>
  <c r="CW86" i="2"/>
  <c r="CY86" i="2"/>
  <c r="DH86" i="2"/>
  <c r="DC92" i="2"/>
  <c r="BY14" i="2"/>
  <c r="DD92" i="2"/>
  <c r="BZ20" i="2"/>
  <c r="CW34" i="2"/>
  <c r="CY34" i="2"/>
  <c r="DK34" i="2"/>
  <c r="CW31" i="2"/>
  <c r="CY31" i="2"/>
  <c r="CM14" i="2"/>
  <c r="CW14" i="2"/>
  <c r="CY14" i="2"/>
  <c r="CA14" i="2"/>
  <c r="CA25" i="2"/>
  <c r="CM25" i="2"/>
  <c r="CU20" i="2"/>
  <c r="CW20" i="2"/>
  <c r="CY20" i="2"/>
  <c r="CI20" i="2"/>
  <c r="EL67" i="2"/>
  <c r="EN67" i="2"/>
  <c r="EU67" i="2"/>
  <c r="EL59" i="2"/>
  <c r="EN59" i="2"/>
  <c r="EP59" i="2"/>
  <c r="DF92" i="2"/>
  <c r="CC23" i="2"/>
  <c r="CO23" i="2"/>
  <c r="EL96" i="2"/>
  <c r="EN96" i="2"/>
  <c r="EW96" i="2"/>
  <c r="EL87" i="2"/>
  <c r="EN87" i="2"/>
  <c r="EP87" i="2"/>
  <c r="EL98" i="2"/>
  <c r="EN98" i="2"/>
  <c r="EL84" i="2"/>
  <c r="EN84" i="2"/>
  <c r="EP84" i="2"/>
  <c r="EL88" i="2"/>
  <c r="EN88" i="2"/>
  <c r="EY88" i="2"/>
  <c r="EY72" i="2"/>
  <c r="ER46" i="2"/>
  <c r="EX39" i="2"/>
  <c r="EL41" i="2"/>
  <c r="EN41" i="2"/>
  <c r="EQ41" i="2"/>
  <c r="EW39" i="2"/>
  <c r="CW59" i="2"/>
  <c r="CY59" i="2"/>
  <c r="DG59" i="2"/>
  <c r="EL49" i="2"/>
  <c r="EN49" i="2"/>
  <c r="CW60" i="2"/>
  <c r="CY60" i="2"/>
  <c r="DA60" i="2"/>
  <c r="CW50" i="2"/>
  <c r="CY50" i="2"/>
  <c r="BZ25" i="2"/>
  <c r="CW49" i="2"/>
  <c r="CY49" i="2"/>
  <c r="DI49" i="2"/>
  <c r="BY90" i="2"/>
  <c r="CK90" i="2"/>
  <c r="DJ92" i="2"/>
  <c r="CA19" i="2"/>
  <c r="CM19" i="2"/>
  <c r="CW19" i="2"/>
  <c r="CY19" i="2"/>
  <c r="EU46" i="2"/>
  <c r="EL23" i="2"/>
  <c r="EN23" i="2"/>
  <c r="EY23" i="2"/>
  <c r="CW52" i="2"/>
  <c r="CY52" i="2"/>
  <c r="CW83" i="2"/>
  <c r="CY83" i="2"/>
  <c r="DI83" i="2"/>
  <c r="CW105" i="2"/>
  <c r="CY105" i="2"/>
  <c r="DI105" i="2"/>
  <c r="DB68" i="2"/>
  <c r="CG14" i="2"/>
  <c r="CW28" i="2"/>
  <c r="CY28" i="2"/>
  <c r="DK28" i="2"/>
  <c r="CW37" i="2"/>
  <c r="CY37" i="2"/>
  <c r="CW32" i="2"/>
  <c r="CY32" i="2"/>
  <c r="DJ32" i="2"/>
  <c r="CG22" i="2"/>
  <c r="CS22" i="2"/>
  <c r="CW22" i="2"/>
  <c r="CY22" i="2"/>
  <c r="DD22" i="2"/>
  <c r="EL55" i="2"/>
  <c r="EN55" i="2"/>
  <c r="ES55" i="2"/>
  <c r="CW108" i="2"/>
  <c r="CY108" i="2"/>
  <c r="BZ21" i="2"/>
  <c r="CL21" i="2"/>
  <c r="EL108" i="2"/>
  <c r="EN108" i="2"/>
  <c r="EL112" i="2"/>
  <c r="EN112" i="2"/>
  <c r="EL107" i="2"/>
  <c r="EN107" i="2"/>
  <c r="ET107" i="2"/>
  <c r="EQ82" i="2"/>
  <c r="EL91" i="2"/>
  <c r="EN91" i="2"/>
  <c r="EV70" i="2"/>
  <c r="EX46" i="2"/>
  <c r="EL52" i="2"/>
  <c r="EN52" i="2"/>
  <c r="EL35" i="2"/>
  <c r="EN35" i="2"/>
  <c r="EP35" i="2"/>
  <c r="CW74" i="2"/>
  <c r="CY74" i="2"/>
  <c r="DE74" i="2"/>
  <c r="EL26" i="2"/>
  <c r="EN26" i="2"/>
  <c r="ER26" i="2"/>
  <c r="EL32" i="2"/>
  <c r="EN32" i="2"/>
  <c r="EV32" i="2"/>
  <c r="CE87" i="2"/>
  <c r="CQ87" i="2"/>
  <c r="CK62" i="2"/>
  <c r="BY62" i="2"/>
  <c r="CN30" i="2"/>
  <c r="CB30" i="2"/>
  <c r="ET55" i="2"/>
  <c r="EU55" i="2"/>
  <c r="EY67" i="2"/>
  <c r="EZ67" i="2"/>
  <c r="EP29" i="2"/>
  <c r="EZ29" i="2"/>
  <c r="EX29" i="2"/>
  <c r="EV29" i="2"/>
  <c r="EX21" i="2"/>
  <c r="EY21" i="2"/>
  <c r="DG102" i="2"/>
  <c r="DK102" i="2"/>
  <c r="DI102" i="2"/>
  <c r="DC102" i="2"/>
  <c r="EX24" i="2"/>
  <c r="EZ24" i="2"/>
  <c r="EV24" i="2"/>
  <c r="EP24" i="2"/>
  <c r="EW24" i="2"/>
  <c r="ET24" i="2"/>
  <c r="EU24" i="2"/>
  <c r="EY24" i="2"/>
  <c r="ER24" i="2"/>
  <c r="EQ24" i="2"/>
  <c r="ES24" i="2"/>
  <c r="DI51" i="2"/>
  <c r="DB51" i="2"/>
  <c r="EX45" i="2"/>
  <c r="EQ45" i="2"/>
  <c r="EU58" i="2"/>
  <c r="ES58" i="2"/>
  <c r="EY58" i="2"/>
  <c r="EV58" i="2"/>
  <c r="EZ58" i="2"/>
  <c r="EX58" i="2"/>
  <c r="EW58" i="2"/>
  <c r="ET58" i="2"/>
  <c r="EQ58" i="2"/>
  <c r="EP58" i="2"/>
  <c r="ER58" i="2"/>
  <c r="EW68" i="2"/>
  <c r="EY68" i="2"/>
  <c r="ES68" i="2"/>
  <c r="EV68" i="2"/>
  <c r="EQ68" i="2"/>
  <c r="ET68" i="2"/>
  <c r="EX68" i="2"/>
  <c r="EU68" i="2"/>
  <c r="EP68" i="2"/>
  <c r="ER68" i="2"/>
  <c r="EZ68" i="2"/>
  <c r="EX88" i="2"/>
  <c r="EV88" i="2"/>
  <c r="EZ88" i="2"/>
  <c r="EU88" i="2"/>
  <c r="EY49" i="2"/>
  <c r="ES49" i="2"/>
  <c r="ET49" i="2"/>
  <c r="EV49" i="2"/>
  <c r="EP49" i="2"/>
  <c r="EX49" i="2"/>
  <c r="EU49" i="2"/>
  <c r="ER49" i="2"/>
  <c r="EZ49" i="2"/>
  <c r="EQ49" i="2"/>
  <c r="EW49" i="2"/>
  <c r="DK60" i="2"/>
  <c r="DJ50" i="2"/>
  <c r="DH50" i="2"/>
  <c r="DG50" i="2"/>
  <c r="DE50" i="2"/>
  <c r="DA50" i="2"/>
  <c r="DK50" i="2"/>
  <c r="DI50" i="2"/>
  <c r="DB50" i="2"/>
  <c r="DF50" i="2"/>
  <c r="EX33" i="2"/>
  <c r="EV33" i="2"/>
  <c r="EQ33" i="2"/>
  <c r="ES33" i="2"/>
  <c r="EQ104" i="2"/>
  <c r="EW104" i="2"/>
  <c r="EU104" i="2"/>
  <c r="EY104" i="2"/>
  <c r="ES104" i="2"/>
  <c r="EX104" i="2"/>
  <c r="ET104" i="2"/>
  <c r="EV104" i="2"/>
  <c r="ER104" i="2"/>
  <c r="EP104" i="2"/>
  <c r="EZ104" i="2"/>
  <c r="ET75" i="2"/>
  <c r="EZ75" i="2"/>
  <c r="ER75" i="2"/>
  <c r="EX75" i="2"/>
  <c r="EV75" i="2"/>
  <c r="ES75" i="2"/>
  <c r="EY75" i="2"/>
  <c r="EP75" i="2"/>
  <c r="EU75" i="2"/>
  <c r="EW75" i="2"/>
  <c r="EQ75" i="2"/>
  <c r="ER23" i="2"/>
  <c r="EX23" i="2"/>
  <c r="DC83" i="2"/>
  <c r="DF28" i="2"/>
  <c r="DI37" i="2"/>
  <c r="DB37" i="2"/>
  <c r="DJ37" i="2"/>
  <c r="DE37" i="2"/>
  <c r="DC37" i="2"/>
  <c r="DA37" i="2"/>
  <c r="DJ36" i="2"/>
  <c r="DE36" i="2"/>
  <c r="DF36" i="2"/>
  <c r="DB36" i="2"/>
  <c r="DC36" i="2"/>
  <c r="DA36" i="2"/>
  <c r="DG36" i="2"/>
  <c r="DD36" i="2"/>
  <c r="DI36" i="2"/>
  <c r="EV108" i="2"/>
  <c r="EQ108" i="2"/>
  <c r="EP108" i="2"/>
  <c r="EX108" i="2"/>
  <c r="EZ108" i="2"/>
  <c r="EY108" i="2"/>
  <c r="ET108" i="2"/>
  <c r="EW108" i="2"/>
  <c r="EU108" i="2"/>
  <c r="ES108" i="2"/>
  <c r="ER108" i="2"/>
  <c r="EY107" i="2"/>
  <c r="EP107" i="2"/>
  <c r="EZ107" i="2"/>
  <c r="ES107" i="2"/>
  <c r="ER91" i="2"/>
  <c r="EP91" i="2"/>
  <c r="EX91" i="2"/>
  <c r="ET91" i="2"/>
  <c r="EV91" i="2"/>
  <c r="EZ91" i="2"/>
  <c r="EW91" i="2"/>
  <c r="EY91" i="2"/>
  <c r="EQ91" i="2"/>
  <c r="ES91" i="2"/>
  <c r="EU91" i="2"/>
  <c r="EP26" i="2"/>
  <c r="EX26" i="2"/>
  <c r="EZ26" i="2"/>
  <c r="EU26" i="2"/>
  <c r="ER85" i="2"/>
  <c r="EX85" i="2"/>
  <c r="EZ85" i="2"/>
  <c r="EP85" i="2"/>
  <c r="ET85" i="2"/>
  <c r="EV85" i="2"/>
  <c r="EL57" i="2"/>
  <c r="EN57" i="2"/>
  <c r="EP72" i="2"/>
  <c r="EV72" i="2"/>
  <c r="ES72" i="2"/>
  <c r="ES41" i="2"/>
  <c r="EU41" i="2"/>
  <c r="EY41" i="2"/>
  <c r="EY59" i="2"/>
  <c r="EQ56" i="2"/>
  <c r="EW56" i="2"/>
  <c r="EY56" i="2"/>
  <c r="EL19" i="2"/>
  <c r="EN19" i="2"/>
  <c r="DD52" i="2"/>
  <c r="DG52" i="2"/>
  <c r="CM111" i="2"/>
  <c r="CW111" i="2"/>
  <c r="CY111" i="2"/>
  <c r="CA111" i="2"/>
  <c r="DC111" i="2"/>
  <c r="EQ15" i="2"/>
  <c r="EW15" i="2"/>
  <c r="EU15" i="2"/>
  <c r="ES15" i="2"/>
  <c r="EV15" i="2"/>
  <c r="EY15" i="2"/>
  <c r="CW81" i="2"/>
  <c r="CY81" i="2"/>
  <c r="DJ81" i="2"/>
  <c r="DD50" i="2"/>
  <c r="DB44" i="2"/>
  <c r="DI44" i="2"/>
  <c r="DD44" i="2"/>
  <c r="EL115" i="2"/>
  <c r="EN115" i="2"/>
  <c r="EL109" i="2"/>
  <c r="EN109" i="2"/>
  <c r="EL111" i="2"/>
  <c r="EN111" i="2"/>
  <c r="EV99" i="2"/>
  <c r="EV97" i="2"/>
  <c r="EL114" i="2"/>
  <c r="EN114" i="2"/>
  <c r="EL105" i="2"/>
  <c r="EN105" i="2"/>
  <c r="EL86" i="2"/>
  <c r="EN86" i="2"/>
  <c r="ER82" i="2"/>
  <c r="EX82" i="2"/>
  <c r="EP82" i="2"/>
  <c r="ET82" i="2"/>
  <c r="EZ82" i="2"/>
  <c r="EV82" i="2"/>
  <c r="EW70" i="2"/>
  <c r="EQ59" i="2"/>
  <c r="EZ70" i="2"/>
  <c r="EL71" i="2"/>
  <c r="EN71" i="2"/>
  <c r="ES60" i="2"/>
  <c r="EW60" i="2"/>
  <c r="EQ60" i="2"/>
  <c r="EV60" i="2"/>
  <c r="EP60" i="2"/>
  <c r="ER59" i="2"/>
  <c r="EZ39" i="2"/>
  <c r="EP53" i="2"/>
  <c r="ES53" i="2"/>
  <c r="EV53" i="2"/>
  <c r="EQ53" i="2"/>
  <c r="EY53" i="2"/>
  <c r="EL62" i="2"/>
  <c r="EN62" i="2"/>
  <c r="ES56" i="2"/>
  <c r="EZ53" i="2"/>
  <c r="EU43" i="2"/>
  <c r="EY43" i="2"/>
  <c r="EZ43" i="2"/>
  <c r="EQ43" i="2"/>
  <c r="ER43" i="2"/>
  <c r="ES43" i="2"/>
  <c r="EV43" i="2"/>
  <c r="EW43" i="2"/>
  <c r="EX43" i="2"/>
  <c r="ET43" i="2"/>
  <c r="EY60" i="2"/>
  <c r="EV52" i="2"/>
  <c r="EP41" i="2"/>
  <c r="ER37" i="2"/>
  <c r="EL63" i="2"/>
  <c r="EN63" i="2"/>
  <c r="EP56" i="2"/>
  <c r="CW54" i="2"/>
  <c r="CY54" i="2"/>
  <c r="EL28" i="2"/>
  <c r="EN28" i="2"/>
  <c r="ET15" i="2"/>
  <c r="DK52" i="2"/>
  <c r="DH52" i="2"/>
  <c r="CW58" i="2"/>
  <c r="CY58" i="2"/>
  <c r="DA58" i="2"/>
  <c r="CE56" i="2"/>
  <c r="CQ56" i="2"/>
  <c r="CW56" i="2"/>
  <c r="CY56" i="2"/>
  <c r="DF56" i="2"/>
  <c r="DA52" i="2"/>
  <c r="CW94" i="2"/>
  <c r="CY94" i="2"/>
  <c r="DH94" i="2"/>
  <c r="DI52" i="2"/>
  <c r="EL34" i="2"/>
  <c r="EN34" i="2"/>
  <c r="DK86" i="2"/>
  <c r="DA86" i="2"/>
  <c r="DD86" i="2"/>
  <c r="DI86" i="2"/>
  <c r="DF86" i="2"/>
  <c r="DG86" i="2"/>
  <c r="DJ86" i="2"/>
  <c r="CI16" i="2"/>
  <c r="CU16" i="2"/>
  <c r="EP15" i="2"/>
  <c r="EL14" i="2"/>
  <c r="EN14" i="2"/>
  <c r="EW35" i="2"/>
  <c r="BY16" i="2"/>
  <c r="CK16" i="2"/>
  <c r="DF101" i="2"/>
  <c r="CM77" i="2"/>
  <c r="CW77" i="2"/>
  <c r="CY77" i="2"/>
  <c r="DH77" i="2"/>
  <c r="CA77" i="2"/>
  <c r="CW115" i="2"/>
  <c r="CY115" i="2"/>
  <c r="DC115" i="2"/>
  <c r="CM24" i="2"/>
  <c r="CW24" i="2"/>
  <c r="CY24" i="2"/>
  <c r="DI24" i="2"/>
  <c r="CA24" i="2"/>
  <c r="DB32" i="2"/>
  <c r="DC50" i="2"/>
  <c r="CM29" i="2"/>
  <c r="CW29" i="2"/>
  <c r="CY29" i="2"/>
  <c r="DF29" i="2"/>
  <c r="CA29" i="2"/>
  <c r="DF31" i="2"/>
  <c r="EU59" i="2"/>
  <c r="EX59" i="2"/>
  <c r="ES50" i="2"/>
  <c r="EV50" i="2"/>
  <c r="EP50" i="2"/>
  <c r="ER36" i="2"/>
  <c r="EX36" i="2"/>
  <c r="EV27" i="2"/>
  <c r="EZ27" i="2"/>
  <c r="ES27" i="2"/>
  <c r="ET27" i="2"/>
  <c r="EH16" i="2"/>
  <c r="EL17" i="2"/>
  <c r="EN17" i="2"/>
  <c r="CM76" i="2"/>
  <c r="CW76" i="2"/>
  <c r="CY76" i="2"/>
  <c r="DK76" i="2"/>
  <c r="CA76" i="2"/>
  <c r="EJ16" i="2"/>
  <c r="CA62" i="2"/>
  <c r="CM62" i="2"/>
  <c r="DB95" i="2"/>
  <c r="DG95" i="2"/>
  <c r="CA21" i="2"/>
  <c r="CM21" i="2"/>
  <c r="CM40" i="2"/>
  <c r="CA40" i="2"/>
  <c r="EL110" i="2"/>
  <c r="EN110" i="2"/>
  <c r="EL106" i="2"/>
  <c r="EN106" i="2"/>
  <c r="EL93" i="2"/>
  <c r="EN93" i="2"/>
  <c r="EP97" i="2"/>
  <c r="ES95" i="2"/>
  <c r="ET95" i="2"/>
  <c r="EY95" i="2"/>
  <c r="EZ95" i="2"/>
  <c r="EX95" i="2"/>
  <c r="EV95" i="2"/>
  <c r="EQ95" i="2"/>
  <c r="EW95" i="2"/>
  <c r="ER95" i="2"/>
  <c r="EU95" i="2"/>
  <c r="ET99" i="2"/>
  <c r="EL90" i="2"/>
  <c r="EN90" i="2"/>
  <c r="ES85" i="2"/>
  <c r="EL83" i="2"/>
  <c r="EN83" i="2"/>
  <c r="EL80" i="2"/>
  <c r="EN80" i="2"/>
  <c r="EL77" i="2"/>
  <c r="EN77" i="2"/>
  <c r="ET78" i="2"/>
  <c r="EZ78" i="2"/>
  <c r="ER78" i="2"/>
  <c r="EP78" i="2"/>
  <c r="ES78" i="2"/>
  <c r="EL74" i="2"/>
  <c r="EN74" i="2"/>
  <c r="EQ78" i="2"/>
  <c r="ET59" i="2"/>
  <c r="EU85" i="2"/>
  <c r="EW59" i="2"/>
  <c r="ES59" i="2"/>
  <c r="EV41" i="2"/>
  <c r="EQ37" i="2"/>
  <c r="EX42" i="2"/>
  <c r="ES52" i="2"/>
  <c r="ER52" i="2"/>
  <c r="EU52" i="2"/>
  <c r="EW41" i="2"/>
  <c r="EW27" i="2"/>
  <c r="ET72" i="2"/>
  <c r="EX37" i="2"/>
  <c r="EU50" i="2"/>
  <c r="ER50" i="2"/>
  <c r="EP27" i="2"/>
  <c r="DA54" i="2"/>
  <c r="CB16" i="2"/>
  <c r="CN16" i="2"/>
  <c r="CW53" i="2"/>
  <c r="CY53" i="2"/>
  <c r="DA68" i="2"/>
  <c r="EW53" i="2"/>
  <c r="DC52" i="2"/>
  <c r="CW66" i="2"/>
  <c r="CY66" i="2"/>
  <c r="DJ66" i="2"/>
  <c r="CR35" i="2"/>
  <c r="CF35" i="2"/>
  <c r="CW70" i="2"/>
  <c r="CY70" i="2"/>
  <c r="DA70" i="2"/>
  <c r="CW73" i="2"/>
  <c r="CY73" i="2"/>
  <c r="DA73" i="2"/>
  <c r="DB94" i="2"/>
  <c r="CA89" i="2"/>
  <c r="CM89" i="2"/>
  <c r="DJ105" i="2"/>
  <c r="DB105" i="2"/>
  <c r="ER30" i="2"/>
  <c r="EX30" i="2"/>
  <c r="EZ30" i="2"/>
  <c r="EP30" i="2"/>
  <c r="ES30" i="2"/>
  <c r="ET30" i="2"/>
  <c r="EV30" i="2"/>
  <c r="EY30" i="2"/>
  <c r="CW43" i="2"/>
  <c r="CY43" i="2"/>
  <c r="DH43" i="2"/>
  <c r="DZ16" i="2"/>
  <c r="CW69" i="2"/>
  <c r="CY69" i="2"/>
  <c r="DJ69" i="2"/>
  <c r="DG94" i="2"/>
  <c r="DB101" i="2"/>
  <c r="DC28" i="2"/>
  <c r="CA33" i="2"/>
  <c r="CM33" i="2"/>
  <c r="CW33" i="2"/>
  <c r="CY33" i="2"/>
  <c r="CW17" i="2"/>
  <c r="CY17" i="2"/>
  <c r="DK17" i="2"/>
  <c r="DC31" i="2"/>
  <c r="DH37" i="2"/>
  <c r="FB37" i="2"/>
  <c r="DF44" i="2"/>
  <c r="CA38" i="2"/>
  <c r="CM38" i="2"/>
  <c r="CW38" i="2"/>
  <c r="CY38" i="2"/>
  <c r="CW39" i="2"/>
  <c r="CY39" i="2"/>
  <c r="DF39" i="2"/>
  <c r="DG37" i="2"/>
  <c r="DH36" i="2"/>
  <c r="EL113" i="2"/>
  <c r="EN113" i="2"/>
  <c r="EL94" i="2"/>
  <c r="EN94" i="2"/>
  <c r="EY97" i="2"/>
  <c r="EY85" i="2"/>
  <c r="ER72" i="2"/>
  <c r="ER89" i="2"/>
  <c r="EX89" i="2"/>
  <c r="EP89" i="2"/>
  <c r="ET89" i="2"/>
  <c r="EZ89" i="2"/>
  <c r="EV89" i="2"/>
  <c r="EV59" i="2"/>
  <c r="EL73" i="2"/>
  <c r="EN73" i="2"/>
  <c r="EU70" i="2"/>
  <c r="EY70" i="2"/>
  <c r="EW72" i="2"/>
  <c r="EL40" i="2"/>
  <c r="EN40" i="2"/>
  <c r="EL54" i="2"/>
  <c r="EN54" i="2"/>
  <c r="ET41" i="2"/>
  <c r="EL61" i="2"/>
  <c r="EN61" i="2"/>
  <c r="EL47" i="2"/>
  <c r="EN47" i="2"/>
  <c r="EX50" i="2"/>
  <c r="CI15" i="2"/>
  <c r="CU15" i="2"/>
  <c r="EU42" i="2"/>
  <c r="ES42" i="2"/>
  <c r="EW42" i="2"/>
  <c r="EY42" i="2"/>
  <c r="EQ42" i="2"/>
  <c r="EV42" i="2"/>
  <c r="EV37" i="2"/>
  <c r="EZ37" i="2"/>
  <c r="EP37" i="2"/>
  <c r="ES37" i="2"/>
  <c r="ET37" i="2"/>
  <c r="CS15" i="2"/>
  <c r="CG15" i="2"/>
  <c r="EL51" i="2"/>
  <c r="EN51" i="2"/>
  <c r="EQ50" i="2"/>
  <c r="EL31" i="2"/>
  <c r="EN31" i="2"/>
  <c r="EY27" i="2"/>
  <c r="EX35" i="2"/>
  <c r="EU35" i="2"/>
  <c r="EZ35" i="2"/>
  <c r="ES35" i="2"/>
  <c r="ER35" i="2"/>
  <c r="EQ35" i="2"/>
  <c r="EV35" i="2"/>
  <c r="EY35" i="2"/>
  <c r="ET35" i="2"/>
  <c r="EC16" i="2"/>
  <c r="FB68" i="2"/>
  <c r="EL22" i="2"/>
  <c r="EN22" i="2"/>
  <c r="DJ53" i="2"/>
  <c r="DE99" i="2"/>
  <c r="DI99" i="2"/>
  <c r="CW67" i="2"/>
  <c r="CY67" i="2"/>
  <c r="DA67" i="2"/>
  <c r="DD74" i="2"/>
  <c r="CA96" i="2"/>
  <c r="CM96" i="2"/>
  <c r="CW96" i="2"/>
  <c r="CY96" i="2"/>
  <c r="EX15" i="2"/>
  <c r="DG68" i="2"/>
  <c r="DD68" i="2"/>
  <c r="CE16" i="2"/>
  <c r="CQ16" i="2"/>
  <c r="DD101" i="2"/>
  <c r="DE101" i="2"/>
  <c r="DA101" i="2"/>
  <c r="DH101" i="2"/>
  <c r="DC101" i="2"/>
  <c r="DJ101" i="2"/>
  <c r="DG101" i="2"/>
  <c r="EL25" i="2"/>
  <c r="EN25" i="2"/>
  <c r="DJ68" i="2"/>
  <c r="CM27" i="2"/>
  <c r="CW27" i="2"/>
  <c r="CY27" i="2"/>
  <c r="CA27" i="2"/>
  <c r="DD37" i="2"/>
  <c r="DH24" i="2"/>
  <c r="DI31" i="2"/>
  <c r="DH31" i="2"/>
  <c r="DJ31" i="2"/>
  <c r="DA31" i="2"/>
  <c r="DE31" i="2"/>
  <c r="DD31" i="2"/>
  <c r="DG31" i="2"/>
  <c r="DC95" i="2"/>
  <c r="DD110" i="2"/>
  <c r="DK110" i="2"/>
  <c r="DG110" i="2"/>
  <c r="DC110" i="2"/>
  <c r="DA110" i="2"/>
  <c r="DB110" i="2"/>
  <c r="DE110" i="2"/>
  <c r="DB31" i="2"/>
  <c r="ER112" i="2"/>
  <c r="EX112" i="2"/>
  <c r="EZ112" i="2"/>
  <c r="ET112" i="2"/>
  <c r="EU99" i="2"/>
  <c r="ES99" i="2"/>
  <c r="EY99" i="2"/>
  <c r="EW99" i="2"/>
  <c r="EQ99" i="2"/>
  <c r="EL101" i="2"/>
  <c r="EN101" i="2"/>
  <c r="EQ97" i="2"/>
  <c r="EZ99" i="2"/>
  <c r="ES97" i="2"/>
  <c r="EQ89" i="2"/>
  <c r="EU98" i="2"/>
  <c r="ES98" i="2"/>
  <c r="EY98" i="2"/>
  <c r="EW112" i="2"/>
  <c r="EU72" i="2"/>
  <c r="EL76" i="2"/>
  <c r="EN76" i="2"/>
  <c r="EU89" i="2"/>
  <c r="EQ72" i="2"/>
  <c r="EW97" i="2"/>
  <c r="ER56" i="2"/>
  <c r="EZ59" i="2"/>
  <c r="EZ41" i="2"/>
  <c r="EQ70" i="2"/>
  <c r="EL69" i="2"/>
  <c r="EN69" i="2"/>
  <c r="ET56" i="2"/>
  <c r="EQ39" i="2"/>
  <c r="EU39" i="2"/>
  <c r="EP39" i="2"/>
  <c r="ES39" i="2"/>
  <c r="EY39" i="2"/>
  <c r="EW50" i="2"/>
  <c r="ET36" i="2"/>
  <c r="ER27" i="2"/>
  <c r="CE15" i="2"/>
  <c r="CQ15" i="2"/>
  <c r="DJ52" i="2"/>
  <c r="DE68" i="2"/>
  <c r="EZ15" i="2"/>
  <c r="EL20" i="2"/>
  <c r="EN20" i="2"/>
  <c r="DC68" i="2"/>
  <c r="CM109" i="2"/>
  <c r="CA109" i="2"/>
  <c r="DJ110" i="2"/>
  <c r="CW104" i="2"/>
  <c r="CY104" i="2"/>
  <c r="DF104" i="2"/>
  <c r="ED16" i="2"/>
  <c r="DD97" i="2"/>
  <c r="DC97" i="2"/>
  <c r="DF97" i="2"/>
  <c r="DB97" i="2"/>
  <c r="DH97" i="2"/>
  <c r="DG97" i="2"/>
  <c r="DI97" i="2"/>
  <c r="DK97" i="2"/>
  <c r="DE97" i="2"/>
  <c r="DJ97" i="2"/>
  <c r="CM63" i="2"/>
  <c r="CW63" i="2"/>
  <c r="CY63" i="2"/>
  <c r="CA63" i="2"/>
  <c r="EF16" i="2"/>
  <c r="DB52" i="2"/>
  <c r="CA80" i="2"/>
  <c r="CM80" i="2"/>
  <c r="CW80" i="2"/>
  <c r="CY80" i="2"/>
  <c r="DG76" i="2"/>
  <c r="DK31" i="2"/>
  <c r="DI110" i="2"/>
  <c r="CW23" i="2"/>
  <c r="CY23" i="2"/>
  <c r="DF23" i="2"/>
  <c r="DB39" i="2"/>
  <c r="DK36" i="2"/>
  <c r="EP112" i="2"/>
  <c r="EL103" i="2"/>
  <c r="EN103" i="2"/>
  <c r="EQ112" i="2"/>
  <c r="EL102" i="2"/>
  <c r="EN102" i="2"/>
  <c r="EY112" i="2"/>
  <c r="ES112" i="2"/>
  <c r="EX97" i="2"/>
  <c r="EQ85" i="2"/>
  <c r="ES89" i="2"/>
  <c r="ES87" i="2"/>
  <c r="EZ87" i="2"/>
  <c r="EV87" i="2"/>
  <c r="EW87" i="2"/>
  <c r="EU87" i="2"/>
  <c r="ER87" i="2"/>
  <c r="EY87" i="2"/>
  <c r="EQ87" i="2"/>
  <c r="ET87" i="2"/>
  <c r="EX87" i="2"/>
  <c r="EW89" i="2"/>
  <c r="ET100" i="2"/>
  <c r="EV100" i="2"/>
  <c r="EU100" i="2"/>
  <c r="EY100" i="2"/>
  <c r="EZ100" i="2"/>
  <c r="ES100" i="2"/>
  <c r="EX100" i="2"/>
  <c r="ER100" i="2"/>
  <c r="EQ100" i="2"/>
  <c r="EW100" i="2"/>
  <c r="EX72" i="2"/>
  <c r="EL79" i="2"/>
  <c r="EN79" i="2"/>
  <c r="ET70" i="2"/>
  <c r="EL66" i="2"/>
  <c r="EN66" i="2"/>
  <c r="EL81" i="2"/>
  <c r="EN81" i="2"/>
  <c r="EU56" i="2"/>
  <c r="EL44" i="2"/>
  <c r="EN44" i="2"/>
  <c r="EZ42" i="2"/>
  <c r="EL92" i="2"/>
  <c r="EN92" i="2"/>
  <c r="ER70" i="2"/>
  <c r="EZ56" i="2"/>
  <c r="EL38" i="2"/>
  <c r="EN38" i="2"/>
  <c r="EW48" i="2"/>
  <c r="ER48" i="2"/>
  <c r="EV48" i="2"/>
  <c r="ET50" i="2"/>
  <c r="EW46" i="2"/>
  <c r="EQ46" i="2"/>
  <c r="EV46" i="2"/>
  <c r="EY46" i="2"/>
  <c r="ES46" i="2"/>
  <c r="EX41" i="2"/>
  <c r="EU27" i="2"/>
  <c r="ER60" i="2"/>
  <c r="EX70" i="2"/>
  <c r="ER41" i="2"/>
  <c r="CS16" i="2"/>
  <c r="CG16" i="2"/>
  <c r="EV56" i="2"/>
  <c r="EQ18" i="2"/>
  <c r="EW18" i="2"/>
  <c r="EU18" i="2"/>
  <c r="ES18" i="2"/>
  <c r="EY18" i="2"/>
  <c r="EP18" i="2"/>
  <c r="CA82" i="2"/>
  <c r="CM82" i="2"/>
  <c r="CW82" i="2"/>
  <c r="CY82" i="2"/>
  <c r="DK82" i="2"/>
  <c r="CW89" i="2"/>
  <c r="CY89" i="2"/>
  <c r="CA79" i="2"/>
  <c r="CM79" i="2"/>
  <c r="DI68" i="2"/>
  <c r="CC16" i="2"/>
  <c r="CO16" i="2"/>
  <c r="DI101" i="2"/>
  <c r="CW35" i="2"/>
  <c r="CY35" i="2"/>
  <c r="DK35" i="2"/>
  <c r="CW93" i="2"/>
  <c r="CY93" i="2"/>
  <c r="DH93" i="2"/>
  <c r="DB86" i="2"/>
  <c r="DF105" i="2"/>
  <c r="DF37" i="2"/>
  <c r="DC86" i="2"/>
  <c r="CM47" i="2"/>
  <c r="CW47" i="2"/>
  <c r="CY47" i="2"/>
  <c r="CA47" i="2"/>
  <c r="CW18" i="2"/>
  <c r="CY18" i="2"/>
  <c r="DE18" i="2"/>
  <c r="DH110" i="2"/>
  <c r="CA26" i="2"/>
  <c r="CM26" i="2"/>
  <c r="CA30" i="2"/>
  <c r="CM30" i="2"/>
  <c r="DC39" i="2"/>
  <c r="CV39" i="3"/>
  <c r="CW39" i="3"/>
  <c r="CV23" i="3"/>
  <c r="CW23" i="3"/>
  <c r="EI39" i="3"/>
  <c r="EJ39" i="3"/>
  <c r="EV39" i="3"/>
  <c r="CV20" i="3"/>
  <c r="CW20" i="3"/>
  <c r="DH20" i="3"/>
  <c r="EM20" i="3"/>
  <c r="EI28" i="3"/>
  <c r="EJ28" i="3"/>
  <c r="EQ28" i="3"/>
  <c r="ET20" i="3"/>
  <c r="EI34" i="3"/>
  <c r="EJ34" i="3"/>
  <c r="EQ34" i="3"/>
  <c r="EN20" i="3"/>
  <c r="CV36" i="3"/>
  <c r="CW36" i="3"/>
  <c r="DF36" i="3"/>
  <c r="EI22" i="3"/>
  <c r="EJ22" i="3"/>
  <c r="CV32" i="3"/>
  <c r="CW32" i="3"/>
  <c r="DF32" i="3"/>
  <c r="EI19" i="3"/>
  <c r="EJ19" i="3"/>
  <c r="ER19" i="3"/>
  <c r="CB15" i="1"/>
  <c r="CO24" i="1"/>
  <c r="CC24" i="1"/>
  <c r="CF32" i="1"/>
  <c r="CF15" i="1"/>
  <c r="BY22" i="1"/>
  <c r="CA30" i="1"/>
  <c r="CK30" i="1"/>
  <c r="CK16" i="1"/>
  <c r="CA16" i="1"/>
  <c r="CH35" i="1"/>
  <c r="CF25" i="1"/>
  <c r="CN24" i="1"/>
  <c r="CB24" i="1"/>
  <c r="CD28" i="1"/>
  <c r="CB35" i="1"/>
  <c r="CS31" i="1"/>
  <c r="CP17" i="1"/>
  <c r="BY37" i="1"/>
  <c r="CA39" i="1"/>
  <c r="CB22" i="1"/>
  <c r="CB25" i="1"/>
  <c r="CH38" i="1"/>
  <c r="CB17" i="1"/>
  <c r="CM22" i="1"/>
  <c r="CK38" i="1"/>
  <c r="CA35" i="1"/>
  <c r="CN38" i="1"/>
  <c r="CD22" i="1"/>
  <c r="CB30" i="1"/>
  <c r="CS24" i="1"/>
  <c r="CH25" i="1"/>
  <c r="CE16" i="1"/>
  <c r="CB34" i="1"/>
  <c r="CI18" i="1"/>
  <c r="CC20" i="1"/>
  <c r="CA33" i="1"/>
  <c r="CD39" i="1"/>
  <c r="CB19" i="1"/>
  <c r="CP21" i="1"/>
  <c r="CR31" i="1"/>
  <c r="CU21" i="1"/>
  <c r="CI21" i="1"/>
  <c r="CR30" i="1"/>
  <c r="CU34" i="1"/>
  <c r="CD16" i="1"/>
  <c r="CP16" i="1"/>
  <c r="CP23" i="1"/>
  <c r="CD23" i="1"/>
  <c r="CL30" i="1"/>
  <c r="BZ30" i="1"/>
  <c r="CK36" i="1"/>
  <c r="CI24" i="1"/>
  <c r="CU24" i="1"/>
  <c r="CC33" i="1"/>
  <c r="CO33" i="1"/>
  <c r="CN18" i="1"/>
  <c r="CB18" i="1"/>
  <c r="CT28" i="1"/>
  <c r="CL29" i="1"/>
  <c r="BZ29" i="1"/>
  <c r="CN21" i="1"/>
  <c r="CB21" i="1"/>
  <c r="CN31" i="1"/>
  <c r="CB31" i="1"/>
  <c r="CD18" i="1"/>
  <c r="CP18" i="1"/>
  <c r="CO32" i="1"/>
  <c r="CC32" i="1"/>
  <c r="CU35" i="1"/>
  <c r="CV35" i="1"/>
  <c r="CW35" i="1"/>
  <c r="CE18" i="1"/>
  <c r="CO34" i="1"/>
  <c r="CQ29" i="1"/>
  <c r="CE29" i="1"/>
  <c r="CT32" i="1"/>
  <c r="CH32" i="1"/>
  <c r="CB39" i="1"/>
  <c r="CU32" i="1"/>
  <c r="CD35" i="1"/>
  <c r="CL38" i="1"/>
  <c r="BZ38" i="1"/>
  <c r="CO28" i="1"/>
  <c r="CC28" i="1"/>
  <c r="CI33" i="1"/>
  <c r="CU33" i="1"/>
  <c r="CQ20" i="1"/>
  <c r="CE20" i="1"/>
  <c r="CC39" i="1"/>
  <c r="CO39" i="1"/>
  <c r="CU36" i="1"/>
  <c r="CU37" i="1"/>
  <c r="CA14" i="1"/>
  <c r="CL36" i="1"/>
  <c r="BZ36" i="1"/>
  <c r="CC15" i="1"/>
  <c r="CO15" i="1"/>
  <c r="CS39" i="1"/>
  <c r="CG39" i="1"/>
  <c r="CK29" i="1"/>
  <c r="BY29" i="1"/>
  <c r="CF28" i="1"/>
  <c r="CR28" i="1"/>
  <c r="CI31" i="1"/>
  <c r="CA23" i="1"/>
  <c r="CK15" i="1"/>
  <c r="BY15" i="1"/>
  <c r="EI39" i="1"/>
  <c r="EJ39" i="1"/>
  <c r="ES39" i="1"/>
  <c r="EI33" i="1"/>
  <c r="EJ33" i="1"/>
  <c r="EO33" i="1"/>
  <c r="CT23" i="1"/>
  <c r="CH23" i="1"/>
  <c r="CP19" i="1"/>
  <c r="CD19" i="1"/>
  <c r="EI28" i="1"/>
  <c r="EJ28" i="1"/>
  <c r="EN28" i="1"/>
  <c r="EI14" i="1"/>
  <c r="EJ14" i="1"/>
  <c r="EV14" i="1"/>
  <c r="CO31" i="1"/>
  <c r="CC31" i="1"/>
  <c r="CK24" i="1"/>
  <c r="BY24" i="1"/>
  <c r="CQ30" i="1"/>
  <c r="CE30" i="1"/>
  <c r="CT14" i="1"/>
  <c r="CH14" i="1"/>
  <c r="BZ20" i="1"/>
  <c r="CL20" i="1"/>
  <c r="CM19" i="1"/>
  <c r="CA19" i="1"/>
  <c r="BZ24" i="1"/>
  <c r="CL24" i="1"/>
  <c r="CG33" i="1"/>
  <c r="CS33" i="1"/>
  <c r="CD20" i="1"/>
  <c r="CP20" i="1"/>
  <c r="EI35" i="1"/>
  <c r="EJ35" i="1"/>
  <c r="EQ35" i="1"/>
  <c r="EI25" i="1"/>
  <c r="EJ25" i="1"/>
  <c r="ET25" i="1"/>
  <c r="CP37" i="1"/>
  <c r="CD37" i="1"/>
  <c r="CG28" i="1"/>
  <c r="CS28" i="1"/>
  <c r="CH20" i="1"/>
  <c r="CT20" i="1"/>
  <c r="CQ24" i="1"/>
  <c r="CE24" i="1"/>
  <c r="CN23" i="1"/>
  <c r="CB23" i="1"/>
  <c r="EI30" i="1"/>
  <c r="EJ30" i="1"/>
  <c r="EQ30" i="1"/>
  <c r="CA15" i="1"/>
  <c r="CU29" i="1"/>
  <c r="CE32" i="1"/>
  <c r="CF18" i="1"/>
  <c r="CA36" i="1"/>
  <c r="CM36" i="1"/>
  <c r="BZ32" i="1"/>
  <c r="CL32" i="1"/>
  <c r="CA32" i="1"/>
  <c r="CM32" i="1"/>
  <c r="BZ25" i="1"/>
  <c r="CL25" i="1"/>
  <c r="CV25" i="1"/>
  <c r="CW25" i="1"/>
  <c r="CO38" i="1"/>
  <c r="CC38" i="1"/>
  <c r="CR16" i="1"/>
  <c r="CF16" i="1"/>
  <c r="CS14" i="1"/>
  <c r="CG14" i="1"/>
  <c r="CG17" i="1"/>
  <c r="CS17" i="1"/>
  <c r="CH29" i="1"/>
  <c r="CT29" i="1"/>
  <c r="CM18" i="1"/>
  <c r="CO23" i="1"/>
  <c r="CC23" i="1"/>
  <c r="CQ37" i="1"/>
  <c r="CE37" i="1"/>
  <c r="BY31" i="1"/>
  <c r="CK31" i="1"/>
  <c r="CM37" i="1"/>
  <c r="CA37" i="1"/>
  <c r="EO14" i="1"/>
  <c r="ES14" i="1"/>
  <c r="EU35" i="1"/>
  <c r="CT31" i="1"/>
  <c r="CH31" i="1"/>
  <c r="DY19" i="1"/>
  <c r="EI36" i="1"/>
  <c r="EJ36" i="1"/>
  <c r="BZ17" i="1"/>
  <c r="CL17" i="1"/>
  <c r="CT34" i="1"/>
  <c r="CH34" i="1"/>
  <c r="CH22" i="1"/>
  <c r="CT22" i="1"/>
  <c r="CV22" i="1"/>
  <c r="CW22" i="1"/>
  <c r="CD31" i="1"/>
  <c r="CP31" i="1"/>
  <c r="EF29" i="1"/>
  <c r="EV28" i="1"/>
  <c r="CT37" i="1"/>
  <c r="CH37" i="1"/>
  <c r="EG31" i="1"/>
  <c r="CQ38" i="1"/>
  <c r="CE38" i="1"/>
  <c r="DY17" i="1"/>
  <c r="EG34" i="1"/>
  <c r="EG22" i="1"/>
  <c r="EI22" i="1"/>
  <c r="EJ22" i="1"/>
  <c r="CR17" i="1"/>
  <c r="CF17" i="1"/>
  <c r="EC31" i="1"/>
  <c r="DY18" i="1"/>
  <c r="CI38" i="1"/>
  <c r="CU38" i="1"/>
  <c r="ES28" i="1"/>
  <c r="BZ16" i="1"/>
  <c r="CL16" i="1"/>
  <c r="EG37" i="1"/>
  <c r="ED38" i="1"/>
  <c r="EB29" i="1"/>
  <c r="EI21" i="1"/>
  <c r="EJ21" i="1"/>
  <c r="EE17" i="1"/>
  <c r="EH38" i="1"/>
  <c r="EI32" i="1"/>
  <c r="EJ32" i="1"/>
  <c r="DY16" i="1"/>
  <c r="CL37" i="1"/>
  <c r="BZ37" i="1"/>
  <c r="CC29" i="1"/>
  <c r="CO29" i="1"/>
  <c r="CH19" i="1"/>
  <c r="CT19" i="1"/>
  <c r="EI24" i="1"/>
  <c r="EJ24" i="1"/>
  <c r="CL31" i="1"/>
  <c r="BZ31" i="1"/>
  <c r="CB20" i="1"/>
  <c r="CN20" i="1"/>
  <c r="EV35" i="1"/>
  <c r="CL34" i="1"/>
  <c r="BZ34" i="1"/>
  <c r="CH18" i="1"/>
  <c r="CT18" i="1"/>
  <c r="CL15" i="1"/>
  <c r="BZ15" i="1"/>
  <c r="DY37" i="1"/>
  <c r="EG19" i="1"/>
  <c r="EB17" i="1"/>
  <c r="CO14" i="1"/>
  <c r="CC14" i="1"/>
  <c r="CN16" i="1"/>
  <c r="CB16" i="1"/>
  <c r="EH17" i="1"/>
  <c r="DY31" i="1"/>
  <c r="EA20" i="1"/>
  <c r="EI20" i="1"/>
  <c r="EJ20" i="1"/>
  <c r="EO20" i="1"/>
  <c r="DY34" i="1"/>
  <c r="EG18" i="1"/>
  <c r="DY15" i="1"/>
  <c r="EI15" i="1"/>
  <c r="EJ15" i="1"/>
  <c r="CL19" i="1"/>
  <c r="BZ19" i="1"/>
  <c r="EI23" i="1"/>
  <c r="EJ23" i="1"/>
  <c r="CM38" i="1"/>
  <c r="CA38" i="1"/>
  <c r="EA16" i="1"/>
  <c r="CZ32" i="3"/>
  <c r="CV38" i="3"/>
  <c r="CW38" i="3"/>
  <c r="DF38" i="3"/>
  <c r="EI21" i="3"/>
  <c r="EJ21" i="3"/>
  <c r="EP21" i="3"/>
  <c r="EI29" i="3"/>
  <c r="EJ29" i="3"/>
  <c r="EM29" i="3"/>
  <c r="CV16" i="3"/>
  <c r="CW16" i="3"/>
  <c r="DC16" i="3"/>
  <c r="DF28" i="3"/>
  <c r="EV20" i="3"/>
  <c r="EU20" i="3"/>
  <c r="EL19" i="3"/>
  <c r="EI16" i="3"/>
  <c r="EJ16" i="3"/>
  <c r="EL16" i="3"/>
  <c r="EI24" i="3"/>
  <c r="EJ24" i="3"/>
  <c r="EU24" i="3"/>
  <c r="EO20" i="3"/>
  <c r="EP20" i="3"/>
  <c r="CV17" i="3"/>
  <c r="CW17" i="3"/>
  <c r="DD17" i="3"/>
  <c r="EL20" i="3"/>
  <c r="EI17" i="3"/>
  <c r="EJ17" i="3"/>
  <c r="ES17" i="3"/>
  <c r="CV14" i="3"/>
  <c r="CW14" i="3"/>
  <c r="DH14" i="3"/>
  <c r="CV30" i="3"/>
  <c r="CW30" i="3"/>
  <c r="CZ30" i="3"/>
  <c r="DH28" i="3"/>
  <c r="CY28" i="3"/>
  <c r="ES20" i="3"/>
  <c r="CV21" i="3"/>
  <c r="CW21" i="3"/>
  <c r="DE21" i="3"/>
  <c r="DB20" i="3"/>
  <c r="DG20" i="3"/>
  <c r="CY20" i="3"/>
  <c r="DF18" i="3"/>
  <c r="CY14" i="3"/>
  <c r="DF39" i="3"/>
  <c r="DC39" i="3"/>
  <c r="DB39" i="3"/>
  <c r="DG39" i="3"/>
  <c r="DI39" i="3"/>
  <c r="CZ39" i="3"/>
  <c r="CY39" i="3"/>
  <c r="DH39" i="3"/>
  <c r="ER34" i="3"/>
  <c r="EO34" i="3"/>
  <c r="DC23" i="3"/>
  <c r="DE23" i="3"/>
  <c r="DD23" i="3"/>
  <c r="DI23" i="3"/>
  <c r="DG23" i="3"/>
  <c r="DA23" i="3"/>
  <c r="DH23" i="3"/>
  <c r="CY23" i="3"/>
  <c r="DB23" i="3"/>
  <c r="CZ23" i="3"/>
  <c r="DI36" i="3"/>
  <c r="DB36" i="3"/>
  <c r="CY36" i="3"/>
  <c r="DE19" i="3"/>
  <c r="DH19" i="3"/>
  <c r="DF19" i="3"/>
  <c r="DG19" i="3"/>
  <c r="DB19" i="3"/>
  <c r="DC19" i="3"/>
  <c r="CZ19" i="3"/>
  <c r="DD19" i="3"/>
  <c r="DI19" i="3"/>
  <c r="CY19" i="3"/>
  <c r="CZ38" i="3"/>
  <c r="DB38" i="3"/>
  <c r="ES21" i="3"/>
  <c r="ET21" i="3"/>
  <c r="DI16" i="3"/>
  <c r="DH16" i="3"/>
  <c r="CZ16" i="3"/>
  <c r="ET22" i="3"/>
  <c r="EM22" i="3"/>
  <c r="ES22" i="3"/>
  <c r="ER22" i="3"/>
  <c r="EV22" i="3"/>
  <c r="EN22" i="3"/>
  <c r="EL22" i="3"/>
  <c r="EP22" i="3"/>
  <c r="EO22" i="3"/>
  <c r="EU22" i="3"/>
  <c r="EQ22" i="3"/>
  <c r="EV30" i="3"/>
  <c r="EP30" i="3"/>
  <c r="EO30" i="3"/>
  <c r="EQ30" i="3"/>
  <c r="ET30" i="3"/>
  <c r="EN30" i="3"/>
  <c r="EU30" i="3"/>
  <c r="EM30" i="3"/>
  <c r="EL30" i="3"/>
  <c r="ES30" i="3"/>
  <c r="ER30" i="3"/>
  <c r="EU16" i="3"/>
  <c r="EM16" i="3"/>
  <c r="EQ17" i="3"/>
  <c r="DE36" i="3"/>
  <c r="DE32" i="3"/>
  <c r="CV22" i="3"/>
  <c r="CW22" i="3"/>
  <c r="CZ22" i="3"/>
  <c r="DE30" i="3"/>
  <c r="EI25" i="3"/>
  <c r="EJ25" i="3"/>
  <c r="CZ28" i="3"/>
  <c r="DG16" i="3"/>
  <c r="EI33" i="3"/>
  <c r="EJ33" i="3"/>
  <c r="CV29" i="3"/>
  <c r="CW29" i="3"/>
  <c r="DB29" i="3"/>
  <c r="EL24" i="3"/>
  <c r="DG36" i="3"/>
  <c r="DB30" i="3"/>
  <c r="DD30" i="3"/>
  <c r="CV35" i="3"/>
  <c r="CW35" i="3"/>
  <c r="DD18" i="3"/>
  <c r="CV37" i="3"/>
  <c r="CW37" i="3"/>
  <c r="DC37" i="3"/>
  <c r="DA19" i="3"/>
  <c r="DC20" i="3"/>
  <c r="CZ20" i="3"/>
  <c r="DD20" i="3"/>
  <c r="DF20" i="3"/>
  <c r="DE20" i="3"/>
  <c r="DI20" i="3"/>
  <c r="DG30" i="3"/>
  <c r="EI37" i="3"/>
  <c r="EJ37" i="3"/>
  <c r="CV33" i="3"/>
  <c r="CW33" i="3"/>
  <c r="DF33" i="3"/>
  <c r="DE18" i="3"/>
  <c r="EM39" i="3"/>
  <c r="ES39" i="3"/>
  <c r="EN39" i="3"/>
  <c r="ET39" i="3"/>
  <c r="EL39" i="3"/>
  <c r="EU39" i="3"/>
  <c r="EO39" i="3"/>
  <c r="EP39" i="3"/>
  <c r="DD36" i="3"/>
  <c r="EI15" i="3"/>
  <c r="EJ15" i="3"/>
  <c r="EI14" i="3"/>
  <c r="EJ14" i="3"/>
  <c r="DI28" i="3"/>
  <c r="DC28" i="3"/>
  <c r="DD28" i="3"/>
  <c r="DA28" i="3"/>
  <c r="DG28" i="3"/>
  <c r="DE28" i="3"/>
  <c r="CV25" i="3"/>
  <c r="CW25" i="3"/>
  <c r="DD25" i="3"/>
  <c r="CV34" i="3"/>
  <c r="CW34" i="3"/>
  <c r="DG34" i="3"/>
  <c r="DE39" i="3"/>
  <c r="DJ39" i="3"/>
  <c r="CY18" i="3"/>
  <c r="EI35" i="3"/>
  <c r="EJ35" i="3"/>
  <c r="EQ39" i="3"/>
  <c r="DF23" i="3"/>
  <c r="CV15" i="3"/>
  <c r="CW15" i="3"/>
  <c r="CY15" i="3"/>
  <c r="DD39" i="3"/>
  <c r="EI31" i="3"/>
  <c r="EJ31" i="3"/>
  <c r="DA20" i="3"/>
  <c r="EI38" i="3"/>
  <c r="EJ38" i="3"/>
  <c r="ER36" i="3"/>
  <c r="EP36" i="3"/>
  <c r="EV36" i="3"/>
  <c r="EL36" i="3"/>
  <c r="ES36" i="3"/>
  <c r="EO36" i="3"/>
  <c r="EN36" i="3"/>
  <c r="EU36" i="3"/>
  <c r="EM36" i="3"/>
  <c r="EQ36" i="3"/>
  <c r="EU19" i="3"/>
  <c r="EQ19" i="3"/>
  <c r="EO19" i="3"/>
  <c r="EV19" i="3"/>
  <c r="EM19" i="3"/>
  <c r="ET36" i="3"/>
  <c r="EI18" i="3"/>
  <c r="EJ18" i="3"/>
  <c r="EI32" i="3"/>
  <c r="EJ32" i="3"/>
  <c r="CV24" i="3"/>
  <c r="CW24" i="3"/>
  <c r="DB24" i="3"/>
  <c r="ER39" i="3"/>
  <c r="DD14" i="3"/>
  <c r="EP23" i="3"/>
  <c r="ES23" i="3"/>
  <c r="EL23" i="3"/>
  <c r="EM23" i="3"/>
  <c r="ER23" i="3"/>
  <c r="EV23" i="3"/>
  <c r="EO23" i="3"/>
  <c r="EN23" i="3"/>
  <c r="EU23" i="3"/>
  <c r="ET23" i="3"/>
  <c r="ER28" i="3"/>
  <c r="DA18" i="3"/>
  <c r="DG18" i="3"/>
  <c r="DH18" i="3"/>
  <c r="DC18" i="3"/>
  <c r="DI18" i="3"/>
  <c r="DB18" i="3"/>
  <c r="DA39" i="3"/>
  <c r="CV31" i="3"/>
  <c r="CW31" i="3"/>
  <c r="DH78" i="2"/>
  <c r="FB78" i="2"/>
  <c r="DK78" i="2"/>
  <c r="DD98" i="2"/>
  <c r="DK98" i="2"/>
  <c r="DC98" i="2"/>
  <c r="DA98" i="2"/>
  <c r="DI98" i="2"/>
  <c r="DE98" i="2"/>
  <c r="DB98" i="2"/>
  <c r="DG98" i="2"/>
  <c r="DH98" i="2"/>
  <c r="DF98" i="2"/>
  <c r="DJ98" i="2"/>
  <c r="DK91" i="2"/>
  <c r="DI91" i="2"/>
  <c r="DJ91" i="2"/>
  <c r="DG91" i="2"/>
  <c r="DL91" i="2"/>
  <c r="FG91" i="2"/>
  <c r="AL91" i="2"/>
  <c r="AI91" i="2"/>
  <c r="AJ91" i="2"/>
  <c r="DC91" i="2"/>
  <c r="DE91" i="2"/>
  <c r="DH91" i="2"/>
  <c r="DD91" i="2"/>
  <c r="DA91" i="2"/>
  <c r="DF91" i="2"/>
  <c r="DB91" i="2"/>
  <c r="DB57" i="2"/>
  <c r="DA57" i="2"/>
  <c r="DC57" i="2"/>
  <c r="DF57" i="2"/>
  <c r="DH46" i="2"/>
  <c r="FB46" i="2"/>
  <c r="DE85" i="2"/>
  <c r="DG85" i="2"/>
  <c r="DJ85" i="2"/>
  <c r="DH85" i="2"/>
  <c r="FB85" i="2"/>
  <c r="DI85" i="2"/>
  <c r="DF85" i="2"/>
  <c r="DD85" i="2"/>
  <c r="DB85" i="2"/>
  <c r="DC85" i="2"/>
  <c r="DA85" i="2"/>
  <c r="DK85" i="2"/>
  <c r="DB103" i="2"/>
  <c r="DA103" i="2"/>
  <c r="DG103" i="2"/>
  <c r="DH103" i="2"/>
  <c r="DI103" i="2"/>
  <c r="DD103" i="2"/>
  <c r="DJ103" i="2"/>
  <c r="DE103" i="2"/>
  <c r="DF103" i="2"/>
  <c r="DC103" i="2"/>
  <c r="DK103" i="2"/>
  <c r="DJ113" i="2"/>
  <c r="DE113" i="2"/>
  <c r="DL113" i="2"/>
  <c r="FG113" i="2"/>
  <c r="AL113" i="2"/>
  <c r="AI113" i="2"/>
  <c r="AJ113" i="2"/>
  <c r="DH113" i="2"/>
  <c r="FB113" i="2"/>
  <c r="DF113" i="2"/>
  <c r="DC113" i="2"/>
  <c r="DG113" i="2"/>
  <c r="DD113" i="2"/>
  <c r="DB113" i="2"/>
  <c r="DI113" i="2"/>
  <c r="DA113" i="2"/>
  <c r="DK113" i="2"/>
  <c r="DK75" i="2"/>
  <c r="DE75" i="2"/>
  <c r="DA75" i="2"/>
  <c r="DG75" i="2"/>
  <c r="DL75" i="2"/>
  <c r="FG75" i="2"/>
  <c r="AL75" i="2"/>
  <c r="AI75" i="2"/>
  <c r="AJ75" i="2"/>
  <c r="DB75" i="2"/>
  <c r="DH75" i="2"/>
  <c r="DI75" i="2"/>
  <c r="DC75" i="2"/>
  <c r="DD75" i="2"/>
  <c r="DF75" i="2"/>
  <c r="DJ75" i="2"/>
  <c r="DI114" i="2"/>
  <c r="DC114" i="2"/>
  <c r="DG114" i="2"/>
  <c r="DF114" i="2"/>
  <c r="DD114" i="2"/>
  <c r="DK114" i="2"/>
  <c r="DA114" i="2"/>
  <c r="DJ114" i="2"/>
  <c r="DE114" i="2"/>
  <c r="DL114" i="2"/>
  <c r="FG114" i="2"/>
  <c r="AL114" i="2"/>
  <c r="AI114" i="2"/>
  <c r="AJ114" i="2"/>
  <c r="DB72" i="2"/>
  <c r="DJ72" i="2"/>
  <c r="DA72" i="2"/>
  <c r="DB84" i="2"/>
  <c r="DG84" i="2"/>
  <c r="DF84" i="2"/>
  <c r="DE84" i="2"/>
  <c r="DL84" i="2"/>
  <c r="FG84" i="2"/>
  <c r="AL84" i="2"/>
  <c r="AI84" i="2"/>
  <c r="AJ84" i="2"/>
  <c r="DC84" i="2"/>
  <c r="DK84" i="2"/>
  <c r="DD84" i="2"/>
  <c r="DJ84" i="2"/>
  <c r="DH84" i="2"/>
  <c r="DA84" i="2"/>
  <c r="DI84" i="2"/>
  <c r="DH114" i="2"/>
  <c r="CW26" i="2"/>
  <c r="CY26" i="2"/>
  <c r="DI26" i="2"/>
  <c r="DE17" i="2"/>
  <c r="ET48" i="2"/>
  <c r="EY48" i="2"/>
  <c r="DH34" i="2"/>
  <c r="DD60" i="2"/>
  <c r="DH99" i="2"/>
  <c r="DK105" i="2"/>
  <c r="DA74" i="2"/>
  <c r="EQ36" i="2"/>
  <c r="DK95" i="2"/>
  <c r="DA95" i="2"/>
  <c r="EV36" i="2"/>
  <c r="DG105" i="2"/>
  <c r="EW33" i="2"/>
  <c r="ET33" i="2"/>
  <c r="DG60" i="2"/>
  <c r="DL60" i="2"/>
  <c r="FG60" i="2"/>
  <c r="EQ88" i="2"/>
  <c r="EP88" i="2"/>
  <c r="EW45" i="2"/>
  <c r="ER45" i="2"/>
  <c r="DF51" i="2"/>
  <c r="DH102" i="2"/>
  <c r="DB102" i="2"/>
  <c r="ET29" i="2"/>
  <c r="EQ29" i="2"/>
  <c r="ES67" i="2"/>
  <c r="EX67" i="2"/>
  <c r="CW42" i="2"/>
  <c r="CY42" i="2"/>
  <c r="DD42" i="2"/>
  <c r="DI92" i="2"/>
  <c r="DE59" i="2"/>
  <c r="DI59" i="2"/>
  <c r="DC59" i="2"/>
  <c r="DA59" i="2"/>
  <c r="DH59" i="2"/>
  <c r="FB59" i="2"/>
  <c r="DF60" i="2"/>
  <c r="EY45" i="2"/>
  <c r="DF58" i="2"/>
  <c r="ES48" i="2"/>
  <c r="EU48" i="2"/>
  <c r="DG83" i="2"/>
  <c r="DL83" i="2"/>
  <c r="FG83" i="2"/>
  <c r="AL83" i="2"/>
  <c r="AI83" i="2"/>
  <c r="AJ83" i="2"/>
  <c r="CW109" i="2"/>
  <c r="CY109" i="2"/>
  <c r="DE28" i="2"/>
  <c r="DF95" i="2"/>
  <c r="DJ99" i="2"/>
  <c r="DG99" i="2"/>
  <c r="DL99" i="2"/>
  <c r="FG99" i="2"/>
  <c r="AL99" i="2"/>
  <c r="AI99" i="2"/>
  <c r="AJ99" i="2"/>
  <c r="DJ59" i="2"/>
  <c r="DC105" i="2"/>
  <c r="DE102" i="2"/>
  <c r="DI95" i="2"/>
  <c r="EP36" i="2"/>
  <c r="DB74" i="2"/>
  <c r="DF59" i="2"/>
  <c r="EP32" i="2"/>
  <c r="DF32" i="2"/>
  <c r="DJ83" i="2"/>
  <c r="EU33" i="2"/>
  <c r="ER33" i="2"/>
  <c r="DH60" i="2"/>
  <c r="DE60" i="2"/>
  <c r="EW88" i="2"/>
  <c r="ER88" i="2"/>
  <c r="EV45" i="2"/>
  <c r="DH51" i="2"/>
  <c r="DJ51" i="2"/>
  <c r="DJ102" i="2"/>
  <c r="EY29" i="2"/>
  <c r="ER29" i="2"/>
  <c r="EV67" i="2"/>
  <c r="DE52" i="2"/>
  <c r="DL52" i="2"/>
  <c r="FG52" i="2"/>
  <c r="CW25" i="2"/>
  <c r="CY25" i="2"/>
  <c r="CW46" i="2"/>
  <c r="CY46" i="2"/>
  <c r="DB114" i="2"/>
  <c r="DC109" i="2"/>
  <c r="ET45" i="2"/>
  <c r="EP67" i="2"/>
  <c r="ER67" i="2"/>
  <c r="DC23" i="2"/>
  <c r="DD51" i="2"/>
  <c r="DA99" i="2"/>
  <c r="CW79" i="2"/>
  <c r="CY79" i="2"/>
  <c r="DE79" i="2"/>
  <c r="EX48" i="2"/>
  <c r="EZ48" i="2"/>
  <c r="DI74" i="2"/>
  <c r="EZ36" i="2"/>
  <c r="DC51" i="2"/>
  <c r="DG74" i="2"/>
  <c r="DD99" i="2"/>
  <c r="DK99" i="2"/>
  <c r="DC43" i="2"/>
  <c r="EW36" i="2"/>
  <c r="DI28" i="2"/>
  <c r="DD105" i="2"/>
  <c r="DB99" i="2"/>
  <c r="DB28" i="2"/>
  <c r="DJ95" i="2"/>
  <c r="DD102" i="2"/>
  <c r="DB59" i="2"/>
  <c r="ES32" i="2"/>
  <c r="DB83" i="2"/>
  <c r="EP33" i="2"/>
  <c r="DD49" i="2"/>
  <c r="DB60" i="2"/>
  <c r="DI60" i="2"/>
  <c r="ES88" i="2"/>
  <c r="EV96" i="2"/>
  <c r="EZ45" i="2"/>
  <c r="EU45" i="2"/>
  <c r="DE51" i="2"/>
  <c r="DA51" i="2"/>
  <c r="DF102" i="2"/>
  <c r="ES29" i="2"/>
  <c r="ET67" i="2"/>
  <c r="EW67" i="2"/>
  <c r="CW45" i="2"/>
  <c r="CY45" i="2"/>
  <c r="CW61" i="2"/>
  <c r="CY61" i="2"/>
  <c r="DK61" i="2"/>
  <c r="CW30" i="2"/>
  <c r="CY30" i="2"/>
  <c r="DB30" i="2"/>
  <c r="DD95" i="2"/>
  <c r="DF74" i="2"/>
  <c r="EQ48" i="2"/>
  <c r="DE49" i="2"/>
  <c r="FB24" i="2"/>
  <c r="FD24" i="2"/>
  <c r="DH95" i="2"/>
  <c r="FB95" i="2"/>
  <c r="FD95" i="2"/>
  <c r="DJ74" i="2"/>
  <c r="DF99" i="2"/>
  <c r="EU36" i="2"/>
  <c r="DC60" i="2"/>
  <c r="CW40" i="2"/>
  <c r="CY40" i="2"/>
  <c r="DE40" i="2"/>
  <c r="DC29" i="2"/>
  <c r="DH74" i="2"/>
  <c r="DC32" i="2"/>
  <c r="DC34" i="2"/>
  <c r="EW32" i="2"/>
  <c r="DA28" i="2"/>
  <c r="EY33" i="2"/>
  <c r="DF49" i="2"/>
  <c r="DJ60" i="2"/>
  <c r="ET88" i="2"/>
  <c r="DD34" i="2"/>
  <c r="EP45" i="2"/>
  <c r="DG51" i="2"/>
  <c r="DL51" i="2"/>
  <c r="FG51" i="2"/>
  <c r="EW29" i="2"/>
  <c r="EQ67" i="2"/>
  <c r="DE71" i="2"/>
  <c r="DH71" i="2"/>
  <c r="DG71" i="2"/>
  <c r="DL71" i="2"/>
  <c r="FG71" i="2"/>
  <c r="AL71" i="2"/>
  <c r="AI71" i="2"/>
  <c r="AJ71" i="2"/>
  <c r="DA71" i="2"/>
  <c r="DD71" i="2"/>
  <c r="DC71" i="2"/>
  <c r="DJ71" i="2"/>
  <c r="DK71" i="2"/>
  <c r="DB71" i="2"/>
  <c r="DB112" i="2"/>
  <c r="DH112" i="2"/>
  <c r="FB112" i="2"/>
  <c r="DD112" i="2"/>
  <c r="DG112" i="2"/>
  <c r="DA112" i="2"/>
  <c r="DJ112" i="2"/>
  <c r="DF112" i="2"/>
  <c r="DE112" i="2"/>
  <c r="DI112" i="2"/>
  <c r="DC112" i="2"/>
  <c r="DK112" i="2"/>
  <c r="DJ100" i="2"/>
  <c r="DH100" i="2"/>
  <c r="FB100" i="2"/>
  <c r="DA100" i="2"/>
  <c r="DE100" i="2"/>
  <c r="DF100" i="2"/>
  <c r="DC100" i="2"/>
  <c r="DI100" i="2"/>
  <c r="DB100" i="2"/>
  <c r="DG100" i="2"/>
  <c r="DD100" i="2"/>
  <c r="DK100" i="2"/>
  <c r="DK88" i="2"/>
  <c r="DD88" i="2"/>
  <c r="DF88" i="2"/>
  <c r="DA88" i="2"/>
  <c r="DG88" i="2"/>
  <c r="DH88" i="2"/>
  <c r="DI88" i="2"/>
  <c r="DJ88" i="2"/>
  <c r="DB88" i="2"/>
  <c r="DE88" i="2"/>
  <c r="DL88" i="2"/>
  <c r="FG88" i="2"/>
  <c r="AL88" i="2"/>
  <c r="AI88" i="2"/>
  <c r="AJ88" i="2"/>
  <c r="DC88" i="2"/>
  <c r="DF26" i="2"/>
  <c r="EW23" i="2"/>
  <c r="ES23" i="2"/>
  <c r="EW84" i="2"/>
  <c r="FB84" i="2"/>
  <c r="ES21" i="2"/>
  <c r="ER21" i="2"/>
  <c r="DL110" i="2"/>
  <c r="DL101" i="2"/>
  <c r="DL68" i="2"/>
  <c r="FG68" i="2"/>
  <c r="AL68" i="2"/>
  <c r="AI68" i="2"/>
  <c r="AJ68" i="2"/>
  <c r="DL74" i="2"/>
  <c r="FG74" i="2"/>
  <c r="AL74" i="2"/>
  <c r="AI74" i="2"/>
  <c r="AJ74" i="2"/>
  <c r="EZ32" i="2"/>
  <c r="EQ32" i="2"/>
  <c r="EQ23" i="2"/>
  <c r="EU23" i="2"/>
  <c r="EZ84" i="2"/>
  <c r="EP21" i="2"/>
  <c r="DI23" i="2"/>
  <c r="DB73" i="2"/>
  <c r="EX32" i="2"/>
  <c r="EY32" i="2"/>
  <c r="ET23" i="2"/>
  <c r="EP23" i="2"/>
  <c r="ET84" i="2"/>
  <c r="EQ21" i="2"/>
  <c r="EZ21" i="2"/>
  <c r="CW90" i="2"/>
  <c r="CY90" i="2"/>
  <c r="DC90" i="2"/>
  <c r="DK24" i="2"/>
  <c r="ET32" i="2"/>
  <c r="EU32" i="2"/>
  <c r="EV23" i="2"/>
  <c r="ER84" i="2"/>
  <c r="EW21" i="2"/>
  <c r="EV21" i="2"/>
  <c r="EY36" i="2"/>
  <c r="DA92" i="2"/>
  <c r="DA35" i="2"/>
  <c r="DC96" i="2"/>
  <c r="ER32" i="2"/>
  <c r="EZ23" i="2"/>
  <c r="EU21" i="2"/>
  <c r="DK59" i="2"/>
  <c r="DB55" i="2"/>
  <c r="DK55" i="2"/>
  <c r="DJ55" i="2"/>
  <c r="DI55" i="2"/>
  <c r="DG55" i="2"/>
  <c r="DF55" i="2"/>
  <c r="DC55" i="2"/>
  <c r="DH55" i="2"/>
  <c r="DE55" i="2"/>
  <c r="DA55" i="2"/>
  <c r="DD55" i="2"/>
  <c r="DE41" i="2"/>
  <c r="DH41" i="2"/>
  <c r="FB41" i="2"/>
  <c r="DA41" i="2"/>
  <c r="DB41" i="2"/>
  <c r="DG41" i="2"/>
  <c r="DF41" i="2"/>
  <c r="DC41" i="2"/>
  <c r="DJ41" i="2"/>
  <c r="DK41" i="2"/>
  <c r="DI41" i="2"/>
  <c r="DD41" i="2"/>
  <c r="DE42" i="2"/>
  <c r="DG42" i="2"/>
  <c r="DD25" i="2"/>
  <c r="DG25" i="2"/>
  <c r="DH25" i="2"/>
  <c r="DE45" i="2"/>
  <c r="DH45" i="2"/>
  <c r="DI45" i="2"/>
  <c r="DA45" i="2"/>
  <c r="DD45" i="2"/>
  <c r="DG45" i="2"/>
  <c r="DJ45" i="2"/>
  <c r="DK45" i="2"/>
  <c r="DB45" i="2"/>
  <c r="DC45" i="2"/>
  <c r="DF45" i="2"/>
  <c r="DA106" i="2"/>
  <c r="DC106" i="2"/>
  <c r="DJ106" i="2"/>
  <c r="DF106" i="2"/>
  <c r="DE106" i="2"/>
  <c r="DL106" i="2"/>
  <c r="FG106" i="2"/>
  <c r="AL106" i="2"/>
  <c r="AI106" i="2"/>
  <c r="AJ106" i="2"/>
  <c r="DH106" i="2"/>
  <c r="DK106" i="2"/>
  <c r="DB106" i="2"/>
  <c r="DG106" i="2"/>
  <c r="DI106" i="2"/>
  <c r="DD106" i="2"/>
  <c r="DH107" i="2"/>
  <c r="FB107" i="2"/>
  <c r="DD107" i="2"/>
  <c r="DA107" i="2"/>
  <c r="DG107" i="2"/>
  <c r="DC107" i="2"/>
  <c r="DE107" i="2"/>
  <c r="DL107" i="2"/>
  <c r="FG107" i="2"/>
  <c r="AL107" i="2"/>
  <c r="AI107" i="2"/>
  <c r="AJ107" i="2"/>
  <c r="DI107" i="2"/>
  <c r="DF107" i="2"/>
  <c r="DJ107" i="2"/>
  <c r="DK107" i="2"/>
  <c r="DB107" i="2"/>
  <c r="DA19" i="2"/>
  <c r="DE19" i="2"/>
  <c r="DD19" i="2"/>
  <c r="DF61" i="2"/>
  <c r="DC61" i="2"/>
  <c r="DA61" i="2"/>
  <c r="DB61" i="2"/>
  <c r="DD61" i="2"/>
  <c r="DI61" i="2"/>
  <c r="DC72" i="2"/>
  <c r="DJ70" i="2"/>
  <c r="DL37" i="2"/>
  <c r="FG37" i="2"/>
  <c r="DA48" i="2"/>
  <c r="DB92" i="2"/>
  <c r="DK92" i="2"/>
  <c r="DB104" i="2"/>
  <c r="DC48" i="2"/>
  <c r="FC24" i="2"/>
  <c r="FE24" i="2"/>
  <c r="AL24" i="2"/>
  <c r="AI24" i="2"/>
  <c r="AJ24" i="2"/>
  <c r="FB91" i="2"/>
  <c r="FD91" i="2"/>
  <c r="DG26" i="2"/>
  <c r="DL26" i="2"/>
  <c r="FB43" i="2"/>
  <c r="DA105" i="2"/>
  <c r="DE86" i="2"/>
  <c r="DL86" i="2"/>
  <c r="FG86" i="2"/>
  <c r="AL86" i="2"/>
  <c r="AI86" i="2"/>
  <c r="AJ86" i="2"/>
  <c r="DG108" i="2"/>
  <c r="DF71" i="2"/>
  <c r="EX55" i="2"/>
  <c r="DI71" i="2"/>
  <c r="DL92" i="2"/>
  <c r="FG92" i="2"/>
  <c r="AL92" i="2"/>
  <c r="AI92" i="2"/>
  <c r="AJ92" i="2"/>
  <c r="DE14" i="2"/>
  <c r="DA14" i="2"/>
  <c r="DF14" i="2"/>
  <c r="DJ14" i="2"/>
  <c r="DH14" i="2"/>
  <c r="DG14" i="2"/>
  <c r="DB14" i="2"/>
  <c r="DD14" i="2"/>
  <c r="DI20" i="2"/>
  <c r="DD20" i="2"/>
  <c r="DA20" i="2"/>
  <c r="DC20" i="2"/>
  <c r="DE20" i="2"/>
  <c r="DK20" i="2"/>
  <c r="DB20" i="2"/>
  <c r="DG20" i="2"/>
  <c r="DH20" i="2"/>
  <c r="DF20" i="2"/>
  <c r="DJ20" i="2"/>
  <c r="DA90" i="2"/>
  <c r="DF90" i="2"/>
  <c r="DI90" i="2"/>
  <c r="DG90" i="2"/>
  <c r="DJ90" i="2"/>
  <c r="DK38" i="2"/>
  <c r="DF38" i="2"/>
  <c r="DK14" i="2"/>
  <c r="DI32" i="2"/>
  <c r="DE34" i="2"/>
  <c r="CW21" i="2"/>
  <c r="CY21" i="2"/>
  <c r="DI21" i="2"/>
  <c r="DD76" i="2"/>
  <c r="DH83" i="2"/>
  <c r="DA44" i="2"/>
  <c r="DG44" i="2"/>
  <c r="DA34" i="2"/>
  <c r="DB115" i="2"/>
  <c r="DG19" i="2"/>
  <c r="DL19" i="2"/>
  <c r="FG19" i="2"/>
  <c r="DI19" i="2"/>
  <c r="EW26" i="2"/>
  <c r="EX107" i="2"/>
  <c r="EU107" i="2"/>
  <c r="DG32" i="2"/>
  <c r="DK32" i="2"/>
  <c r="DA25" i="2"/>
  <c r="DG28" i="2"/>
  <c r="DL28" i="2"/>
  <c r="FG28" i="2"/>
  <c r="DE83" i="2"/>
  <c r="DD83" i="2"/>
  <c r="DJ49" i="2"/>
  <c r="DC49" i="2"/>
  <c r="FB60" i="2"/>
  <c r="ES84" i="2"/>
  <c r="ER96" i="2"/>
  <c r="ET96" i="2"/>
  <c r="DB34" i="2"/>
  <c r="DL112" i="2"/>
  <c r="FG112" i="2"/>
  <c r="AL112" i="2"/>
  <c r="AI112" i="2"/>
  <c r="AJ112" i="2"/>
  <c r="DG78" i="2"/>
  <c r="EQ55" i="2"/>
  <c r="EZ55" i="2"/>
  <c r="DH105" i="2"/>
  <c r="ET97" i="2"/>
  <c r="EZ97" i="2"/>
  <c r="EU97" i="2"/>
  <c r="ER97" i="2"/>
  <c r="DH22" i="2"/>
  <c r="DC82" i="2"/>
  <c r="DA18" i="2"/>
  <c r="FB97" i="2"/>
  <c r="FC97" i="2"/>
  <c r="CW15" i="2"/>
  <c r="CY15" i="2"/>
  <c r="DJ57" i="2"/>
  <c r="DJ25" i="2"/>
  <c r="DA81" i="2"/>
  <c r="DH44" i="2"/>
  <c r="DE44" i="2"/>
  <c r="DL44" i="2"/>
  <c r="FG44" i="2"/>
  <c r="DB70" i="2"/>
  <c r="DJ19" i="2"/>
  <c r="DK19" i="2"/>
  <c r="ET26" i="2"/>
  <c r="ES26" i="2"/>
  <c r="EW107" i="2"/>
  <c r="EV107" i="2"/>
  <c r="DD32" i="2"/>
  <c r="DC25" i="2"/>
  <c r="DE25" i="2"/>
  <c r="DH28" i="2"/>
  <c r="DA83" i="2"/>
  <c r="DK83" i="2"/>
  <c r="DB49" i="2"/>
  <c r="DG49" i="2"/>
  <c r="EQ84" i="2"/>
  <c r="EY84" i="2"/>
  <c r="EY96" i="2"/>
  <c r="EZ96" i="2"/>
  <c r="DG34" i="2"/>
  <c r="DL34" i="2"/>
  <c r="FG34" i="2"/>
  <c r="DC78" i="2"/>
  <c r="DL102" i="2"/>
  <c r="DL55" i="2"/>
  <c r="FG55" i="2"/>
  <c r="EP55" i="2"/>
  <c r="EY55" i="2"/>
  <c r="DE108" i="2"/>
  <c r="DI108" i="2"/>
  <c r="DJ108" i="2"/>
  <c r="DB108" i="2"/>
  <c r="DH108" i="2"/>
  <c r="FB108" i="2"/>
  <c r="DF108" i="2"/>
  <c r="DK108" i="2"/>
  <c r="DC108" i="2"/>
  <c r="DF19" i="2"/>
  <c r="DB19" i="2"/>
  <c r="DA32" i="2"/>
  <c r="DK25" i="2"/>
  <c r="DI25" i="2"/>
  <c r="DK49" i="2"/>
  <c r="DH49" i="2"/>
  <c r="FB49" i="2"/>
  <c r="FD49" i="2"/>
  <c r="ES96" i="2"/>
  <c r="EQ96" i="2"/>
  <c r="DF34" i="2"/>
  <c r="DD78" i="2"/>
  <c r="DB78" i="2"/>
  <c r="DC14" i="2"/>
  <c r="DC22" i="2"/>
  <c r="DA22" i="2"/>
  <c r="DE22" i="2"/>
  <c r="DF22" i="2"/>
  <c r="DK22" i="2"/>
  <c r="DG22" i="2"/>
  <c r="DB22" i="2"/>
  <c r="DE32" i="2"/>
  <c r="DB25" i="2"/>
  <c r="DL59" i="2"/>
  <c r="DK44" i="2"/>
  <c r="DB69" i="2"/>
  <c r="DC44" i="2"/>
  <c r="DC19" i="2"/>
  <c r="DH19" i="2"/>
  <c r="EQ26" i="2"/>
  <c r="EV26" i="2"/>
  <c r="EQ107" i="2"/>
  <c r="ER107" i="2"/>
  <c r="DH32" i="2"/>
  <c r="FB32" i="2"/>
  <c r="DF25" i="2"/>
  <c r="DJ28" i="2"/>
  <c r="DF83" i="2"/>
  <c r="DA49" i="2"/>
  <c r="EV84" i="2"/>
  <c r="EX84" i="2"/>
  <c r="EX96" i="2"/>
  <c r="EP96" i="2"/>
  <c r="DI34" i="2"/>
  <c r="DE78" i="2"/>
  <c r="DA78" i="2"/>
  <c r="EW55" i="2"/>
  <c r="FB55" i="2"/>
  <c r="ER55" i="2"/>
  <c r="EW52" i="2"/>
  <c r="FB52" i="2"/>
  <c r="EZ52" i="2"/>
  <c r="EY52" i="2"/>
  <c r="ET52" i="2"/>
  <c r="EP52" i="2"/>
  <c r="EX52" i="2"/>
  <c r="EQ52" i="2"/>
  <c r="EU112" i="2"/>
  <c r="EV112" i="2"/>
  <c r="EZ98" i="2"/>
  <c r="EX98" i="2"/>
  <c r="EQ98" i="2"/>
  <c r="ET98" i="2"/>
  <c r="ER98" i="2"/>
  <c r="EP98" i="2"/>
  <c r="EV98" i="2"/>
  <c r="EW98" i="2"/>
  <c r="FB98" i="2"/>
  <c r="DE105" i="2"/>
  <c r="DL105" i="2"/>
  <c r="DJ34" i="2"/>
  <c r="DI78" i="2"/>
  <c r="CW62" i="2"/>
  <c r="CY62" i="2"/>
  <c r="DA62" i="2"/>
  <c r="DF78" i="2"/>
  <c r="FB45" i="2"/>
  <c r="FD45" i="2"/>
  <c r="EY26" i="2"/>
  <c r="DD28" i="2"/>
  <c r="EU84" i="2"/>
  <c r="EU96" i="2"/>
  <c r="DJ78" i="2"/>
  <c r="EV55" i="2"/>
  <c r="DK74" i="2"/>
  <c r="DC74" i="2"/>
  <c r="DI22" i="2"/>
  <c r="DI14" i="2"/>
  <c r="DJ22" i="2"/>
  <c r="DA108" i="2"/>
  <c r="DD108" i="2"/>
  <c r="DE63" i="2"/>
  <c r="DK63" i="2"/>
  <c r="DJ63" i="2"/>
  <c r="DH63" i="2"/>
  <c r="DD63" i="2"/>
  <c r="DA63" i="2"/>
  <c r="DI63" i="2"/>
  <c r="DF63" i="2"/>
  <c r="DG63" i="2"/>
  <c r="DB63" i="2"/>
  <c r="DD15" i="2"/>
  <c r="DE15" i="2"/>
  <c r="DA15" i="2"/>
  <c r="DC15" i="2"/>
  <c r="DF15" i="2"/>
  <c r="DJ15" i="2"/>
  <c r="DB15" i="2"/>
  <c r="DH15" i="2"/>
  <c r="FB15" i="2"/>
  <c r="DH33" i="2"/>
  <c r="FB33" i="2"/>
  <c r="DJ33" i="2"/>
  <c r="DA33" i="2"/>
  <c r="DE33" i="2"/>
  <c r="DF33" i="2"/>
  <c r="DG33" i="2"/>
  <c r="DI33" i="2"/>
  <c r="DK33" i="2"/>
  <c r="DD33" i="2"/>
  <c r="DB33" i="2"/>
  <c r="DF47" i="2"/>
  <c r="DH47" i="2"/>
  <c r="DA47" i="2"/>
  <c r="DG47" i="2"/>
  <c r="DD47" i="2"/>
  <c r="DE47" i="2"/>
  <c r="DK47" i="2"/>
  <c r="DJ47" i="2"/>
  <c r="DI47" i="2"/>
  <c r="DB47" i="2"/>
  <c r="DD80" i="2"/>
  <c r="DH80" i="2"/>
  <c r="DG80" i="2"/>
  <c r="DJ80" i="2"/>
  <c r="DB80" i="2"/>
  <c r="DK80" i="2"/>
  <c r="DF80" i="2"/>
  <c r="DE80" i="2"/>
  <c r="DI80" i="2"/>
  <c r="DA80" i="2"/>
  <c r="DG53" i="2"/>
  <c r="DD53" i="2"/>
  <c r="DI53" i="2"/>
  <c r="DE53" i="2"/>
  <c r="DK53" i="2"/>
  <c r="DH53" i="2"/>
  <c r="FB53" i="2"/>
  <c r="DF35" i="2"/>
  <c r="DJ35" i="2"/>
  <c r="DI35" i="2"/>
  <c r="DB35" i="2"/>
  <c r="DG35" i="2"/>
  <c r="DC35" i="2"/>
  <c r="DD35" i="2"/>
  <c r="DB79" i="2"/>
  <c r="DA79" i="2"/>
  <c r="DD79" i="2"/>
  <c r="EW76" i="2"/>
  <c r="EV76" i="2"/>
  <c r="EU76" i="2"/>
  <c r="EX76" i="2"/>
  <c r="EQ76" i="2"/>
  <c r="EP76" i="2"/>
  <c r="EY76" i="2"/>
  <c r="EZ76" i="2"/>
  <c r="ER76" i="2"/>
  <c r="ES76" i="2"/>
  <c r="ET76" i="2"/>
  <c r="DA53" i="2"/>
  <c r="ET40" i="2"/>
  <c r="EU40" i="2"/>
  <c r="EW40" i="2"/>
  <c r="ES40" i="2"/>
  <c r="EZ40" i="2"/>
  <c r="EY40" i="2"/>
  <c r="EP40" i="2"/>
  <c r="EV40" i="2"/>
  <c r="EQ40" i="2"/>
  <c r="EX40" i="2"/>
  <c r="ER40" i="2"/>
  <c r="DJ17" i="2"/>
  <c r="DF17" i="2"/>
  <c r="DI17" i="2"/>
  <c r="DG17" i="2"/>
  <c r="DL17" i="2"/>
  <c r="DC17" i="2"/>
  <c r="DB17" i="2"/>
  <c r="DA17" i="2"/>
  <c r="DH17" i="2"/>
  <c r="DC89" i="2"/>
  <c r="DH35" i="2"/>
  <c r="FB35" i="2"/>
  <c r="ER80" i="2"/>
  <c r="EX80" i="2"/>
  <c r="EU80" i="2"/>
  <c r="EW80" i="2"/>
  <c r="ES80" i="2"/>
  <c r="ET80" i="2"/>
  <c r="EP80" i="2"/>
  <c r="EY80" i="2"/>
  <c r="EZ80" i="2"/>
  <c r="EQ80" i="2"/>
  <c r="EV80" i="2"/>
  <c r="EX110" i="2"/>
  <c r="EV110" i="2"/>
  <c r="EU110" i="2"/>
  <c r="EP110" i="2"/>
  <c r="EQ110" i="2"/>
  <c r="EY110" i="2"/>
  <c r="EZ110" i="2"/>
  <c r="ER110" i="2"/>
  <c r="EW110" i="2"/>
  <c r="ES110" i="2"/>
  <c r="ET110" i="2"/>
  <c r="DL95" i="2"/>
  <c r="ER17" i="2"/>
  <c r="EU17" i="2"/>
  <c r="EP17" i="2"/>
  <c r="EZ17" i="2"/>
  <c r="EQ17" i="2"/>
  <c r="EV17" i="2"/>
  <c r="EW17" i="2"/>
  <c r="ES17" i="2"/>
  <c r="EY17" i="2"/>
  <c r="EX17" i="2"/>
  <c r="ET17" i="2"/>
  <c r="DE24" i="2"/>
  <c r="DJ24" i="2"/>
  <c r="DB24" i="2"/>
  <c r="DF24" i="2"/>
  <c r="DA24" i="2"/>
  <c r="DD24" i="2"/>
  <c r="DI77" i="2"/>
  <c r="DF77" i="2"/>
  <c r="DB77" i="2"/>
  <c r="DK77" i="2"/>
  <c r="DA77" i="2"/>
  <c r="DJ77" i="2"/>
  <c r="DG77" i="2"/>
  <c r="DE77" i="2"/>
  <c r="CW16" i="2"/>
  <c r="CY16" i="2"/>
  <c r="DG54" i="2"/>
  <c r="DD54" i="2"/>
  <c r="DK54" i="2"/>
  <c r="DE54" i="2"/>
  <c r="DH54" i="2"/>
  <c r="DI54" i="2"/>
  <c r="EV111" i="2"/>
  <c r="EW111" i="2"/>
  <c r="EQ111" i="2"/>
  <c r="EU111" i="2"/>
  <c r="EY111" i="2"/>
  <c r="EZ111" i="2"/>
  <c r="EP111" i="2"/>
  <c r="ET111" i="2"/>
  <c r="EX111" i="2"/>
  <c r="ER111" i="2"/>
  <c r="ES111" i="2"/>
  <c r="EZ19" i="2"/>
  <c r="ET19" i="2"/>
  <c r="ES19" i="2"/>
  <c r="EV19" i="2"/>
  <c r="EX19" i="2"/>
  <c r="EW19" i="2"/>
  <c r="EU19" i="2"/>
  <c r="EP19" i="2"/>
  <c r="ER19" i="2"/>
  <c r="EQ19" i="2"/>
  <c r="EY19" i="2"/>
  <c r="FC60" i="2"/>
  <c r="FD60" i="2"/>
  <c r="DL41" i="2"/>
  <c r="FG41" i="2"/>
  <c r="EZ47" i="2"/>
  <c r="EQ47" i="2"/>
  <c r="ET47" i="2"/>
  <c r="ER47" i="2"/>
  <c r="EW47" i="2"/>
  <c r="EP47" i="2"/>
  <c r="EY47" i="2"/>
  <c r="EU47" i="2"/>
  <c r="ES47" i="2"/>
  <c r="EX47" i="2"/>
  <c r="EV47" i="2"/>
  <c r="EL16" i="2"/>
  <c r="EN16" i="2"/>
  <c r="EY62" i="2"/>
  <c r="ER62" i="2"/>
  <c r="EX62" i="2"/>
  <c r="EQ62" i="2"/>
  <c r="EW62" i="2"/>
  <c r="ET62" i="2"/>
  <c r="EU62" i="2"/>
  <c r="EZ62" i="2"/>
  <c r="EV62" i="2"/>
  <c r="EP62" i="2"/>
  <c r="ES62" i="2"/>
  <c r="FD85" i="2"/>
  <c r="FC85" i="2"/>
  <c r="FE85" i="2"/>
  <c r="DD30" i="2"/>
  <c r="DH30" i="2"/>
  <c r="FB30" i="2"/>
  <c r="DJ30" i="2"/>
  <c r="DK26" i="2"/>
  <c r="DD26" i="2"/>
  <c r="DH26" i="2"/>
  <c r="FB26" i="2"/>
  <c r="DB26" i="2"/>
  <c r="DJ26" i="2"/>
  <c r="DA26" i="2"/>
  <c r="DE26" i="2"/>
  <c r="DE16" i="2"/>
  <c r="ET81" i="2"/>
  <c r="EQ81" i="2"/>
  <c r="EW81" i="2"/>
  <c r="ER81" i="2"/>
  <c r="EX81" i="2"/>
  <c r="ES81" i="2"/>
  <c r="EV81" i="2"/>
  <c r="EP81" i="2"/>
  <c r="EY81" i="2"/>
  <c r="EU81" i="2"/>
  <c r="EZ81" i="2"/>
  <c r="DG15" i="2"/>
  <c r="DL15" i="2"/>
  <c r="FG15" i="2"/>
  <c r="DL31" i="2"/>
  <c r="FG31" i="2"/>
  <c r="DD27" i="2"/>
  <c r="DF27" i="2"/>
  <c r="DK27" i="2"/>
  <c r="DB27" i="2"/>
  <c r="DA27" i="2"/>
  <c r="DJ27" i="2"/>
  <c r="DG27" i="2"/>
  <c r="DI27" i="2"/>
  <c r="DH27" i="2"/>
  <c r="FB27" i="2"/>
  <c r="DE27" i="2"/>
  <c r="DA66" i="2"/>
  <c r="DK15" i="2"/>
  <c r="DC33" i="2"/>
  <c r="DD48" i="2"/>
  <c r="DG48" i="2"/>
  <c r="DF48" i="2"/>
  <c r="DK48" i="2"/>
  <c r="DI48" i="2"/>
  <c r="DE48" i="2"/>
  <c r="DH48" i="2"/>
  <c r="FB48" i="2"/>
  <c r="DC26" i="2"/>
  <c r="DC47" i="2"/>
  <c r="DF93" i="2"/>
  <c r="DD93" i="2"/>
  <c r="DA93" i="2"/>
  <c r="DI93" i="2"/>
  <c r="DB93" i="2"/>
  <c r="DK93" i="2"/>
  <c r="DE93" i="2"/>
  <c r="DJ93" i="2"/>
  <c r="DC93" i="2"/>
  <c r="ET66" i="2"/>
  <c r="EZ66" i="2"/>
  <c r="EY66" i="2"/>
  <c r="EW66" i="2"/>
  <c r="ES66" i="2"/>
  <c r="EQ66" i="2"/>
  <c r="EV66" i="2"/>
  <c r="EX66" i="2"/>
  <c r="EP66" i="2"/>
  <c r="EU66" i="2"/>
  <c r="ER66" i="2"/>
  <c r="EW102" i="2"/>
  <c r="EQ102" i="2"/>
  <c r="ER102" i="2"/>
  <c r="EY102" i="2"/>
  <c r="EZ102" i="2"/>
  <c r="EP102" i="2"/>
  <c r="EV102" i="2"/>
  <c r="EU102" i="2"/>
  <c r="ES102" i="2"/>
  <c r="EX102" i="2"/>
  <c r="ET102" i="2"/>
  <c r="DC80" i="2"/>
  <c r="DC63" i="2"/>
  <c r="DL97" i="2"/>
  <c r="FG97" i="2"/>
  <c r="AL97" i="2"/>
  <c r="AI97" i="2"/>
  <c r="AJ97" i="2"/>
  <c r="FB88" i="2"/>
  <c r="ER20" i="2"/>
  <c r="EU20" i="2"/>
  <c r="EX20" i="2"/>
  <c r="EW20" i="2"/>
  <c r="FB20" i="2"/>
  <c r="EY20" i="2"/>
  <c r="ET20" i="2"/>
  <c r="EP20" i="2"/>
  <c r="ES20" i="2"/>
  <c r="EZ20" i="2"/>
  <c r="EQ20" i="2"/>
  <c r="EV20" i="2"/>
  <c r="DJ54" i="2"/>
  <c r="DA23" i="2"/>
  <c r="DB53" i="2"/>
  <c r="FB99" i="2"/>
  <c r="FB36" i="2"/>
  <c r="DK23" i="2"/>
  <c r="DG69" i="2"/>
  <c r="DD69" i="2"/>
  <c r="DK69" i="2"/>
  <c r="DH69" i="2"/>
  <c r="DE69" i="2"/>
  <c r="DI69" i="2"/>
  <c r="DF69" i="2"/>
  <c r="DF43" i="2"/>
  <c r="DI43" i="2"/>
  <c r="DD43" i="2"/>
  <c r="DB43" i="2"/>
  <c r="DK43" i="2"/>
  <c r="DJ43" i="2"/>
  <c r="DG43" i="2"/>
  <c r="DE43" i="2"/>
  <c r="EZ83" i="2"/>
  <c r="ET83" i="2"/>
  <c r="EX83" i="2"/>
  <c r="EU83" i="2"/>
  <c r="ER83" i="2"/>
  <c r="EY83" i="2"/>
  <c r="EW83" i="2"/>
  <c r="EP83" i="2"/>
  <c r="EV83" i="2"/>
  <c r="EQ83" i="2"/>
  <c r="ES83" i="2"/>
  <c r="DD17" i="2"/>
  <c r="DC56" i="2"/>
  <c r="DC54" i="2"/>
  <c r="DG56" i="2"/>
  <c r="ER86" i="2"/>
  <c r="ET86" i="2"/>
  <c r="EX86" i="2"/>
  <c r="EY86" i="2"/>
  <c r="EW86" i="2"/>
  <c r="FB86" i="2"/>
  <c r="EU86" i="2"/>
  <c r="ES86" i="2"/>
  <c r="EZ86" i="2"/>
  <c r="EP86" i="2"/>
  <c r="EQ86" i="2"/>
  <c r="EV86" i="2"/>
  <c r="ER109" i="2"/>
  <c r="EX109" i="2"/>
  <c r="EP109" i="2"/>
  <c r="EV109" i="2"/>
  <c r="ET109" i="2"/>
  <c r="EZ109" i="2"/>
  <c r="EY109" i="2"/>
  <c r="EU109" i="2"/>
  <c r="ES109" i="2"/>
  <c r="EQ109" i="2"/>
  <c r="EW109" i="2"/>
  <c r="DE30" i="2"/>
  <c r="DF81" i="2"/>
  <c r="DK81" i="2"/>
  <c r="DI81" i="2"/>
  <c r="DB81" i="2"/>
  <c r="DE81" i="2"/>
  <c r="DC81" i="2"/>
  <c r="DD81" i="2"/>
  <c r="DH81" i="2"/>
  <c r="FB81" i="2"/>
  <c r="DG81" i="2"/>
  <c r="DE35" i="2"/>
  <c r="FB75" i="2"/>
  <c r="DL49" i="2"/>
  <c r="FG49" i="2"/>
  <c r="FB110" i="2"/>
  <c r="DD66" i="2"/>
  <c r="DG66" i="2"/>
  <c r="DH66" i="2"/>
  <c r="DI66" i="2"/>
  <c r="DE66" i="2"/>
  <c r="DK66" i="2"/>
  <c r="DB66" i="2"/>
  <c r="DC53" i="2"/>
  <c r="DI87" i="2"/>
  <c r="DA87" i="2"/>
  <c r="DG87" i="2"/>
  <c r="DD87" i="2"/>
  <c r="DB87" i="2"/>
  <c r="DC87" i="2"/>
  <c r="DK87" i="2"/>
  <c r="DE87" i="2"/>
  <c r="EW79" i="2"/>
  <c r="ET79" i="2"/>
  <c r="EU79" i="2"/>
  <c r="EP79" i="2"/>
  <c r="EY79" i="2"/>
  <c r="EV79" i="2"/>
  <c r="EZ79" i="2"/>
  <c r="ER79" i="2"/>
  <c r="EX79" i="2"/>
  <c r="ES79" i="2"/>
  <c r="EQ79" i="2"/>
  <c r="ET103" i="2"/>
  <c r="ES103" i="2"/>
  <c r="EV103" i="2"/>
  <c r="EZ103" i="2"/>
  <c r="EP103" i="2"/>
  <c r="EQ103" i="2"/>
  <c r="EY103" i="2"/>
  <c r="EW103" i="2"/>
  <c r="EU103" i="2"/>
  <c r="ER103" i="2"/>
  <c r="EX103" i="2"/>
  <c r="DB109" i="2"/>
  <c r="DA109" i="2"/>
  <c r="DG109" i="2"/>
  <c r="DF109" i="2"/>
  <c r="DD109" i="2"/>
  <c r="DE109" i="2"/>
  <c r="DH109" i="2"/>
  <c r="DJ109" i="2"/>
  <c r="EW22" i="2"/>
  <c r="EQ22" i="2"/>
  <c r="EV22" i="2"/>
  <c r="EZ22" i="2"/>
  <c r="EX22" i="2"/>
  <c r="ES22" i="2"/>
  <c r="EP22" i="2"/>
  <c r="ET22" i="2"/>
  <c r="ER22" i="2"/>
  <c r="EY22" i="2"/>
  <c r="EU22" i="2"/>
  <c r="DK39" i="2"/>
  <c r="DI39" i="2"/>
  <c r="DD39" i="2"/>
  <c r="DE39" i="2"/>
  <c r="DA21" i="2"/>
  <c r="ES63" i="2"/>
  <c r="EW63" i="2"/>
  <c r="EV63" i="2"/>
  <c r="EU63" i="2"/>
  <c r="EZ63" i="2"/>
  <c r="ER63" i="2"/>
  <c r="EY63" i="2"/>
  <c r="ET63" i="2"/>
  <c r="EQ63" i="2"/>
  <c r="EP63" i="2"/>
  <c r="EX63" i="2"/>
  <c r="EX71" i="2"/>
  <c r="ER71" i="2"/>
  <c r="EU71" i="2"/>
  <c r="EW71" i="2"/>
  <c r="FB71" i="2"/>
  <c r="EZ71" i="2"/>
  <c r="ES71" i="2"/>
  <c r="ET71" i="2"/>
  <c r="EP71" i="2"/>
  <c r="EV71" i="2"/>
  <c r="EY71" i="2"/>
  <c r="EQ71" i="2"/>
  <c r="DF111" i="2"/>
  <c r="DH111" i="2"/>
  <c r="DJ111" i="2"/>
  <c r="DB111" i="2"/>
  <c r="DE111" i="2"/>
  <c r="DK111" i="2"/>
  <c r="DD111" i="2"/>
  <c r="DI111" i="2"/>
  <c r="DG111" i="2"/>
  <c r="DL50" i="2"/>
  <c r="FG50" i="2"/>
  <c r="EW92" i="2"/>
  <c r="FB92" i="2"/>
  <c r="EZ92" i="2"/>
  <c r="EP92" i="2"/>
  <c r="ER92" i="2"/>
  <c r="EQ92" i="2"/>
  <c r="EU92" i="2"/>
  <c r="EY92" i="2"/>
  <c r="EX92" i="2"/>
  <c r="EV92" i="2"/>
  <c r="ES92" i="2"/>
  <c r="ET92" i="2"/>
  <c r="DJ40" i="2"/>
  <c r="DB40" i="2"/>
  <c r="DH40" i="2"/>
  <c r="DG40" i="2"/>
  <c r="DL40" i="2"/>
  <c r="DF40" i="2"/>
  <c r="DA40" i="2"/>
  <c r="FC45" i="2"/>
  <c r="EU105" i="2"/>
  <c r="ES105" i="2"/>
  <c r="EY105" i="2"/>
  <c r="EQ105" i="2"/>
  <c r="EW105" i="2"/>
  <c r="FB105" i="2"/>
  <c r="ER105" i="2"/>
  <c r="EZ105" i="2"/>
  <c r="EX105" i="2"/>
  <c r="EP105" i="2"/>
  <c r="EV105" i="2"/>
  <c r="ET105" i="2"/>
  <c r="DA89" i="2"/>
  <c r="DH89" i="2"/>
  <c r="FB89" i="2"/>
  <c r="DD89" i="2"/>
  <c r="DJ89" i="2"/>
  <c r="DG89" i="2"/>
  <c r="DE89" i="2"/>
  <c r="DF89" i="2"/>
  <c r="DI89" i="2"/>
  <c r="DK89" i="2"/>
  <c r="DC66" i="2"/>
  <c r="EW61" i="2"/>
  <c r="EQ61" i="2"/>
  <c r="ER61" i="2"/>
  <c r="ET61" i="2"/>
  <c r="EP61" i="2"/>
  <c r="EU61" i="2"/>
  <c r="EY61" i="2"/>
  <c r="EZ61" i="2"/>
  <c r="ES61" i="2"/>
  <c r="EV61" i="2"/>
  <c r="EX61" i="2"/>
  <c r="ER94" i="2"/>
  <c r="EU94" i="2"/>
  <c r="EY94" i="2"/>
  <c r="ES94" i="2"/>
  <c r="EX94" i="2"/>
  <c r="EW94" i="2"/>
  <c r="FB94" i="2"/>
  <c r="EP94" i="2"/>
  <c r="EQ94" i="2"/>
  <c r="EZ94" i="2"/>
  <c r="EV94" i="2"/>
  <c r="ET94" i="2"/>
  <c r="FD37" i="2"/>
  <c r="FC37" i="2"/>
  <c r="DC62" i="2"/>
  <c r="DG58" i="2"/>
  <c r="DD58" i="2"/>
  <c r="DH58" i="2"/>
  <c r="FB58" i="2"/>
  <c r="DK58" i="2"/>
  <c r="DE58" i="2"/>
  <c r="DI58" i="2"/>
  <c r="DF53" i="2"/>
  <c r="DD77" i="2"/>
  <c r="DE82" i="2"/>
  <c r="DD82" i="2"/>
  <c r="DA82" i="2"/>
  <c r="DH82" i="2"/>
  <c r="FB82" i="2"/>
  <c r="DG82" i="2"/>
  <c r="DI82" i="2"/>
  <c r="DF82" i="2"/>
  <c r="DB82" i="2"/>
  <c r="DJ82" i="2"/>
  <c r="ET44" i="2"/>
  <c r="EZ44" i="2"/>
  <c r="ER44" i="2"/>
  <c r="EU44" i="2"/>
  <c r="EY44" i="2"/>
  <c r="EP44" i="2"/>
  <c r="ES44" i="2"/>
  <c r="EW44" i="2"/>
  <c r="EX44" i="2"/>
  <c r="EQ44" i="2"/>
  <c r="EV44" i="2"/>
  <c r="DH23" i="2"/>
  <c r="FB23" i="2"/>
  <c r="DJ23" i="2"/>
  <c r="DD23" i="2"/>
  <c r="DG23" i="2"/>
  <c r="DE23" i="2"/>
  <c r="DB23" i="2"/>
  <c r="DJ58" i="2"/>
  <c r="EY69" i="2"/>
  <c r="EP69" i="2"/>
  <c r="ER69" i="2"/>
  <c r="EV69" i="2"/>
  <c r="EQ69" i="2"/>
  <c r="EU69" i="2"/>
  <c r="EX69" i="2"/>
  <c r="EW69" i="2"/>
  <c r="EZ69" i="2"/>
  <c r="ES69" i="2"/>
  <c r="ET69" i="2"/>
  <c r="ET101" i="2"/>
  <c r="ER101" i="2"/>
  <c r="EY101" i="2"/>
  <c r="EQ101" i="2"/>
  <c r="EP101" i="2"/>
  <c r="EV101" i="2"/>
  <c r="EX101" i="2"/>
  <c r="EZ101" i="2"/>
  <c r="EU101" i="2"/>
  <c r="ES101" i="2"/>
  <c r="EW101" i="2"/>
  <c r="FB101" i="2"/>
  <c r="EZ25" i="2"/>
  <c r="EX25" i="2"/>
  <c r="EU25" i="2"/>
  <c r="ES25" i="2"/>
  <c r="ET25" i="2"/>
  <c r="EW25" i="2"/>
  <c r="FB25" i="2"/>
  <c r="EQ25" i="2"/>
  <c r="EP25" i="2"/>
  <c r="EV25" i="2"/>
  <c r="EY25" i="2"/>
  <c r="ER25" i="2"/>
  <c r="DG16" i="2"/>
  <c r="DL16" i="2"/>
  <c r="DJ96" i="2"/>
  <c r="DB96" i="2"/>
  <c r="DG96" i="2"/>
  <c r="DI96" i="2"/>
  <c r="DD96" i="2"/>
  <c r="DF96" i="2"/>
  <c r="DE96" i="2"/>
  <c r="DA96" i="2"/>
  <c r="DK96" i="2"/>
  <c r="DH96" i="2"/>
  <c r="FB96" i="2"/>
  <c r="DB67" i="2"/>
  <c r="DB58" i="2"/>
  <c r="FD68" i="2"/>
  <c r="FC68" i="2"/>
  <c r="FE68" i="2"/>
  <c r="ET73" i="2"/>
  <c r="EZ73" i="2"/>
  <c r="EW73" i="2"/>
  <c r="EU73" i="2"/>
  <c r="EV73" i="2"/>
  <c r="EQ73" i="2"/>
  <c r="EY73" i="2"/>
  <c r="ER73" i="2"/>
  <c r="EP73" i="2"/>
  <c r="EX73" i="2"/>
  <c r="ES73" i="2"/>
  <c r="EQ113" i="2"/>
  <c r="EW113" i="2"/>
  <c r="EU113" i="2"/>
  <c r="EY113" i="2"/>
  <c r="ES113" i="2"/>
  <c r="EX113" i="2"/>
  <c r="EZ113" i="2"/>
  <c r="EV113" i="2"/>
  <c r="ET113" i="2"/>
  <c r="ER113" i="2"/>
  <c r="EP113" i="2"/>
  <c r="DH39" i="2"/>
  <c r="FB39" i="2"/>
  <c r="DD73" i="2"/>
  <c r="DG73" i="2"/>
  <c r="DC73" i="2"/>
  <c r="DH73" i="2"/>
  <c r="FB73" i="2"/>
  <c r="DK73" i="2"/>
  <c r="DI73" i="2"/>
  <c r="DE73" i="2"/>
  <c r="DF73" i="2"/>
  <c r="ET93" i="2"/>
  <c r="EZ93" i="2"/>
  <c r="EV93" i="2"/>
  <c r="EW93" i="2"/>
  <c r="FB93" i="2"/>
  <c r="EX93" i="2"/>
  <c r="EQ93" i="2"/>
  <c r="EU93" i="2"/>
  <c r="EY93" i="2"/>
  <c r="ES93" i="2"/>
  <c r="ER93" i="2"/>
  <c r="EP93" i="2"/>
  <c r="DG72" i="2"/>
  <c r="DD72" i="2"/>
  <c r="DK72" i="2"/>
  <c r="DE72" i="2"/>
  <c r="DH72" i="2"/>
  <c r="FB72" i="2"/>
  <c r="DI72" i="2"/>
  <c r="DF72" i="2"/>
  <c r="DC76" i="2"/>
  <c r="DA39" i="2"/>
  <c r="DB29" i="2"/>
  <c r="DH29" i="2"/>
  <c r="DA29" i="2"/>
  <c r="DD29" i="2"/>
  <c r="DK29" i="2"/>
  <c r="DG29" i="2"/>
  <c r="DI29" i="2"/>
  <c r="DJ29" i="2"/>
  <c r="DE29" i="2"/>
  <c r="DG24" i="2"/>
  <c r="DA115" i="2"/>
  <c r="DJ115" i="2"/>
  <c r="DI115" i="2"/>
  <c r="DF115" i="2"/>
  <c r="DG115" i="2"/>
  <c r="DH115" i="2"/>
  <c r="DE115" i="2"/>
  <c r="DK115" i="2"/>
  <c r="DD115" i="2"/>
  <c r="DA43" i="2"/>
  <c r="FB83" i="2"/>
  <c r="DC69" i="2"/>
  <c r="DD57" i="2"/>
  <c r="DG57" i="2"/>
  <c r="DE57" i="2"/>
  <c r="DI57" i="2"/>
  <c r="DH57" i="2"/>
  <c r="DK57" i="2"/>
  <c r="EW28" i="2"/>
  <c r="EQ28" i="2"/>
  <c r="ER28" i="2"/>
  <c r="EX28" i="2"/>
  <c r="EU28" i="2"/>
  <c r="EZ28" i="2"/>
  <c r="ET28" i="2"/>
  <c r="ES28" i="2"/>
  <c r="EV28" i="2"/>
  <c r="EY28" i="2"/>
  <c r="EP28" i="2"/>
  <c r="DJ48" i="2"/>
  <c r="DC58" i="2"/>
  <c r="DL36" i="2"/>
  <c r="FG36" i="2"/>
  <c r="FB50" i="2"/>
  <c r="DG67" i="2"/>
  <c r="DD67" i="2"/>
  <c r="DF67" i="2"/>
  <c r="DH67" i="2"/>
  <c r="FB67" i="2"/>
  <c r="DC67" i="2"/>
  <c r="DK67" i="2"/>
  <c r="DI67" i="2"/>
  <c r="DE67" i="2"/>
  <c r="ET51" i="2"/>
  <c r="EW51" i="2"/>
  <c r="EQ51" i="2"/>
  <c r="EU51" i="2"/>
  <c r="EP51" i="2"/>
  <c r="EY51" i="2"/>
  <c r="EX51" i="2"/>
  <c r="ES51" i="2"/>
  <c r="ER51" i="2"/>
  <c r="EV51" i="2"/>
  <c r="EZ51" i="2"/>
  <c r="DB62" i="2"/>
  <c r="DF62" i="2"/>
  <c r="DG62" i="2"/>
  <c r="DK62" i="2"/>
  <c r="DD62" i="2"/>
  <c r="DI62" i="2"/>
  <c r="ET115" i="2"/>
  <c r="EV115" i="2"/>
  <c r="EQ115" i="2"/>
  <c r="ES115" i="2"/>
  <c r="EW115" i="2"/>
  <c r="ER115" i="2"/>
  <c r="EX115" i="2"/>
  <c r="EZ115" i="2"/>
  <c r="EY115" i="2"/>
  <c r="EP115" i="2"/>
  <c r="EU115" i="2"/>
  <c r="DJ87" i="2"/>
  <c r="DI15" i="2"/>
  <c r="DA56" i="2"/>
  <c r="DB56" i="2"/>
  <c r="DD56" i="2"/>
  <c r="DH56" i="2"/>
  <c r="FB56" i="2"/>
  <c r="DJ56" i="2"/>
  <c r="DK56" i="2"/>
  <c r="DI56" i="2"/>
  <c r="DE56" i="2"/>
  <c r="EZ90" i="2"/>
  <c r="ET90" i="2"/>
  <c r="EX90" i="2"/>
  <c r="EW90" i="2"/>
  <c r="EV90" i="2"/>
  <c r="ES90" i="2"/>
  <c r="EQ90" i="2"/>
  <c r="EP90" i="2"/>
  <c r="ER90" i="2"/>
  <c r="EU90" i="2"/>
  <c r="EY90" i="2"/>
  <c r="FD43" i="2"/>
  <c r="FC43" i="2"/>
  <c r="FE43" i="2"/>
  <c r="DH62" i="2"/>
  <c r="FB62" i="2"/>
  <c r="EW114" i="2"/>
  <c r="FB114" i="2"/>
  <c r="EV114" i="2"/>
  <c r="EX114" i="2"/>
  <c r="ER114" i="2"/>
  <c r="EY114" i="2"/>
  <c r="EU114" i="2"/>
  <c r="ET114" i="2"/>
  <c r="ES114" i="2"/>
  <c r="EP114" i="2"/>
  <c r="EQ114" i="2"/>
  <c r="EZ114" i="2"/>
  <c r="DG38" i="2"/>
  <c r="DH38" i="2"/>
  <c r="DE38" i="2"/>
  <c r="DI38" i="2"/>
  <c r="DJ38" i="2"/>
  <c r="DD38" i="2"/>
  <c r="DB38" i="2"/>
  <c r="DG18" i="2"/>
  <c r="DL18" i="2"/>
  <c r="DJ18" i="2"/>
  <c r="DI18" i="2"/>
  <c r="DK18" i="2"/>
  <c r="DC18" i="2"/>
  <c r="DB18" i="2"/>
  <c r="DF18" i="2"/>
  <c r="DD18" i="2"/>
  <c r="DH18" i="2"/>
  <c r="FB18" i="2"/>
  <c r="DA38" i="2"/>
  <c r="DJ67" i="2"/>
  <c r="EU38" i="2"/>
  <c r="ES38" i="2"/>
  <c r="EX38" i="2"/>
  <c r="EY38" i="2"/>
  <c r="EQ38" i="2"/>
  <c r="EW38" i="2"/>
  <c r="ER38" i="2"/>
  <c r="EZ38" i="2"/>
  <c r="ET38" i="2"/>
  <c r="EV38" i="2"/>
  <c r="EP38" i="2"/>
  <c r="DG93" i="2"/>
  <c r="DK104" i="2"/>
  <c r="DA104" i="2"/>
  <c r="DJ104" i="2"/>
  <c r="DH104" i="2"/>
  <c r="FB104" i="2"/>
  <c r="DC104" i="2"/>
  <c r="DG104" i="2"/>
  <c r="DI104" i="2"/>
  <c r="DE104" i="2"/>
  <c r="DD104" i="2"/>
  <c r="DB89" i="2"/>
  <c r="FG110" i="2"/>
  <c r="AL110" i="2"/>
  <c r="AI110" i="2"/>
  <c r="AJ110" i="2"/>
  <c r="DF66" i="2"/>
  <c r="DC27" i="2"/>
  <c r="FG101" i="2"/>
  <c r="AL101" i="2"/>
  <c r="AI101" i="2"/>
  <c r="AJ101" i="2"/>
  <c r="DH87" i="2"/>
  <c r="FB87" i="2"/>
  <c r="EQ31" i="2"/>
  <c r="EW31" i="2"/>
  <c r="FB31" i="2"/>
  <c r="ET31" i="2"/>
  <c r="ES31" i="2"/>
  <c r="EV31" i="2"/>
  <c r="EY31" i="2"/>
  <c r="EX31" i="2"/>
  <c r="EP31" i="2"/>
  <c r="ER31" i="2"/>
  <c r="EZ31" i="2"/>
  <c r="EU31" i="2"/>
  <c r="ET54" i="2"/>
  <c r="EZ54" i="2"/>
  <c r="EY54" i="2"/>
  <c r="EW54" i="2"/>
  <c r="ER54" i="2"/>
  <c r="ES54" i="2"/>
  <c r="EQ54" i="2"/>
  <c r="EP54" i="2"/>
  <c r="EX54" i="2"/>
  <c r="EU54" i="2"/>
  <c r="EV54" i="2"/>
  <c r="DC38" i="2"/>
  <c r="FB103" i="2"/>
  <c r="DC70" i="2"/>
  <c r="DG70" i="2"/>
  <c r="DD70" i="2"/>
  <c r="DF70" i="2"/>
  <c r="DI70" i="2"/>
  <c r="DE70" i="2"/>
  <c r="DH70" i="2"/>
  <c r="FB70" i="2"/>
  <c r="DK70" i="2"/>
  <c r="DB54" i="2"/>
  <c r="ER74" i="2"/>
  <c r="ET74" i="2"/>
  <c r="EU74" i="2"/>
  <c r="ES74" i="2"/>
  <c r="EX74" i="2"/>
  <c r="EP74" i="2"/>
  <c r="EZ74" i="2"/>
  <c r="EQ74" i="2"/>
  <c r="EY74" i="2"/>
  <c r="EV74" i="2"/>
  <c r="EW74" i="2"/>
  <c r="ER77" i="2"/>
  <c r="EX77" i="2"/>
  <c r="EU77" i="2"/>
  <c r="EW77" i="2"/>
  <c r="FB77" i="2"/>
  <c r="ES77" i="2"/>
  <c r="ET77" i="2"/>
  <c r="EP77" i="2"/>
  <c r="EY77" i="2"/>
  <c r="EZ77" i="2"/>
  <c r="EQ77" i="2"/>
  <c r="EV77" i="2"/>
  <c r="EP106" i="2"/>
  <c r="ET106" i="2"/>
  <c r="ES106" i="2"/>
  <c r="EW106" i="2"/>
  <c r="EV106" i="2"/>
  <c r="EY106" i="2"/>
  <c r="ER106" i="2"/>
  <c r="EU106" i="2"/>
  <c r="EZ106" i="2"/>
  <c r="EX106" i="2"/>
  <c r="EQ106" i="2"/>
  <c r="DA111" i="2"/>
  <c r="DB76" i="2"/>
  <c r="DI76" i="2"/>
  <c r="DE76" i="2"/>
  <c r="DL76" i="2"/>
  <c r="DF76" i="2"/>
  <c r="DH76" i="2"/>
  <c r="DA76" i="2"/>
  <c r="DJ76" i="2"/>
  <c r="DF54" i="2"/>
  <c r="DG39" i="2"/>
  <c r="DL39" i="2"/>
  <c r="FG39" i="2"/>
  <c r="DJ39" i="2"/>
  <c r="DC24" i="2"/>
  <c r="DC77" i="2"/>
  <c r="DA69" i="2"/>
  <c r="ER14" i="2"/>
  <c r="EX14" i="2"/>
  <c r="EV14" i="2"/>
  <c r="EU14" i="2"/>
  <c r="EW14" i="2"/>
  <c r="FB14" i="2"/>
  <c r="EQ14" i="2"/>
  <c r="ES14" i="2"/>
  <c r="ET14" i="2"/>
  <c r="EP14" i="2"/>
  <c r="EY14" i="2"/>
  <c r="EZ14" i="2"/>
  <c r="EZ34" i="2"/>
  <c r="EX34" i="2"/>
  <c r="ES34" i="2"/>
  <c r="EW34" i="2"/>
  <c r="EY34" i="2"/>
  <c r="ER34" i="2"/>
  <c r="EQ34" i="2"/>
  <c r="EU34" i="2"/>
  <c r="ET34" i="2"/>
  <c r="EV34" i="2"/>
  <c r="EP34" i="2"/>
  <c r="DF94" i="2"/>
  <c r="DA94" i="2"/>
  <c r="DI94" i="2"/>
  <c r="DC94" i="2"/>
  <c r="DE94" i="2"/>
  <c r="DL94" i="2"/>
  <c r="FG94" i="2"/>
  <c r="AL94" i="2"/>
  <c r="AI94" i="2"/>
  <c r="AJ94" i="2"/>
  <c r="DJ94" i="2"/>
  <c r="DK94" i="2"/>
  <c r="DD94" i="2"/>
  <c r="DJ73" i="2"/>
  <c r="FB44" i="2"/>
  <c r="DL98" i="2"/>
  <c r="ET57" i="2"/>
  <c r="EY57" i="2"/>
  <c r="EW57" i="2"/>
  <c r="EX57" i="2"/>
  <c r="EV57" i="2"/>
  <c r="EZ57" i="2"/>
  <c r="EU57" i="2"/>
  <c r="ES57" i="2"/>
  <c r="EP57" i="2"/>
  <c r="ER57" i="2"/>
  <c r="EQ57" i="2"/>
  <c r="FC78" i="2"/>
  <c r="FD78" i="2"/>
  <c r="DL100" i="2"/>
  <c r="FG100" i="2"/>
  <c r="AL100" i="2"/>
  <c r="AI100" i="2"/>
  <c r="AJ100" i="2"/>
  <c r="EL28" i="3"/>
  <c r="EO28" i="3"/>
  <c r="DI32" i="3"/>
  <c r="DH32" i="3"/>
  <c r="ET28" i="3"/>
  <c r="EV28" i="3"/>
  <c r="DB32" i="3"/>
  <c r="EP28" i="3"/>
  <c r="DC32" i="3"/>
  <c r="CY32" i="3"/>
  <c r="DD32" i="3"/>
  <c r="DG32" i="3"/>
  <c r="EN28" i="3"/>
  <c r="EU28" i="3"/>
  <c r="DA32" i="3"/>
  <c r="ES28" i="3"/>
  <c r="EM28" i="3"/>
  <c r="EU21" i="3"/>
  <c r="EM21" i="3"/>
  <c r="ET34" i="3"/>
  <c r="ES34" i="3"/>
  <c r="DB14" i="3"/>
  <c r="EP19" i="3"/>
  <c r="ES19" i="3"/>
  <c r="EX19" i="3"/>
  <c r="DF17" i="3"/>
  <c r="CY16" i="3"/>
  <c r="EO21" i="3"/>
  <c r="EL21" i="3"/>
  <c r="CY38" i="3"/>
  <c r="DH36" i="3"/>
  <c r="DC36" i="3"/>
  <c r="EU34" i="3"/>
  <c r="EM34" i="3"/>
  <c r="DC14" i="3"/>
  <c r="DF16" i="3"/>
  <c r="EQ21" i="3"/>
  <c r="EL34" i="3"/>
  <c r="DD29" i="3"/>
  <c r="ET19" i="3"/>
  <c r="CZ14" i="3"/>
  <c r="EO24" i="3"/>
  <c r="DA36" i="3"/>
  <c r="DH38" i="3"/>
  <c r="EN24" i="3"/>
  <c r="DE16" i="3"/>
  <c r="DA16" i="3"/>
  <c r="EV21" i="3"/>
  <c r="ER21" i="3"/>
  <c r="CZ36" i="3"/>
  <c r="EV34" i="3"/>
  <c r="EP34" i="3"/>
  <c r="EX20" i="3"/>
  <c r="EZ20" i="3"/>
  <c r="EN21" i="3"/>
  <c r="EN34" i="3"/>
  <c r="DD16" i="3"/>
  <c r="DG38" i="3"/>
  <c r="EN19" i="3"/>
  <c r="DF14" i="3"/>
  <c r="DI29" i="3"/>
  <c r="DB16" i="3"/>
  <c r="DI38" i="3"/>
  <c r="DB34" i="3"/>
  <c r="EL17" i="3"/>
  <c r="EO16" i="3"/>
  <c r="EV16" i="3"/>
  <c r="DA34" i="3"/>
  <c r="ER17" i="3"/>
  <c r="ER16" i="3"/>
  <c r="ET16" i="3"/>
  <c r="ES16" i="3"/>
  <c r="EQ29" i="3"/>
  <c r="EQ16" i="3"/>
  <c r="EP16" i="3"/>
  <c r="ER29" i="3"/>
  <c r="EP17" i="3"/>
  <c r="DA37" i="3"/>
  <c r="EN16" i="3"/>
  <c r="EI34" i="1"/>
  <c r="EJ34" i="1"/>
  <c r="ET14" i="1"/>
  <c r="EM14" i="1"/>
  <c r="CV14" i="1"/>
  <c r="CW14" i="1"/>
  <c r="DB14" i="1"/>
  <c r="CV34" i="1"/>
  <c r="CW34" i="1"/>
  <c r="CY34" i="1"/>
  <c r="EU14" i="1"/>
  <c r="EQ14" i="1"/>
  <c r="EP14" i="1"/>
  <c r="EM33" i="1"/>
  <c r="ER14" i="1"/>
  <c r="EL14" i="1"/>
  <c r="CV21" i="1"/>
  <c r="CW21" i="1"/>
  <c r="DC21" i="1"/>
  <c r="CV33" i="1"/>
  <c r="CW33" i="1"/>
  <c r="EN14" i="1"/>
  <c r="CV23" i="1"/>
  <c r="CW23" i="1"/>
  <c r="DD25" i="1"/>
  <c r="DC25" i="1"/>
  <c r="DH25" i="1"/>
  <c r="DB35" i="1"/>
  <c r="DC35" i="1"/>
  <c r="ER39" i="1"/>
  <c r="CV39" i="1"/>
  <c r="CW39" i="1"/>
  <c r="DH39" i="1"/>
  <c r="EP28" i="1"/>
  <c r="CY33" i="1"/>
  <c r="DC33" i="1"/>
  <c r="CV18" i="1"/>
  <c r="CW18" i="1"/>
  <c r="EI29" i="1"/>
  <c r="EJ29" i="1"/>
  <c r="ES29" i="1"/>
  <c r="EO30" i="1"/>
  <c r="CV29" i="1"/>
  <c r="CW29" i="1"/>
  <c r="CY29" i="1"/>
  <c r="CV30" i="1"/>
  <c r="CW30" i="1"/>
  <c r="DH30" i="1"/>
  <c r="DF25" i="1"/>
  <c r="EI31" i="1"/>
  <c r="EJ31" i="1"/>
  <c r="EL25" i="1"/>
  <c r="ES35" i="1"/>
  <c r="EP35" i="1"/>
  <c r="ET35" i="1"/>
  <c r="DG25" i="1"/>
  <c r="DD35" i="1"/>
  <c r="DE39" i="1"/>
  <c r="DJ39" i="1"/>
  <c r="DE35" i="1"/>
  <c r="DJ35" i="1"/>
  <c r="DB25" i="1"/>
  <c r="DC39" i="1"/>
  <c r="DB39" i="1"/>
  <c r="CZ25" i="1"/>
  <c r="DD39" i="1"/>
  <c r="DG39" i="1"/>
  <c r="DA14" i="1"/>
  <c r="CV38" i="1"/>
  <c r="CW38" i="1"/>
  <c r="EV39" i="1"/>
  <c r="DE25" i="1"/>
  <c r="DJ25" i="1"/>
  <c r="FC25" i="1"/>
  <c r="DA39" i="1"/>
  <c r="EP39" i="1"/>
  <c r="DI25" i="1"/>
  <c r="CZ39" i="1"/>
  <c r="EI17" i="1"/>
  <c r="EJ17" i="1"/>
  <c r="EM17" i="1"/>
  <c r="DG35" i="1"/>
  <c r="DI35" i="1"/>
  <c r="DB23" i="1"/>
  <c r="CV28" i="1"/>
  <c r="CW28" i="1"/>
  <c r="DH28" i="1"/>
  <c r="DI39" i="1"/>
  <c r="EN35" i="1"/>
  <c r="EM35" i="1"/>
  <c r="CY35" i="1"/>
  <c r="CY25" i="1"/>
  <c r="DA25" i="1"/>
  <c r="CV32" i="1"/>
  <c r="CW32" i="1"/>
  <c r="CY32" i="1"/>
  <c r="EI18" i="1"/>
  <c r="EJ18" i="1"/>
  <c r="ER18" i="1"/>
  <c r="DA35" i="1"/>
  <c r="DH35" i="1"/>
  <c r="CV15" i="1"/>
  <c r="CW15" i="1"/>
  <c r="DA15" i="1"/>
  <c r="ER25" i="1"/>
  <c r="DF35" i="1"/>
  <c r="FC35" i="1"/>
  <c r="AL35" i="1"/>
  <c r="AI35" i="1"/>
  <c r="AJ35" i="1"/>
  <c r="CZ35" i="1"/>
  <c r="CY39" i="1"/>
  <c r="ET30" i="1"/>
  <c r="CV36" i="1"/>
  <c r="CW36" i="1"/>
  <c r="DC36" i="1"/>
  <c r="CV20" i="1"/>
  <c r="CW20" i="1"/>
  <c r="DA20" i="1"/>
  <c r="DF39" i="1"/>
  <c r="EX39" i="1"/>
  <c r="EZ39" i="1"/>
  <c r="EP33" i="1"/>
  <c r="DH21" i="1"/>
  <c r="DI23" i="1"/>
  <c r="CZ23" i="1"/>
  <c r="DA23" i="1"/>
  <c r="CY23" i="1"/>
  <c r="DH23" i="1"/>
  <c r="DC23" i="1"/>
  <c r="DD23" i="1"/>
  <c r="DE23" i="1"/>
  <c r="DG23" i="1"/>
  <c r="DF23" i="1"/>
  <c r="DI33" i="1"/>
  <c r="EN33" i="1"/>
  <c r="DD33" i="1"/>
  <c r="CV19" i="1"/>
  <c r="CW19" i="1"/>
  <c r="DD19" i="1"/>
  <c r="EM25" i="1"/>
  <c r="DB34" i="1"/>
  <c r="CV31" i="1"/>
  <c r="CW31" i="1"/>
  <c r="DI31" i="1"/>
  <c r="CV37" i="1"/>
  <c r="CW37" i="1"/>
  <c r="DI37" i="1"/>
  <c r="EL28" i="1"/>
  <c r="DH34" i="1"/>
  <c r="ES33" i="1"/>
  <c r="ER33" i="1"/>
  <c r="ET39" i="1"/>
  <c r="EU39" i="1"/>
  <c r="EU30" i="1"/>
  <c r="ES30" i="1"/>
  <c r="EL30" i="1"/>
  <c r="EQ25" i="1"/>
  <c r="EO25" i="1"/>
  <c r="ES25" i="1"/>
  <c r="EX25" i="1"/>
  <c r="DF33" i="1"/>
  <c r="EN25" i="1"/>
  <c r="EI16" i="1"/>
  <c r="EJ16" i="1"/>
  <c r="ER16" i="1"/>
  <c r="ET28" i="1"/>
  <c r="CV16" i="1"/>
  <c r="CW16" i="1"/>
  <c r="DH16" i="1"/>
  <c r="EO28" i="1"/>
  <c r="ET33" i="1"/>
  <c r="EL33" i="1"/>
  <c r="EM39" i="1"/>
  <c r="EL39" i="1"/>
  <c r="EV30" i="1"/>
  <c r="EP30" i="1"/>
  <c r="DG33" i="1"/>
  <c r="EV33" i="1"/>
  <c r="CZ33" i="1"/>
  <c r="EV25" i="1"/>
  <c r="EI38" i="1"/>
  <c r="EJ38" i="1"/>
  <c r="ET38" i="1"/>
  <c r="EQ33" i="1"/>
  <c r="EQ39" i="1"/>
  <c r="EN39" i="1"/>
  <c r="EM30" i="1"/>
  <c r="ER30" i="1"/>
  <c r="EO35" i="1"/>
  <c r="ER35" i="1"/>
  <c r="EL35" i="1"/>
  <c r="DE33" i="1"/>
  <c r="DJ33" i="1"/>
  <c r="DH33" i="1"/>
  <c r="EN30" i="1"/>
  <c r="CV24" i="1"/>
  <c r="CW24" i="1"/>
  <c r="CZ24" i="1"/>
  <c r="EU28" i="1"/>
  <c r="EM28" i="1"/>
  <c r="EQ28" i="1"/>
  <c r="DA33" i="1"/>
  <c r="EU25" i="1"/>
  <c r="EP25" i="1"/>
  <c r="ER28" i="1"/>
  <c r="EU33" i="1"/>
  <c r="EO39" i="1"/>
  <c r="DB33" i="1"/>
  <c r="EV34" i="1"/>
  <c r="EP34" i="1"/>
  <c r="EQ34" i="1"/>
  <c r="ER34" i="1"/>
  <c r="ET34" i="1"/>
  <c r="EN34" i="1"/>
  <c r="ES34" i="1"/>
  <c r="EL34" i="1"/>
  <c r="EO34" i="1"/>
  <c r="EM34" i="1"/>
  <c r="EU34" i="1"/>
  <c r="DC37" i="1"/>
  <c r="DD37" i="1"/>
  <c r="DE37" i="1"/>
  <c r="DG37" i="1"/>
  <c r="DA37" i="1"/>
  <c r="DB37" i="1"/>
  <c r="DF37" i="1"/>
  <c r="EV16" i="1"/>
  <c r="EO22" i="1"/>
  <c r="ET22" i="1"/>
  <c r="EV22" i="1"/>
  <c r="EN22" i="1"/>
  <c r="ER22" i="1"/>
  <c r="EL22" i="1"/>
  <c r="EP22" i="1"/>
  <c r="ES22" i="1"/>
  <c r="EM22" i="1"/>
  <c r="EQ22" i="1"/>
  <c r="EU22" i="1"/>
  <c r="EV31" i="1"/>
  <c r="EN31" i="1"/>
  <c r="EP31" i="1"/>
  <c r="ET31" i="1"/>
  <c r="ES31" i="1"/>
  <c r="EO31" i="1"/>
  <c r="EL31" i="1"/>
  <c r="ER31" i="1"/>
  <c r="EM31" i="1"/>
  <c r="EU31" i="1"/>
  <c r="EQ31" i="1"/>
  <c r="DC18" i="1"/>
  <c r="CZ18" i="1"/>
  <c r="DD18" i="1"/>
  <c r="DB18" i="1"/>
  <c r="DG18" i="1"/>
  <c r="DA18" i="1"/>
  <c r="CY18" i="1"/>
  <c r="DF18" i="1"/>
  <c r="DI18" i="1"/>
  <c r="DE18" i="1"/>
  <c r="DF20" i="1"/>
  <c r="DH20" i="1"/>
  <c r="DG20" i="1"/>
  <c r="DE22" i="1"/>
  <c r="CZ22" i="1"/>
  <c r="DA22" i="1"/>
  <c r="DB22" i="1"/>
  <c r="DI22" i="1"/>
  <c r="CY22" i="1"/>
  <c r="DF22" i="1"/>
  <c r="DD22" i="1"/>
  <c r="DG22" i="1"/>
  <c r="DC22" i="1"/>
  <c r="EM38" i="1"/>
  <c r="ES38" i="1"/>
  <c r="EP38" i="1"/>
  <c r="DC38" i="1"/>
  <c r="CZ38" i="1"/>
  <c r="DF38" i="1"/>
  <c r="CY38" i="1"/>
  <c r="DD38" i="1"/>
  <c r="DH38" i="1"/>
  <c r="ET15" i="1"/>
  <c r="EP15" i="1"/>
  <c r="EL15" i="1"/>
  <c r="EV15" i="1"/>
  <c r="EO15" i="1"/>
  <c r="ES15" i="1"/>
  <c r="EQ15" i="1"/>
  <c r="EN15" i="1"/>
  <c r="EU15" i="1"/>
  <c r="ER15" i="1"/>
  <c r="DC34" i="1"/>
  <c r="DF34" i="1"/>
  <c r="DI34" i="1"/>
  <c r="DD34" i="1"/>
  <c r="DA34" i="1"/>
  <c r="DG34" i="1"/>
  <c r="DH18" i="1"/>
  <c r="DD15" i="1"/>
  <c r="DB38" i="1"/>
  <c r="EI19" i="1"/>
  <c r="EJ19" i="1"/>
  <c r="EO23" i="1"/>
  <c r="ES23" i="1"/>
  <c r="EX23" i="1"/>
  <c r="EM23" i="1"/>
  <c r="ET23" i="1"/>
  <c r="EN23" i="1"/>
  <c r="EQ23" i="1"/>
  <c r="EU23" i="1"/>
  <c r="EP23" i="1"/>
  <c r="ER23" i="1"/>
  <c r="EL23" i="1"/>
  <c r="EV23" i="1"/>
  <c r="EM15" i="1"/>
  <c r="DC14" i="1"/>
  <c r="EM32" i="1"/>
  <c r="EQ32" i="1"/>
  <c r="EO32" i="1"/>
  <c r="EP32" i="1"/>
  <c r="EN32" i="1"/>
  <c r="EL32" i="1"/>
  <c r="EU32" i="1"/>
  <c r="ET32" i="1"/>
  <c r="ES32" i="1"/>
  <c r="ER32" i="1"/>
  <c r="EV32" i="1"/>
  <c r="EL21" i="1"/>
  <c r="ER21" i="1"/>
  <c r="EV21" i="1"/>
  <c r="EP21" i="1"/>
  <c r="ES21" i="1"/>
  <c r="EQ21" i="1"/>
  <c r="EO21" i="1"/>
  <c r="ET21" i="1"/>
  <c r="EM21" i="1"/>
  <c r="EU21" i="1"/>
  <c r="EN21" i="1"/>
  <c r="DG38" i="1"/>
  <c r="DE29" i="1"/>
  <c r="DB15" i="1"/>
  <c r="DG14" i="1"/>
  <c r="DF14" i="1"/>
  <c r="EX14" i="1"/>
  <c r="DH14" i="1"/>
  <c r="CY14" i="1"/>
  <c r="DD14" i="1"/>
  <c r="CZ14" i="1"/>
  <c r="EI37" i="1"/>
  <c r="EJ37" i="1"/>
  <c r="CZ34" i="1"/>
  <c r="DE34" i="1"/>
  <c r="DI14" i="1"/>
  <c r="DH22" i="1"/>
  <c r="CV17" i="1"/>
  <c r="CW17" i="1"/>
  <c r="DF17" i="1"/>
  <c r="EQ18" i="1"/>
  <c r="ES18" i="1"/>
  <c r="EN17" i="1"/>
  <c r="ET17" i="1"/>
  <c r="ER17" i="1"/>
  <c r="EL17" i="1"/>
  <c r="EQ17" i="1"/>
  <c r="EU17" i="1"/>
  <c r="EO17" i="1"/>
  <c r="DG19" i="1"/>
  <c r="EV17" i="1"/>
  <c r="EP17" i="1"/>
  <c r="CZ15" i="1"/>
  <c r="EQ24" i="1"/>
  <c r="ES24" i="1"/>
  <c r="ET24" i="1"/>
  <c r="ER24" i="1"/>
  <c r="EM24" i="1"/>
  <c r="EN24" i="1"/>
  <c r="EL24" i="1"/>
  <c r="EU24" i="1"/>
  <c r="EO24" i="1"/>
  <c r="EV24" i="1"/>
  <c r="EP24" i="1"/>
  <c r="CZ37" i="1"/>
  <c r="DI38" i="1"/>
  <c r="DH37" i="1"/>
  <c r="EM29" i="1"/>
  <c r="EL29" i="1"/>
  <c r="EN29" i="1"/>
  <c r="EM20" i="1"/>
  <c r="ES20" i="1"/>
  <c r="EV20" i="1"/>
  <c r="ER20" i="1"/>
  <c r="EQ20" i="1"/>
  <c r="EN20" i="1"/>
  <c r="EL20" i="1"/>
  <c r="ET20" i="1"/>
  <c r="EU20" i="1"/>
  <c r="EP20" i="1"/>
  <c r="DE38" i="1"/>
  <c r="DA38" i="1"/>
  <c r="DH15" i="1"/>
  <c r="CY15" i="1"/>
  <c r="DG15" i="1"/>
  <c r="DC15" i="1"/>
  <c r="DF15" i="1"/>
  <c r="DE15" i="1"/>
  <c r="DI15" i="1"/>
  <c r="ES17" i="1"/>
  <c r="DE14" i="1"/>
  <c r="ER36" i="1"/>
  <c r="EL36" i="1"/>
  <c r="EU36" i="1"/>
  <c r="ES36" i="1"/>
  <c r="EV36" i="1"/>
  <c r="EM36" i="1"/>
  <c r="EQ36" i="1"/>
  <c r="EN36" i="1"/>
  <c r="EO36" i="1"/>
  <c r="EP36" i="1"/>
  <c r="ET36" i="1"/>
  <c r="DA17" i="3"/>
  <c r="DG17" i="3"/>
  <c r="EP29" i="3"/>
  <c r="EX28" i="3"/>
  <c r="EZ28" i="3"/>
  <c r="DH33" i="3"/>
  <c r="DG14" i="3"/>
  <c r="DH30" i="3"/>
  <c r="DI14" i="3"/>
  <c r="DF21" i="3"/>
  <c r="EX21" i="3"/>
  <c r="EZ21" i="3"/>
  <c r="DC30" i="3"/>
  <c r="DJ30" i="3"/>
  <c r="ES24" i="3"/>
  <c r="DA38" i="3"/>
  <c r="DI17" i="3"/>
  <c r="DA14" i="3"/>
  <c r="CZ17" i="3"/>
  <c r="EO17" i="3"/>
  <c r="ET29" i="3"/>
  <c r="EN29" i="3"/>
  <c r="DC38" i="3"/>
  <c r="DC17" i="3"/>
  <c r="DE14" i="3"/>
  <c r="DE33" i="3"/>
  <c r="DB17" i="3"/>
  <c r="DJ28" i="3"/>
  <c r="DA29" i="3"/>
  <c r="CY30" i="3"/>
  <c r="EP24" i="3"/>
  <c r="CY17" i="3"/>
  <c r="EU17" i="3"/>
  <c r="EV29" i="3"/>
  <c r="EL29" i="3"/>
  <c r="DE38" i="3"/>
  <c r="DF30" i="3"/>
  <c r="EX30" i="3"/>
  <c r="EZ30" i="3"/>
  <c r="DA30" i="3"/>
  <c r="EM24" i="3"/>
  <c r="ET24" i="3"/>
  <c r="EQ24" i="3"/>
  <c r="EM17" i="3"/>
  <c r="DE17" i="3"/>
  <c r="ET17" i="3"/>
  <c r="EU29" i="3"/>
  <c r="ES29" i="3"/>
  <c r="FC39" i="3"/>
  <c r="AL39" i="3"/>
  <c r="AI39" i="3"/>
  <c r="DH17" i="3"/>
  <c r="DI30" i="3"/>
  <c r="EV24" i="3"/>
  <c r="ER24" i="3"/>
  <c r="EV17" i="3"/>
  <c r="EN17" i="3"/>
  <c r="EO29" i="3"/>
  <c r="DD38" i="3"/>
  <c r="DH25" i="3"/>
  <c r="CZ25" i="3"/>
  <c r="DJ23" i="3"/>
  <c r="FC23" i="3"/>
  <c r="DD22" i="3"/>
  <c r="DH22" i="3"/>
  <c r="DB21" i="3"/>
  <c r="DG21" i="3"/>
  <c r="DC21" i="3"/>
  <c r="DJ21" i="3"/>
  <c r="CY21" i="3"/>
  <c r="DD21" i="3"/>
  <c r="CZ21" i="3"/>
  <c r="DA21" i="3"/>
  <c r="DI21" i="3"/>
  <c r="DH21" i="3"/>
  <c r="DJ20" i="3"/>
  <c r="FC20" i="3"/>
  <c r="DJ18" i="3"/>
  <c r="CZ15" i="3"/>
  <c r="ER35" i="3"/>
  <c r="EN35" i="3"/>
  <c r="EQ35" i="3"/>
  <c r="EM35" i="3"/>
  <c r="EU35" i="3"/>
  <c r="ES35" i="3"/>
  <c r="EL35" i="3"/>
  <c r="EO35" i="3"/>
  <c r="ET35" i="3"/>
  <c r="EP35" i="3"/>
  <c r="EV35" i="3"/>
  <c r="EU14" i="3"/>
  <c r="EQ14" i="3"/>
  <c r="EN14" i="3"/>
  <c r="ET14" i="3"/>
  <c r="EM14" i="3"/>
  <c r="ES14" i="3"/>
  <c r="EO14" i="3"/>
  <c r="ER14" i="3"/>
  <c r="EL14" i="3"/>
  <c r="EP14" i="3"/>
  <c r="EV14" i="3"/>
  <c r="CY35" i="3"/>
  <c r="DD35" i="3"/>
  <c r="CZ35" i="3"/>
  <c r="DE35" i="3"/>
  <c r="DG35" i="3"/>
  <c r="DH35" i="3"/>
  <c r="DF35" i="3"/>
  <c r="CZ31" i="3"/>
  <c r="DB31" i="3"/>
  <c r="DC31" i="3"/>
  <c r="DI31" i="3"/>
  <c r="DF31" i="3"/>
  <c r="DD31" i="3"/>
  <c r="DG15" i="3"/>
  <c r="DB15" i="3"/>
  <c r="DH15" i="3"/>
  <c r="DC15" i="3"/>
  <c r="DI15" i="3"/>
  <c r="DF15" i="3"/>
  <c r="DD15" i="3"/>
  <c r="DA15" i="3"/>
  <c r="EN15" i="3"/>
  <c r="EQ15" i="3"/>
  <c r="ES15" i="3"/>
  <c r="ET15" i="3"/>
  <c r="EV15" i="3"/>
  <c r="EP15" i="3"/>
  <c r="EM15" i="3"/>
  <c r="EL15" i="3"/>
  <c r="ER15" i="3"/>
  <c r="EO15" i="3"/>
  <c r="EU15" i="3"/>
  <c r="DD33" i="3"/>
  <c r="DC33" i="3"/>
  <c r="DI33" i="3"/>
  <c r="DA33" i="3"/>
  <c r="DB33" i="3"/>
  <c r="DG33" i="3"/>
  <c r="CZ33" i="3"/>
  <c r="DE31" i="3"/>
  <c r="DJ31" i="3"/>
  <c r="EN18" i="3"/>
  <c r="ES18" i="3"/>
  <c r="EX18" i="3"/>
  <c r="EQ18" i="3"/>
  <c r="EP18" i="3"/>
  <c r="EV18" i="3"/>
  <c r="EM18" i="3"/>
  <c r="ET18" i="3"/>
  <c r="EL18" i="3"/>
  <c r="EU18" i="3"/>
  <c r="EO18" i="3"/>
  <c r="ER18" i="3"/>
  <c r="EQ38" i="3"/>
  <c r="EN38" i="3"/>
  <c r="EM38" i="3"/>
  <c r="ES38" i="3"/>
  <c r="EP38" i="3"/>
  <c r="EO38" i="3"/>
  <c r="EV38" i="3"/>
  <c r="EU38" i="3"/>
  <c r="EL38" i="3"/>
  <c r="ER38" i="3"/>
  <c r="ET38" i="3"/>
  <c r="CY31" i="3"/>
  <c r="CY34" i="3"/>
  <c r="DE34" i="3"/>
  <c r="CZ34" i="3"/>
  <c r="DD34" i="3"/>
  <c r="DI34" i="3"/>
  <c r="DH34" i="3"/>
  <c r="DC34" i="3"/>
  <c r="DF34" i="3"/>
  <c r="EX34" i="3"/>
  <c r="DE15" i="3"/>
  <c r="DC35" i="3"/>
  <c r="EU37" i="3"/>
  <c r="EN37" i="3"/>
  <c r="ES37" i="3"/>
  <c r="EO37" i="3"/>
  <c r="ER37" i="3"/>
  <c r="EQ37" i="3"/>
  <c r="ET37" i="3"/>
  <c r="EM37" i="3"/>
  <c r="EV37" i="3"/>
  <c r="EP37" i="3"/>
  <c r="EL37" i="3"/>
  <c r="DI37" i="3"/>
  <c r="ET25" i="3"/>
  <c r="EM25" i="3"/>
  <c r="EN25" i="3"/>
  <c r="EP25" i="3"/>
  <c r="ES25" i="3"/>
  <c r="EL25" i="3"/>
  <c r="EV25" i="3"/>
  <c r="ER25" i="3"/>
  <c r="EQ25" i="3"/>
  <c r="EO25" i="3"/>
  <c r="EU25" i="3"/>
  <c r="DB35" i="3"/>
  <c r="EX17" i="3"/>
  <c r="CY24" i="3"/>
  <c r="DH24" i="3"/>
  <c r="DD24" i="3"/>
  <c r="DG24" i="3"/>
  <c r="DI24" i="3"/>
  <c r="DA24" i="3"/>
  <c r="DC24" i="3"/>
  <c r="CZ24" i="3"/>
  <c r="DE24" i="3"/>
  <c r="DA35" i="3"/>
  <c r="EX23" i="3"/>
  <c r="DH31" i="3"/>
  <c r="DH29" i="3"/>
  <c r="DE29" i="3"/>
  <c r="CZ29" i="3"/>
  <c r="DC29" i="3"/>
  <c r="DF29" i="3"/>
  <c r="DG29" i="3"/>
  <c r="CY29" i="3"/>
  <c r="DG31" i="3"/>
  <c r="EX14" i="3"/>
  <c r="ES31" i="3"/>
  <c r="EM31" i="3"/>
  <c r="EP31" i="3"/>
  <c r="EO31" i="3"/>
  <c r="EN31" i="3"/>
  <c r="EV31" i="3"/>
  <c r="EQ31" i="3"/>
  <c r="EL31" i="3"/>
  <c r="ER31" i="3"/>
  <c r="ET31" i="3"/>
  <c r="EU31" i="3"/>
  <c r="CY25" i="3"/>
  <c r="DI25" i="3"/>
  <c r="DC25" i="3"/>
  <c r="DA25" i="3"/>
  <c r="DG25" i="3"/>
  <c r="DE25" i="3"/>
  <c r="DB25" i="3"/>
  <c r="DF25" i="3"/>
  <c r="DI35" i="3"/>
  <c r="DF24" i="3"/>
  <c r="EX24" i="3"/>
  <c r="EX36" i="3"/>
  <c r="EU32" i="3"/>
  <c r="ET32" i="3"/>
  <c r="EQ32" i="3"/>
  <c r="EL32" i="3"/>
  <c r="EO32" i="3"/>
  <c r="ER32" i="3"/>
  <c r="EN32" i="3"/>
  <c r="ES32" i="3"/>
  <c r="EX32" i="3"/>
  <c r="EP32" i="3"/>
  <c r="EM32" i="3"/>
  <c r="EV32" i="3"/>
  <c r="CY33" i="3"/>
  <c r="EY20" i="3"/>
  <c r="DE37" i="3"/>
  <c r="DJ37" i="3"/>
  <c r="DF37" i="3"/>
  <c r="CZ37" i="3"/>
  <c r="DD37" i="3"/>
  <c r="DB37" i="3"/>
  <c r="DH37" i="3"/>
  <c r="DG37" i="3"/>
  <c r="CY37" i="3"/>
  <c r="EY21" i="3"/>
  <c r="EV33" i="3"/>
  <c r="EQ33" i="3"/>
  <c r="EN33" i="3"/>
  <c r="EO33" i="3"/>
  <c r="ET33" i="3"/>
  <c r="EM33" i="3"/>
  <c r="EP33" i="3"/>
  <c r="EU33" i="3"/>
  <c r="ES33" i="3"/>
  <c r="EX33" i="3"/>
  <c r="EL33" i="3"/>
  <c r="ER33" i="3"/>
  <c r="DA31" i="3"/>
  <c r="DA22" i="3"/>
  <c r="CY22" i="3"/>
  <c r="DC22" i="3"/>
  <c r="DI22" i="3"/>
  <c r="DG22" i="3"/>
  <c r="DE22" i="3"/>
  <c r="DF22" i="3"/>
  <c r="EX22" i="3"/>
  <c r="DB22" i="3"/>
  <c r="DJ32" i="3"/>
  <c r="DJ36" i="3"/>
  <c r="DJ16" i="3"/>
  <c r="EX38" i="3"/>
  <c r="DJ19" i="3"/>
  <c r="EX39" i="3"/>
  <c r="FD59" i="2"/>
  <c r="FC59" i="2"/>
  <c r="FD41" i="2"/>
  <c r="FC41" i="2"/>
  <c r="FE41" i="2"/>
  <c r="AL41" i="2"/>
  <c r="AI41" i="2"/>
  <c r="AJ41" i="2"/>
  <c r="FC107" i="2"/>
  <c r="FD107" i="2"/>
  <c r="FE107" i="2"/>
  <c r="FB29" i="2"/>
  <c r="FC91" i="2"/>
  <c r="FE91" i="2"/>
  <c r="DH79" i="2"/>
  <c r="DL25" i="2"/>
  <c r="FG25" i="2"/>
  <c r="DH42" i="2"/>
  <c r="FB42" i="2"/>
  <c r="DC42" i="2"/>
  <c r="FB74" i="2"/>
  <c r="DF30" i="2"/>
  <c r="FG98" i="2"/>
  <c r="AL98" i="2"/>
  <c r="AI98" i="2"/>
  <c r="AJ98" i="2"/>
  <c r="DJ62" i="2"/>
  <c r="DE62" i="2"/>
  <c r="DL62" i="2"/>
  <c r="FG62" i="2"/>
  <c r="DK40" i="2"/>
  <c r="DI40" i="2"/>
  <c r="FB111" i="2"/>
  <c r="DK21" i="2"/>
  <c r="DG30" i="2"/>
  <c r="FB19" i="2"/>
  <c r="FD19" i="2"/>
  <c r="DI79" i="2"/>
  <c r="DF79" i="2"/>
  <c r="FC49" i="2"/>
  <c r="DL108" i="2"/>
  <c r="DE90" i="2"/>
  <c r="DD90" i="2"/>
  <c r="DH61" i="2"/>
  <c r="DE61" i="2"/>
  <c r="DB42" i="2"/>
  <c r="DI42" i="2"/>
  <c r="FG59" i="2"/>
  <c r="FB76" i="2"/>
  <c r="FC76" i="2"/>
  <c r="FC95" i="2"/>
  <c r="FE95" i="2"/>
  <c r="FB28" i="2"/>
  <c r="FB66" i="2"/>
  <c r="DL48" i="2"/>
  <c r="DK30" i="2"/>
  <c r="DA30" i="2"/>
  <c r="FD97" i="2"/>
  <c r="DG79" i="2"/>
  <c r="DJ79" i="2"/>
  <c r="DH90" i="2"/>
  <c r="FB90" i="2"/>
  <c r="DK90" i="2"/>
  <c r="DJ61" i="2"/>
  <c r="DG61" i="2"/>
  <c r="DF42" i="2"/>
  <c r="DK42" i="2"/>
  <c r="DJ46" i="2"/>
  <c r="DC46" i="2"/>
  <c r="DF46" i="2"/>
  <c r="DK46" i="2"/>
  <c r="DE46" i="2"/>
  <c r="DD46" i="2"/>
  <c r="DA46" i="2"/>
  <c r="DG46" i="2"/>
  <c r="DL46" i="2"/>
  <c r="FG46" i="2"/>
  <c r="DI46" i="2"/>
  <c r="DB46" i="2"/>
  <c r="FB51" i="2"/>
  <c r="FB61" i="2"/>
  <c r="FG102" i="2"/>
  <c r="AL102" i="2"/>
  <c r="AI102" i="2"/>
  <c r="AJ102" i="2"/>
  <c r="DJ42" i="2"/>
  <c r="FB34" i="2"/>
  <c r="FD34" i="2"/>
  <c r="FB106" i="2"/>
  <c r="DL96" i="2"/>
  <c r="DC30" i="2"/>
  <c r="DD40" i="2"/>
  <c r="DC40" i="2"/>
  <c r="FB102" i="2"/>
  <c r="FC102" i="2"/>
  <c r="DC79" i="2"/>
  <c r="DI30" i="2"/>
  <c r="DL77" i="2"/>
  <c r="FG77" i="2"/>
  <c r="AL77" i="2"/>
  <c r="AI77" i="2"/>
  <c r="AJ77" i="2"/>
  <c r="FG95" i="2"/>
  <c r="AL95" i="2"/>
  <c r="AI95" i="2"/>
  <c r="AJ95" i="2"/>
  <c r="DK79" i="2"/>
  <c r="DB90" i="2"/>
  <c r="DL45" i="2"/>
  <c r="FG45" i="2"/>
  <c r="DA42" i="2"/>
  <c r="DK109" i="2"/>
  <c r="DI109" i="2"/>
  <c r="DL103" i="2"/>
  <c r="FG103" i="2"/>
  <c r="AL103" i="2"/>
  <c r="AI103" i="2"/>
  <c r="AJ103" i="2"/>
  <c r="DL85" i="2"/>
  <c r="FG85" i="2"/>
  <c r="AL85" i="2"/>
  <c r="AI85" i="2"/>
  <c r="AJ85" i="2"/>
  <c r="DL70" i="2"/>
  <c r="FB38" i="2"/>
  <c r="DL14" i="2"/>
  <c r="FG14" i="2"/>
  <c r="FG108" i="2"/>
  <c r="AL108" i="2"/>
  <c r="AI108" i="2"/>
  <c r="AJ108" i="2"/>
  <c r="DL61" i="2"/>
  <c r="FG61" i="2"/>
  <c r="DL72" i="2"/>
  <c r="FG72" i="2"/>
  <c r="AL72" i="2"/>
  <c r="AI72" i="2"/>
  <c r="AJ72" i="2"/>
  <c r="FG17" i="2"/>
  <c r="FD52" i="2"/>
  <c r="FC52" i="2"/>
  <c r="FE37" i="2"/>
  <c r="AL37" i="2"/>
  <c r="AI37" i="2"/>
  <c r="AJ37" i="2"/>
  <c r="DL42" i="2"/>
  <c r="FG42" i="2"/>
  <c r="FB115" i="2"/>
  <c r="DL73" i="2"/>
  <c r="FG105" i="2"/>
  <c r="AL105" i="2"/>
  <c r="AI105" i="2"/>
  <c r="AJ105" i="2"/>
  <c r="DL20" i="2"/>
  <c r="FG20" i="2"/>
  <c r="FD98" i="2"/>
  <c r="FC98" i="2"/>
  <c r="FE98" i="2"/>
  <c r="FC55" i="2"/>
  <c r="FD55" i="2"/>
  <c r="FD108" i="2"/>
  <c r="FC108" i="2"/>
  <c r="DL23" i="2"/>
  <c r="FG23" i="2"/>
  <c r="FB40" i="2"/>
  <c r="DH21" i="2"/>
  <c r="FB21" i="2"/>
  <c r="DD21" i="2"/>
  <c r="FB109" i="2"/>
  <c r="FC109" i="2"/>
  <c r="FG18" i="2"/>
  <c r="FB57" i="2"/>
  <c r="DL24" i="2"/>
  <c r="FG24" i="2"/>
  <c r="DL82" i="2"/>
  <c r="FG82" i="2"/>
  <c r="AL82" i="2"/>
  <c r="AI82" i="2"/>
  <c r="AJ82" i="2"/>
  <c r="DL111" i="2"/>
  <c r="FG111" i="2"/>
  <c r="AL111" i="2"/>
  <c r="AI111" i="2"/>
  <c r="AJ111" i="2"/>
  <c r="DB21" i="2"/>
  <c r="FG26" i="2"/>
  <c r="FG48" i="2"/>
  <c r="FB80" i="2"/>
  <c r="DL78" i="2"/>
  <c r="FG78" i="2"/>
  <c r="AL78" i="2"/>
  <c r="AI78" i="2"/>
  <c r="AJ78" i="2"/>
  <c r="DC21" i="2"/>
  <c r="DJ21" i="2"/>
  <c r="DL67" i="2"/>
  <c r="FG67" i="2"/>
  <c r="AL67" i="2"/>
  <c r="AI67" i="2"/>
  <c r="AJ67" i="2"/>
  <c r="DF21" i="2"/>
  <c r="FB54" i="2"/>
  <c r="FE49" i="2"/>
  <c r="AL49" i="2"/>
  <c r="AI49" i="2"/>
  <c r="AJ49" i="2"/>
  <c r="DL47" i="2"/>
  <c r="FG47" i="2"/>
  <c r="DL22" i="2"/>
  <c r="FG22" i="2"/>
  <c r="DL32" i="2"/>
  <c r="FG32" i="2"/>
  <c r="DL90" i="2"/>
  <c r="FG90" i="2"/>
  <c r="AL90" i="2"/>
  <c r="AI90" i="2"/>
  <c r="AJ90" i="2"/>
  <c r="FG76" i="2"/>
  <c r="AL76" i="2"/>
  <c r="AI76" i="2"/>
  <c r="AJ76" i="2"/>
  <c r="DL58" i="2"/>
  <c r="FG58" i="2"/>
  <c r="DE21" i="2"/>
  <c r="DG21" i="2"/>
  <c r="FB22" i="2"/>
  <c r="DL109" i="2"/>
  <c r="FG109" i="2"/>
  <c r="AL109" i="2"/>
  <c r="AI109" i="2"/>
  <c r="AJ109" i="2"/>
  <c r="DL87" i="2"/>
  <c r="FG87" i="2"/>
  <c r="AL87" i="2"/>
  <c r="AI87" i="2"/>
  <c r="AJ87" i="2"/>
  <c r="DL27" i="2"/>
  <c r="FG27" i="2"/>
  <c r="DL79" i="2"/>
  <c r="FG79" i="2"/>
  <c r="AL79" i="2"/>
  <c r="AI79" i="2"/>
  <c r="AJ79" i="2"/>
  <c r="DL63" i="2"/>
  <c r="FC20" i="2"/>
  <c r="FD20" i="2"/>
  <c r="FD106" i="2"/>
  <c r="FC106" i="2"/>
  <c r="FD28" i="2"/>
  <c r="FC28" i="2"/>
  <c r="FE28" i="2"/>
  <c r="AL28" i="2"/>
  <c r="AI28" i="2"/>
  <c r="AJ28" i="2"/>
  <c r="FD93" i="2"/>
  <c r="FC93" i="2"/>
  <c r="FE93" i="2"/>
  <c r="FC25" i="2"/>
  <c r="FD25" i="2"/>
  <c r="FC101" i="2"/>
  <c r="FE101" i="2"/>
  <c r="FD101" i="2"/>
  <c r="FD71" i="2"/>
  <c r="FC71" i="2"/>
  <c r="FD31" i="2"/>
  <c r="FC31" i="2"/>
  <c r="FE31" i="2"/>
  <c r="AL31" i="2"/>
  <c r="AI31" i="2"/>
  <c r="AJ31" i="2"/>
  <c r="FD51" i="2"/>
  <c r="FC51" i="2"/>
  <c r="FC61" i="2"/>
  <c r="FD61" i="2"/>
  <c r="FD14" i="2"/>
  <c r="FC14" i="2"/>
  <c r="FE14" i="2"/>
  <c r="AL14" i="2"/>
  <c r="AI14" i="2"/>
  <c r="AJ14" i="2"/>
  <c r="FD104" i="2"/>
  <c r="FC104" i="2"/>
  <c r="FC70" i="2"/>
  <c r="FE70" i="2"/>
  <c r="FD70" i="2"/>
  <c r="FD113" i="2"/>
  <c r="FC113" i="2"/>
  <c r="FC57" i="2"/>
  <c r="FD57" i="2"/>
  <c r="FC115" i="2"/>
  <c r="FD115" i="2"/>
  <c r="FC73" i="2"/>
  <c r="FD73" i="2"/>
  <c r="FC89" i="2"/>
  <c r="FE89" i="2"/>
  <c r="FD89" i="2"/>
  <c r="FC32" i="2"/>
  <c r="FD32" i="2"/>
  <c r="FC22" i="2"/>
  <c r="FD22" i="2"/>
  <c r="FD81" i="2"/>
  <c r="FC81" i="2"/>
  <c r="FE81" i="2"/>
  <c r="FC36" i="2"/>
  <c r="FD36" i="2"/>
  <c r="FD88" i="2"/>
  <c r="FC88" i="2"/>
  <c r="FE88" i="2"/>
  <c r="FC54" i="2"/>
  <c r="FD54" i="2"/>
  <c r="DF16" i="2"/>
  <c r="DJ16" i="2"/>
  <c r="DC16" i="2"/>
  <c r="DH16" i="2"/>
  <c r="DB16" i="2"/>
  <c r="DI16" i="2"/>
  <c r="FB79" i="2"/>
  <c r="FD112" i="2"/>
  <c r="FC112" i="2"/>
  <c r="FC80" i="2"/>
  <c r="FD80" i="2"/>
  <c r="DL33" i="2"/>
  <c r="FG33" i="2"/>
  <c r="FD15" i="2"/>
  <c r="FC15" i="2"/>
  <c r="FE15" i="2"/>
  <c r="AL15" i="2"/>
  <c r="AI15" i="2"/>
  <c r="AJ15" i="2"/>
  <c r="FD84" i="2"/>
  <c r="FC84" i="2"/>
  <c r="FE84" i="2"/>
  <c r="FD76" i="2"/>
  <c r="FC18" i="2"/>
  <c r="FE18" i="2"/>
  <c r="AL18" i="2"/>
  <c r="AI18" i="2"/>
  <c r="AJ18" i="2"/>
  <c r="FD18" i="2"/>
  <c r="FD83" i="2"/>
  <c r="FC83" i="2"/>
  <c r="FE83" i="2"/>
  <c r="DL115" i="2"/>
  <c r="FG115" i="2"/>
  <c r="AL115" i="2"/>
  <c r="AI115" i="2"/>
  <c r="AJ115" i="2"/>
  <c r="DD16" i="2"/>
  <c r="FE45" i="2"/>
  <c r="AL45" i="2"/>
  <c r="AI45" i="2"/>
  <c r="AJ45" i="2"/>
  <c r="FG40" i="2"/>
  <c r="FE59" i="2"/>
  <c r="AL59" i="2"/>
  <c r="AI59" i="2"/>
  <c r="AJ59" i="2"/>
  <c r="FD75" i="2"/>
  <c r="FC75" i="2"/>
  <c r="DL56" i="2"/>
  <c r="FG56" i="2"/>
  <c r="FB69" i="2"/>
  <c r="FC99" i="2"/>
  <c r="FE99" i="2"/>
  <c r="FD99" i="2"/>
  <c r="FC26" i="2"/>
  <c r="FD26" i="2"/>
  <c r="FD30" i="2"/>
  <c r="FC30" i="2"/>
  <c r="FE97" i="2"/>
  <c r="DL35" i="2"/>
  <c r="FG35" i="2"/>
  <c r="FC46" i="2"/>
  <c r="FD46" i="2"/>
  <c r="FC72" i="2"/>
  <c r="FD72" i="2"/>
  <c r="FD96" i="2"/>
  <c r="FC96" i="2"/>
  <c r="FE96" i="2"/>
  <c r="FD109" i="2"/>
  <c r="FC44" i="2"/>
  <c r="FD44" i="2"/>
  <c r="FC87" i="2"/>
  <c r="FE87" i="2"/>
  <c r="FD87" i="2"/>
  <c r="FC38" i="2"/>
  <c r="FD38" i="2"/>
  <c r="FD114" i="2"/>
  <c r="FC114" i="2"/>
  <c r="FD67" i="2"/>
  <c r="FC67" i="2"/>
  <c r="FE67" i="2"/>
  <c r="FC50" i="2"/>
  <c r="FD50" i="2"/>
  <c r="DL57" i="2"/>
  <c r="FG57" i="2"/>
  <c r="FG96" i="2"/>
  <c r="AL96" i="2"/>
  <c r="AI96" i="2"/>
  <c r="AJ96" i="2"/>
  <c r="DL89" i="2"/>
  <c r="FG89" i="2"/>
  <c r="AL89" i="2"/>
  <c r="AI89" i="2"/>
  <c r="AJ89" i="2"/>
  <c r="FD66" i="2"/>
  <c r="FC66" i="2"/>
  <c r="FE66" i="2"/>
  <c r="FD102" i="2"/>
  <c r="DA16" i="2"/>
  <c r="DL43" i="2"/>
  <c r="FG43" i="2"/>
  <c r="DL30" i="2"/>
  <c r="FG30" i="2"/>
  <c r="FC42" i="2"/>
  <c r="FD42" i="2"/>
  <c r="DL53" i="2"/>
  <c r="FG53" i="2"/>
  <c r="FG63" i="2"/>
  <c r="FD74" i="2"/>
  <c r="FC74" i="2"/>
  <c r="FC29" i="2"/>
  <c r="FD29" i="2"/>
  <c r="FD86" i="2"/>
  <c r="FC86" i="2"/>
  <c r="FE86" i="2"/>
  <c r="FC77" i="2"/>
  <c r="FD77" i="2"/>
  <c r="FB63" i="2"/>
  <c r="FE78" i="2"/>
  <c r="DL104" i="2"/>
  <c r="FG104" i="2"/>
  <c r="AL104" i="2"/>
  <c r="AI104" i="2"/>
  <c r="AJ104" i="2"/>
  <c r="DL93" i="2"/>
  <c r="FG93" i="2"/>
  <c r="AL93" i="2"/>
  <c r="AI93" i="2"/>
  <c r="AJ93" i="2"/>
  <c r="DL38" i="2"/>
  <c r="FG38" i="2"/>
  <c r="FC62" i="2"/>
  <c r="FD62" i="2"/>
  <c r="FE52" i="2"/>
  <c r="AL52" i="2"/>
  <c r="AI52" i="2"/>
  <c r="AJ52" i="2"/>
  <c r="DL29" i="2"/>
  <c r="FG29" i="2"/>
  <c r="FC82" i="2"/>
  <c r="FE82" i="2"/>
  <c r="FD82" i="2"/>
  <c r="FD58" i="2"/>
  <c r="FC58" i="2"/>
  <c r="FD92" i="2"/>
  <c r="FC92" i="2"/>
  <c r="FE92" i="2"/>
  <c r="FD111" i="2"/>
  <c r="FC111" i="2"/>
  <c r="DL66" i="2"/>
  <c r="FG66" i="2"/>
  <c r="AL66" i="2"/>
  <c r="AI66" i="2"/>
  <c r="AJ66" i="2"/>
  <c r="DL69" i="2"/>
  <c r="FG69" i="2"/>
  <c r="AL69" i="2"/>
  <c r="AI69" i="2"/>
  <c r="AJ69" i="2"/>
  <c r="FD48" i="2"/>
  <c r="FC48" i="2"/>
  <c r="FE48" i="2"/>
  <c r="FD27" i="2"/>
  <c r="FC27" i="2"/>
  <c r="FE60" i="2"/>
  <c r="AL60" i="2"/>
  <c r="AI60" i="2"/>
  <c r="AJ60" i="2"/>
  <c r="DL54" i="2"/>
  <c r="FG54" i="2"/>
  <c r="FB17" i="2"/>
  <c r="FD53" i="2"/>
  <c r="FC53" i="2"/>
  <c r="FB47" i="2"/>
  <c r="FC103" i="2"/>
  <c r="FD103" i="2"/>
  <c r="FD100" i="2"/>
  <c r="FC100" i="2"/>
  <c r="FE100" i="2"/>
  <c r="FG73" i="2"/>
  <c r="AL73" i="2"/>
  <c r="AI73" i="2"/>
  <c r="AJ73" i="2"/>
  <c r="FD105" i="2"/>
  <c r="FC105" i="2"/>
  <c r="FC40" i="2"/>
  <c r="FE40" i="2"/>
  <c r="AL40" i="2"/>
  <c r="AI40" i="2"/>
  <c r="AJ40" i="2"/>
  <c r="FD40" i="2"/>
  <c r="FC21" i="2"/>
  <c r="FD21" i="2"/>
  <c r="FD110" i="2"/>
  <c r="FC110" i="2"/>
  <c r="EW16" i="2"/>
  <c r="EQ16" i="2"/>
  <c r="EY16" i="2"/>
  <c r="ER16" i="2"/>
  <c r="EU16" i="2"/>
  <c r="EX16" i="2"/>
  <c r="ET16" i="2"/>
  <c r="EP16" i="2"/>
  <c r="ES16" i="2"/>
  <c r="EV16" i="2"/>
  <c r="EZ16" i="2"/>
  <c r="FC35" i="2"/>
  <c r="FE35" i="2"/>
  <c r="FD35" i="2"/>
  <c r="FG70" i="2"/>
  <c r="AL70" i="2"/>
  <c r="AI70" i="2"/>
  <c r="AJ70" i="2"/>
  <c r="DK16" i="2"/>
  <c r="FC56" i="2"/>
  <c r="FD56" i="2"/>
  <c r="FD94" i="2"/>
  <c r="FC94" i="2"/>
  <c r="FE94" i="2"/>
  <c r="FD39" i="2"/>
  <c r="FC39" i="2"/>
  <c r="FC23" i="2"/>
  <c r="FD23" i="2"/>
  <c r="DL81" i="2"/>
  <c r="FG81" i="2"/>
  <c r="AL81" i="2"/>
  <c r="AI81" i="2"/>
  <c r="AJ81" i="2"/>
  <c r="DL80" i="2"/>
  <c r="FG80" i="2"/>
  <c r="AL80" i="2"/>
  <c r="AI80" i="2"/>
  <c r="AJ80" i="2"/>
  <c r="FD33" i="2"/>
  <c r="FC33" i="2"/>
  <c r="EX16" i="3"/>
  <c r="EZ16" i="3"/>
  <c r="EX29" i="3"/>
  <c r="EY28" i="3"/>
  <c r="FA28" i="3"/>
  <c r="DJ17" i="3"/>
  <c r="FC17" i="3"/>
  <c r="DJ14" i="3"/>
  <c r="FC14" i="3"/>
  <c r="DJ33" i="3"/>
  <c r="DJ38" i="3"/>
  <c r="DA30" i="1"/>
  <c r="DE21" i="1"/>
  <c r="DJ21" i="1"/>
  <c r="DC30" i="1"/>
  <c r="DD21" i="1"/>
  <c r="DB21" i="1"/>
  <c r="EX21" i="1"/>
  <c r="EZ21" i="1"/>
  <c r="CY21" i="1"/>
  <c r="CZ21" i="1"/>
  <c r="DG21" i="1"/>
  <c r="DA21" i="1"/>
  <c r="DI21" i="1"/>
  <c r="DD30" i="1"/>
  <c r="DF30" i="1"/>
  <c r="DF21" i="1"/>
  <c r="EP29" i="1"/>
  <c r="EU29" i="1"/>
  <c r="CY19" i="1"/>
  <c r="DI20" i="1"/>
  <c r="DD20" i="1"/>
  <c r="DE30" i="1"/>
  <c r="DE28" i="1"/>
  <c r="DF28" i="1"/>
  <c r="EX28" i="1"/>
  <c r="ER29" i="1"/>
  <c r="DI19" i="1"/>
  <c r="DH19" i="1"/>
  <c r="DB20" i="1"/>
  <c r="EL38" i="1"/>
  <c r="CZ20" i="1"/>
  <c r="CY37" i="1"/>
  <c r="DI30" i="1"/>
  <c r="CZ30" i="1"/>
  <c r="DF36" i="1"/>
  <c r="EX36" i="1"/>
  <c r="EQ29" i="1"/>
  <c r="EO29" i="1"/>
  <c r="DC20" i="1"/>
  <c r="DE20" i="1"/>
  <c r="DJ20" i="1"/>
  <c r="FC20" i="1"/>
  <c r="DE16" i="1"/>
  <c r="CY30" i="1"/>
  <c r="DB30" i="1"/>
  <c r="FC21" i="1"/>
  <c r="ET29" i="1"/>
  <c r="EV29" i="1"/>
  <c r="CY20" i="1"/>
  <c r="DD16" i="1"/>
  <c r="DG30" i="1"/>
  <c r="DA28" i="1"/>
  <c r="FC39" i="1"/>
  <c r="AL39" i="1"/>
  <c r="AI39" i="1"/>
  <c r="AJ39" i="1"/>
  <c r="CZ29" i="1"/>
  <c r="EP16" i="1"/>
  <c r="DB29" i="1"/>
  <c r="EV18" i="1"/>
  <c r="ET18" i="1"/>
  <c r="DD29" i="1"/>
  <c r="DG29" i="1"/>
  <c r="DC29" i="1"/>
  <c r="DJ29" i="1"/>
  <c r="EM16" i="1"/>
  <c r="EU16" i="1"/>
  <c r="EX35" i="1"/>
  <c r="CZ17" i="1"/>
  <c r="EU18" i="1"/>
  <c r="EO18" i="1"/>
  <c r="EP18" i="1"/>
  <c r="DA29" i="1"/>
  <c r="ES16" i="1"/>
  <c r="DF29" i="1"/>
  <c r="EM18" i="1"/>
  <c r="EL18" i="1"/>
  <c r="EN18" i="1"/>
  <c r="DF31" i="1"/>
  <c r="EX31" i="1"/>
  <c r="DH29" i="1"/>
  <c r="CZ31" i="1"/>
  <c r="ET16" i="1"/>
  <c r="DI29" i="1"/>
  <c r="DE36" i="1"/>
  <c r="DJ36" i="1"/>
  <c r="FC36" i="1"/>
  <c r="AL36" i="1"/>
  <c r="AI36" i="1"/>
  <c r="AJ36" i="1"/>
  <c r="EQ16" i="1"/>
  <c r="DA32" i="1"/>
  <c r="DD32" i="1"/>
  <c r="CZ36" i="1"/>
  <c r="DD36" i="1"/>
  <c r="EX22" i="1"/>
  <c r="EZ22" i="1"/>
  <c r="FC33" i="1"/>
  <c r="AL33" i="1"/>
  <c r="AI33" i="1"/>
  <c r="AJ33" i="1"/>
  <c r="DE32" i="1"/>
  <c r="DH32" i="1"/>
  <c r="DB36" i="1"/>
  <c r="CZ32" i="1"/>
  <c r="EX17" i="1"/>
  <c r="EY17" i="1"/>
  <c r="DC32" i="1"/>
  <c r="DJ32" i="1"/>
  <c r="DB32" i="1"/>
  <c r="DA36" i="1"/>
  <c r="DH36" i="1"/>
  <c r="EX38" i="1"/>
  <c r="EY38" i="1"/>
  <c r="DJ23" i="1"/>
  <c r="FC23" i="1"/>
  <c r="DI32" i="1"/>
  <c r="DG32" i="1"/>
  <c r="CY36" i="1"/>
  <c r="DI36" i="1"/>
  <c r="DJ15" i="1"/>
  <c r="DJ37" i="1"/>
  <c r="FC37" i="1"/>
  <c r="AL37" i="1"/>
  <c r="AI37" i="1"/>
  <c r="AJ37" i="1"/>
  <c r="DF32" i="1"/>
  <c r="EX32" i="1"/>
  <c r="EZ32" i="1"/>
  <c r="DG36" i="1"/>
  <c r="EO38" i="1"/>
  <c r="EO16" i="1"/>
  <c r="EN16" i="1"/>
  <c r="EX33" i="1"/>
  <c r="EX29" i="1"/>
  <c r="EY29" i="1"/>
  <c r="DG28" i="1"/>
  <c r="DB28" i="1"/>
  <c r="EY39" i="1"/>
  <c r="FA39" i="1"/>
  <c r="ER38" i="1"/>
  <c r="EN38" i="1"/>
  <c r="DI28" i="1"/>
  <c r="DC28" i="1"/>
  <c r="DJ28" i="1"/>
  <c r="FC28" i="1"/>
  <c r="AL28" i="1"/>
  <c r="AJ28" i="1"/>
  <c r="DB31" i="1"/>
  <c r="EV38" i="1"/>
  <c r="EQ38" i="1"/>
  <c r="EL16" i="1"/>
  <c r="DE24" i="1"/>
  <c r="DJ30" i="1"/>
  <c r="FC30" i="1"/>
  <c r="AL30" i="1"/>
  <c r="AI30" i="1"/>
  <c r="AJ30" i="1"/>
  <c r="CZ28" i="1"/>
  <c r="CY28" i="1"/>
  <c r="DG31" i="1"/>
  <c r="EU38" i="1"/>
  <c r="DD28" i="1"/>
  <c r="EX15" i="1"/>
  <c r="DB16" i="1"/>
  <c r="CZ16" i="1"/>
  <c r="DF16" i="1"/>
  <c r="EX30" i="1"/>
  <c r="DE31" i="1"/>
  <c r="DE19" i="1"/>
  <c r="DC31" i="1"/>
  <c r="DC19" i="1"/>
  <c r="DA16" i="1"/>
  <c r="DI16" i="1"/>
  <c r="DH24" i="1"/>
  <c r="DI24" i="1"/>
  <c r="DC24" i="1"/>
  <c r="DA24" i="1"/>
  <c r="DB24" i="1"/>
  <c r="DF24" i="1"/>
  <c r="EX24" i="1"/>
  <c r="EY24" i="1"/>
  <c r="DG24" i="1"/>
  <c r="DD24" i="1"/>
  <c r="DD31" i="1"/>
  <c r="CY31" i="1"/>
  <c r="DG16" i="1"/>
  <c r="DH31" i="1"/>
  <c r="CY16" i="1"/>
  <c r="DC16" i="1"/>
  <c r="DF19" i="1"/>
  <c r="DB19" i="1"/>
  <c r="FC15" i="1"/>
  <c r="DA19" i="1"/>
  <c r="DA31" i="1"/>
  <c r="CZ19" i="1"/>
  <c r="DJ18" i="1"/>
  <c r="FC18" i="1"/>
  <c r="CY24" i="1"/>
  <c r="EY23" i="1"/>
  <c r="EZ23" i="1"/>
  <c r="DJ22" i="1"/>
  <c r="FC22" i="1"/>
  <c r="DJ38" i="1"/>
  <c r="FC38" i="1"/>
  <c r="AL38" i="1"/>
  <c r="AI38" i="1"/>
  <c r="AJ38" i="1"/>
  <c r="DG17" i="1"/>
  <c r="DC17" i="1"/>
  <c r="DH17" i="1"/>
  <c r="DB17" i="1"/>
  <c r="DD17" i="1"/>
  <c r="CY17" i="1"/>
  <c r="DI17" i="1"/>
  <c r="DA17" i="1"/>
  <c r="DE17" i="1"/>
  <c r="DJ34" i="1"/>
  <c r="FC34" i="1"/>
  <c r="AL34" i="1"/>
  <c r="AI34" i="1"/>
  <c r="AJ34" i="1"/>
  <c r="EX18" i="1"/>
  <c r="EY15" i="1"/>
  <c r="EZ15" i="1"/>
  <c r="DJ14" i="1"/>
  <c r="FC14" i="1"/>
  <c r="EY28" i="1"/>
  <c r="EZ28" i="1"/>
  <c r="EZ14" i="1"/>
  <c r="EY14" i="1"/>
  <c r="EN19" i="1"/>
  <c r="EL19" i="1"/>
  <c r="EO19" i="1"/>
  <c r="ER19" i="1"/>
  <c r="ES19" i="1"/>
  <c r="EQ19" i="1"/>
  <c r="EV19" i="1"/>
  <c r="EP19" i="1"/>
  <c r="ET19" i="1"/>
  <c r="EM19" i="1"/>
  <c r="EU19" i="1"/>
  <c r="EX34" i="1"/>
  <c r="EV37" i="1"/>
  <c r="EP37" i="1"/>
  <c r="EO37" i="1"/>
  <c r="ER37" i="1"/>
  <c r="EN37" i="1"/>
  <c r="ET37" i="1"/>
  <c r="ES37" i="1"/>
  <c r="EX37" i="1"/>
  <c r="EQ37" i="1"/>
  <c r="EL37" i="1"/>
  <c r="EU37" i="1"/>
  <c r="EM37" i="1"/>
  <c r="EX20" i="1"/>
  <c r="DJ16" i="1"/>
  <c r="EY25" i="1"/>
  <c r="EZ25" i="1"/>
  <c r="FC38" i="3"/>
  <c r="AL38" i="3"/>
  <c r="AI38" i="3"/>
  <c r="FC36" i="3"/>
  <c r="AL36" i="3"/>
  <c r="AI36" i="3"/>
  <c r="FC21" i="3"/>
  <c r="FC32" i="3"/>
  <c r="AL32" i="3"/>
  <c r="AI32" i="3"/>
  <c r="FC37" i="3"/>
  <c r="AL37" i="3"/>
  <c r="AI37" i="3"/>
  <c r="FC28" i="3"/>
  <c r="AL28" i="3"/>
  <c r="AI28" i="3"/>
  <c r="EY30" i="3"/>
  <c r="FA30" i="3"/>
  <c r="FC30" i="3"/>
  <c r="AL30" i="3"/>
  <c r="AI30" i="3"/>
  <c r="AJ39" i="3"/>
  <c r="DJ29" i="3"/>
  <c r="FC31" i="3"/>
  <c r="AL31" i="3"/>
  <c r="AI31" i="3"/>
  <c r="EX25" i="3"/>
  <c r="EZ25" i="3"/>
  <c r="FC33" i="3"/>
  <c r="AL33" i="3"/>
  <c r="AI33" i="3"/>
  <c r="DJ25" i="3"/>
  <c r="FC25" i="3"/>
  <c r="FC19" i="3"/>
  <c r="FC18" i="3"/>
  <c r="FC16" i="3"/>
  <c r="EZ33" i="3"/>
  <c r="EY33" i="3"/>
  <c r="FA33" i="3"/>
  <c r="EY32" i="3"/>
  <c r="EZ32" i="3"/>
  <c r="EY29" i="3"/>
  <c r="EZ29" i="3"/>
  <c r="EY23" i="3"/>
  <c r="EZ23" i="3"/>
  <c r="EZ17" i="3"/>
  <c r="EY17" i="3"/>
  <c r="EZ39" i="3"/>
  <c r="EY39" i="3"/>
  <c r="FA39" i="3"/>
  <c r="FA20" i="3"/>
  <c r="AL20" i="3"/>
  <c r="EY24" i="3"/>
  <c r="EZ24" i="3"/>
  <c r="DJ35" i="3"/>
  <c r="EY22" i="3"/>
  <c r="EZ22" i="3"/>
  <c r="EZ19" i="3"/>
  <c r="EY19" i="3"/>
  <c r="DJ15" i="3"/>
  <c r="EY18" i="3"/>
  <c r="EZ18" i="3"/>
  <c r="EY38" i="3"/>
  <c r="EZ38" i="3"/>
  <c r="DJ22" i="3"/>
  <c r="FA21" i="3"/>
  <c r="AL21" i="3"/>
  <c r="FC29" i="3"/>
  <c r="AL29" i="3"/>
  <c r="DJ24" i="3"/>
  <c r="EZ34" i="3"/>
  <c r="EY34" i="3"/>
  <c r="DJ34" i="3"/>
  <c r="EX15" i="3"/>
  <c r="EX35" i="3"/>
  <c r="EY36" i="3"/>
  <c r="EZ36" i="3"/>
  <c r="EX37" i="3"/>
  <c r="EY16" i="3"/>
  <c r="EZ14" i="3"/>
  <c r="EY14" i="3"/>
  <c r="EX31" i="3"/>
  <c r="FD90" i="2"/>
  <c r="FC90" i="2"/>
  <c r="FE90" i="2"/>
  <c r="FE46" i="2"/>
  <c r="AL46" i="2"/>
  <c r="AI46" i="2"/>
  <c r="AJ46" i="2"/>
  <c r="FE26" i="2"/>
  <c r="AL26" i="2"/>
  <c r="AI26" i="2"/>
  <c r="AJ26" i="2"/>
  <c r="FE80" i="2"/>
  <c r="FC19" i="2"/>
  <c r="FE19" i="2"/>
  <c r="AL19" i="2"/>
  <c r="AI19" i="2"/>
  <c r="AJ19" i="2"/>
  <c r="FC34" i="2"/>
  <c r="FE34" i="2"/>
  <c r="AL34" i="2"/>
  <c r="AI34" i="2"/>
  <c r="AJ34" i="2"/>
  <c r="FE57" i="2"/>
  <c r="AL57" i="2"/>
  <c r="AI57" i="2"/>
  <c r="AJ57" i="2"/>
  <c r="FE55" i="2"/>
  <c r="AL55" i="2"/>
  <c r="AI55" i="2"/>
  <c r="AJ55" i="2"/>
  <c r="DL21" i="2"/>
  <c r="FG21" i="2"/>
  <c r="FE108" i="2"/>
  <c r="FE58" i="2"/>
  <c r="AL58" i="2"/>
  <c r="AI58" i="2"/>
  <c r="AJ58" i="2"/>
  <c r="FE29" i="2"/>
  <c r="AL29" i="2"/>
  <c r="AI29" i="2"/>
  <c r="AJ29" i="2"/>
  <c r="FE42" i="2"/>
  <c r="AL42" i="2"/>
  <c r="AI42" i="2"/>
  <c r="AJ42" i="2"/>
  <c r="FE50" i="2"/>
  <c r="AL50" i="2"/>
  <c r="AI50" i="2"/>
  <c r="AJ50" i="2"/>
  <c r="FE38" i="2"/>
  <c r="AL38" i="2"/>
  <c r="AI38" i="2"/>
  <c r="AJ38" i="2"/>
  <c r="FE27" i="2"/>
  <c r="AL27" i="2"/>
  <c r="AI27" i="2"/>
  <c r="AJ27" i="2"/>
  <c r="FE111" i="2"/>
  <c r="FE77" i="2"/>
  <c r="FE73" i="2"/>
  <c r="FE33" i="2"/>
  <c r="AL33" i="2"/>
  <c r="AI33" i="2"/>
  <c r="AJ33" i="2"/>
  <c r="FE39" i="2"/>
  <c r="AL39" i="2"/>
  <c r="AI39" i="2"/>
  <c r="AJ39" i="2"/>
  <c r="FE21" i="2"/>
  <c r="AL21" i="2"/>
  <c r="AI21" i="2"/>
  <c r="AJ21" i="2"/>
  <c r="FE44" i="2"/>
  <c r="AL44" i="2"/>
  <c r="AI44" i="2"/>
  <c r="AJ44" i="2"/>
  <c r="FE72" i="2"/>
  <c r="FE76" i="2"/>
  <c r="FE32" i="2"/>
  <c r="AL32" i="2"/>
  <c r="AI32" i="2"/>
  <c r="AJ32" i="2"/>
  <c r="FE115" i="2"/>
  <c r="FE104" i="2"/>
  <c r="FE51" i="2"/>
  <c r="AL51" i="2"/>
  <c r="AI51" i="2"/>
  <c r="AJ51" i="2"/>
  <c r="FE71" i="2"/>
  <c r="FE106" i="2"/>
  <c r="FC63" i="2"/>
  <c r="FD63" i="2"/>
  <c r="FB16" i="2"/>
  <c r="FE110" i="2"/>
  <c r="FE105" i="2"/>
  <c r="FE103" i="2"/>
  <c r="FE62" i="2"/>
  <c r="AL62" i="2"/>
  <c r="AI62" i="2"/>
  <c r="AJ62" i="2"/>
  <c r="FE74" i="2"/>
  <c r="FE112" i="2"/>
  <c r="FE22" i="2"/>
  <c r="AL22" i="2"/>
  <c r="AI22" i="2"/>
  <c r="AJ22" i="2"/>
  <c r="FE113" i="2"/>
  <c r="FC47" i="2"/>
  <c r="FD47" i="2"/>
  <c r="FE23" i="2"/>
  <c r="AL23" i="2"/>
  <c r="AI23" i="2"/>
  <c r="AJ23" i="2"/>
  <c r="FE56" i="2"/>
  <c r="AL56" i="2"/>
  <c r="AI56" i="2"/>
  <c r="AJ56" i="2"/>
  <c r="FE53" i="2"/>
  <c r="AL53" i="2"/>
  <c r="AI53" i="2"/>
  <c r="AJ53" i="2"/>
  <c r="FE114" i="2"/>
  <c r="FE30" i="2"/>
  <c r="AL30" i="2"/>
  <c r="AI30" i="2"/>
  <c r="AJ30" i="2"/>
  <c r="FD69" i="2"/>
  <c r="FC69" i="2"/>
  <c r="FE69" i="2"/>
  <c r="FD79" i="2"/>
  <c r="FC79" i="2"/>
  <c r="FE79" i="2"/>
  <c r="FE36" i="2"/>
  <c r="AL36" i="2"/>
  <c r="AI36" i="2"/>
  <c r="AJ36" i="2"/>
  <c r="FD17" i="2"/>
  <c r="FC17" i="2"/>
  <c r="FE17" i="2"/>
  <c r="AL17" i="2"/>
  <c r="AI17" i="2"/>
  <c r="AJ17" i="2"/>
  <c r="FE102" i="2"/>
  <c r="FE109" i="2"/>
  <c r="FE75" i="2"/>
  <c r="FE54" i="2"/>
  <c r="AL54" i="2"/>
  <c r="AI54" i="2"/>
  <c r="AJ54" i="2"/>
  <c r="FG16" i="2"/>
  <c r="FE61" i="2"/>
  <c r="AL61" i="2"/>
  <c r="AI61" i="2"/>
  <c r="AJ61" i="2"/>
  <c r="FE25" i="2"/>
  <c r="AL25" i="2"/>
  <c r="AI25" i="2"/>
  <c r="AJ25" i="2"/>
  <c r="FE20" i="2"/>
  <c r="AL20" i="2"/>
  <c r="AI20" i="2"/>
  <c r="AJ20" i="2"/>
  <c r="EY25" i="3"/>
  <c r="AI29" i="3"/>
  <c r="AJ29" i="3"/>
  <c r="EY21" i="1"/>
  <c r="FC29" i="1"/>
  <c r="AL29" i="1"/>
  <c r="AI29" i="1"/>
  <c r="AJ29" i="1"/>
  <c r="EY36" i="1"/>
  <c r="EZ36" i="1"/>
  <c r="EZ38" i="1"/>
  <c r="FC32" i="1"/>
  <c r="AL32" i="1"/>
  <c r="AI32" i="1"/>
  <c r="AJ32" i="1"/>
  <c r="EY32" i="1"/>
  <c r="FA32" i="1"/>
  <c r="EY22" i="1"/>
  <c r="FA22" i="1"/>
  <c r="AL22" i="1"/>
  <c r="AI22" i="1"/>
  <c r="AJ22" i="1"/>
  <c r="EZ17" i="1"/>
  <c r="EX16" i="1"/>
  <c r="EZ35" i="1"/>
  <c r="EY35" i="1"/>
  <c r="FA35" i="1"/>
  <c r="FC16" i="1"/>
  <c r="DJ19" i="1"/>
  <c r="FC19" i="1"/>
  <c r="EY33" i="1"/>
  <c r="FA33" i="1"/>
  <c r="EZ33" i="1"/>
  <c r="FA14" i="1"/>
  <c r="AL14" i="1"/>
  <c r="AI14" i="1"/>
  <c r="AJ14" i="1"/>
  <c r="DJ24" i="1"/>
  <c r="FC24" i="1"/>
  <c r="EZ29" i="1"/>
  <c r="FA29" i="1"/>
  <c r="FA21" i="1"/>
  <c r="AL21" i="1"/>
  <c r="AI21" i="1"/>
  <c r="AJ21" i="1"/>
  <c r="DJ31" i="1"/>
  <c r="FC31" i="1"/>
  <c r="AL31" i="1"/>
  <c r="AI31" i="1"/>
  <c r="AJ31" i="1"/>
  <c r="EZ24" i="1"/>
  <c r="FA24" i="1"/>
  <c r="AL24" i="1"/>
  <c r="AI24" i="1"/>
  <c r="AJ24" i="1"/>
  <c r="FA17" i="1"/>
  <c r="AL17" i="1"/>
  <c r="AI17" i="1"/>
  <c r="AJ17" i="1"/>
  <c r="EX19" i="1"/>
  <c r="EY19" i="1"/>
  <c r="FA15" i="1"/>
  <c r="AL15" i="1"/>
  <c r="AI15" i="1"/>
  <c r="AJ15" i="1"/>
  <c r="EY30" i="1"/>
  <c r="EZ30" i="1"/>
  <c r="EZ37" i="1"/>
  <c r="EY37" i="1"/>
  <c r="FA28" i="1"/>
  <c r="EZ34" i="1"/>
  <c r="EY34" i="1"/>
  <c r="EY31" i="1"/>
  <c r="EZ31" i="1"/>
  <c r="FA36" i="1"/>
  <c r="FA25" i="1"/>
  <c r="AL25" i="1"/>
  <c r="AI25" i="1"/>
  <c r="AJ25" i="1"/>
  <c r="EZ16" i="1"/>
  <c r="EY16" i="1"/>
  <c r="EZ18" i="1"/>
  <c r="EY18" i="1"/>
  <c r="DJ17" i="1"/>
  <c r="FC17" i="1"/>
  <c r="FA23" i="1"/>
  <c r="AL23" i="1"/>
  <c r="AI23" i="1"/>
  <c r="AJ23" i="1"/>
  <c r="EY20" i="1"/>
  <c r="EZ20" i="1"/>
  <c r="FA38" i="1"/>
  <c r="AJ30" i="3"/>
  <c r="AJ32" i="3"/>
  <c r="FC34" i="3"/>
  <c r="AL34" i="3"/>
  <c r="AI34" i="3"/>
  <c r="FC35" i="3"/>
  <c r="AL35" i="3"/>
  <c r="AI35" i="3"/>
  <c r="AJ31" i="3"/>
  <c r="AJ38" i="3"/>
  <c r="FA34" i="3"/>
  <c r="AJ28" i="3"/>
  <c r="AJ36" i="3"/>
  <c r="AJ33" i="3"/>
  <c r="AJ37" i="3"/>
  <c r="FA25" i="3"/>
  <c r="AL25" i="3"/>
  <c r="AI25" i="3"/>
  <c r="AJ25" i="3"/>
  <c r="FC24" i="3"/>
  <c r="FC22" i="3"/>
  <c r="AI21" i="3"/>
  <c r="AJ21" i="3"/>
  <c r="AI20" i="3"/>
  <c r="AJ20" i="3"/>
  <c r="FA17" i="3"/>
  <c r="AL17" i="3"/>
  <c r="AI17" i="3"/>
  <c r="AJ17" i="3"/>
  <c r="FC15" i="3"/>
  <c r="FA14" i="3"/>
  <c r="AL14" i="3"/>
  <c r="FA36" i="3"/>
  <c r="FA22" i="3"/>
  <c r="AL22" i="3"/>
  <c r="EZ15" i="3"/>
  <c r="EY15" i="3"/>
  <c r="EY31" i="3"/>
  <c r="EZ31" i="3"/>
  <c r="FA38" i="3"/>
  <c r="FA24" i="3"/>
  <c r="AL24" i="3"/>
  <c r="AI24" i="3"/>
  <c r="EZ35" i="3"/>
  <c r="EY35" i="3"/>
  <c r="FA18" i="3"/>
  <c r="AL18" i="3"/>
  <c r="FA23" i="3"/>
  <c r="AL23" i="3"/>
  <c r="FA16" i="3"/>
  <c r="AL16" i="3"/>
  <c r="FA19" i="3"/>
  <c r="AL19" i="3"/>
  <c r="FA29" i="3"/>
  <c r="EZ37" i="3"/>
  <c r="EY37" i="3"/>
  <c r="FA32" i="3"/>
  <c r="FE63" i="2"/>
  <c r="AL63" i="2"/>
  <c r="AI63" i="2"/>
  <c r="AJ63" i="2"/>
  <c r="FE47" i="2"/>
  <c r="AL47" i="2"/>
  <c r="AI47" i="2"/>
  <c r="AJ47" i="2"/>
  <c r="FD16" i="2"/>
  <c r="FC16" i="2"/>
  <c r="FE16" i="2"/>
  <c r="AL16" i="2"/>
  <c r="AI16" i="2"/>
  <c r="AJ16" i="2"/>
  <c r="AI14" i="3"/>
  <c r="AJ14" i="3"/>
  <c r="FA16" i="1"/>
  <c r="AL16" i="1"/>
  <c r="AI16" i="1"/>
  <c r="AJ16" i="1"/>
  <c r="FA37" i="1"/>
  <c r="EZ19" i="1"/>
  <c r="FA30" i="1"/>
  <c r="FA18" i="1"/>
  <c r="AL18" i="1"/>
  <c r="AI18" i="1"/>
  <c r="AJ18" i="1"/>
  <c r="FA19" i="1"/>
  <c r="AL19" i="1"/>
  <c r="AI19" i="1"/>
  <c r="AJ19" i="1"/>
  <c r="FA34" i="1"/>
  <c r="FA20" i="1"/>
  <c r="AL20" i="1"/>
  <c r="AI20" i="1"/>
  <c r="AJ20" i="1"/>
  <c r="FA31" i="1"/>
  <c r="AJ35" i="3"/>
  <c r="AJ34" i="3"/>
  <c r="AJ24" i="3"/>
  <c r="AI23" i="3"/>
  <c r="AJ23" i="3"/>
  <c r="AI22" i="3"/>
  <c r="AJ22" i="3"/>
  <c r="AI19" i="3"/>
  <c r="AJ19" i="3"/>
  <c r="AI18" i="3"/>
  <c r="AJ18" i="3"/>
  <c r="AI16" i="3"/>
  <c r="AJ16" i="3"/>
  <c r="FA37" i="3"/>
  <c r="FA31" i="3"/>
  <c r="FA35" i="3"/>
  <c r="FA15" i="3"/>
  <c r="AL15" i="3"/>
  <c r="AI15" i="3"/>
  <c r="AJ15" i="3"/>
</calcChain>
</file>

<file path=xl/sharedStrings.xml><?xml version="1.0" encoding="utf-8"?>
<sst xmlns="http://schemas.openxmlformats.org/spreadsheetml/2006/main" count="885" uniqueCount="221">
  <si>
    <t>Sample</t>
    <phoneticPr fontId="3" type="noConversion"/>
  </si>
  <si>
    <r>
      <t>SiO</t>
    </r>
    <r>
      <rPr>
        <vertAlign val="subscript"/>
        <sz val="10"/>
        <color theme="1"/>
        <rFont val="Times New Roman"/>
        <family val="1"/>
      </rPr>
      <t>2</t>
    </r>
    <phoneticPr fontId="3" type="noConversion"/>
  </si>
  <si>
    <r>
      <t>TiO</t>
    </r>
    <r>
      <rPr>
        <vertAlign val="subscript"/>
        <sz val="10"/>
        <color theme="1"/>
        <rFont val="Times New Roman"/>
        <family val="1"/>
      </rPr>
      <t>2</t>
    </r>
    <phoneticPr fontId="3" type="noConversion"/>
  </si>
  <si>
    <r>
      <t>Al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>3</t>
    </r>
    <phoneticPr fontId="3" type="noConversion"/>
  </si>
  <si>
    <r>
      <t>Cr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>3</t>
    </r>
    <phoneticPr fontId="3" type="noConversion"/>
  </si>
  <si>
    <t>FeO</t>
  </si>
  <si>
    <t>MnO</t>
  </si>
  <si>
    <t>MgO</t>
  </si>
  <si>
    <t>CaO</t>
  </si>
  <si>
    <r>
      <t>Na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phoneticPr fontId="3" type="noConversion"/>
  </si>
  <si>
    <r>
      <t>K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phoneticPr fontId="3" type="noConversion"/>
  </si>
  <si>
    <t>NiO</t>
    <phoneticPr fontId="3" type="noConversion"/>
  </si>
  <si>
    <t>Al</t>
    <phoneticPr fontId="3" type="noConversion"/>
  </si>
  <si>
    <t>Dev</t>
    <phoneticPr fontId="3" type="noConversion"/>
  </si>
  <si>
    <r>
      <t>TiO</t>
    </r>
    <r>
      <rPr>
        <vertAlign val="subscript"/>
        <sz val="10"/>
        <color theme="1"/>
        <rFont val="Times New Roman"/>
        <family val="1"/>
      </rPr>
      <t>2</t>
    </r>
    <phoneticPr fontId="3" type="noConversion"/>
  </si>
  <si>
    <r>
      <t>Al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>3</t>
    </r>
    <phoneticPr fontId="3" type="noConversion"/>
  </si>
  <si>
    <r>
      <t>K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phoneticPr fontId="3" type="noConversion"/>
  </si>
  <si>
    <t>NiO</t>
    <phoneticPr fontId="3" type="noConversion"/>
  </si>
  <si>
    <r>
      <t>Al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>3</t>
    </r>
    <phoneticPr fontId="3" type="noConversion"/>
  </si>
  <si>
    <t>Cr#</t>
    <phoneticPr fontId="3" type="noConversion"/>
  </si>
  <si>
    <t>Kd</t>
    <phoneticPr fontId="3" type="noConversion"/>
  </si>
  <si>
    <t>NiO</t>
    <phoneticPr fontId="3" type="noConversion"/>
  </si>
  <si>
    <t>O</t>
    <phoneticPr fontId="3" type="noConversion"/>
  </si>
  <si>
    <t>Si</t>
    <phoneticPr fontId="3" type="noConversion"/>
  </si>
  <si>
    <t>Ti</t>
    <phoneticPr fontId="3" type="noConversion"/>
  </si>
  <si>
    <t>Cr</t>
    <phoneticPr fontId="3" type="noConversion"/>
  </si>
  <si>
    <t>Fe</t>
    <phoneticPr fontId="3" type="noConversion"/>
  </si>
  <si>
    <t>Mn</t>
    <phoneticPr fontId="3" type="noConversion"/>
  </si>
  <si>
    <t>Mg</t>
    <phoneticPr fontId="3" type="noConversion"/>
  </si>
  <si>
    <t>Ca</t>
    <phoneticPr fontId="3" type="noConversion"/>
  </si>
  <si>
    <t>Na</t>
    <phoneticPr fontId="3" type="noConversion"/>
  </si>
  <si>
    <t>K</t>
    <phoneticPr fontId="3" type="noConversion"/>
  </si>
  <si>
    <t>Ni</t>
    <phoneticPr fontId="3" type="noConversion"/>
  </si>
  <si>
    <r>
      <t>SiO</t>
    </r>
    <r>
      <rPr>
        <vertAlign val="subscript"/>
        <sz val="10"/>
        <color theme="1"/>
        <rFont val="Times New Roman"/>
        <family val="1"/>
      </rPr>
      <t>2</t>
    </r>
    <phoneticPr fontId="3" type="noConversion"/>
  </si>
  <si>
    <r>
      <t>Cr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>3</t>
    </r>
    <phoneticPr fontId="3" type="noConversion"/>
  </si>
  <si>
    <r>
      <t>Na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phoneticPr fontId="3" type="noConversion"/>
  </si>
  <si>
    <r>
      <t>K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phoneticPr fontId="3" type="noConversion"/>
  </si>
  <si>
    <t>NiO</t>
    <phoneticPr fontId="3" type="noConversion"/>
  </si>
  <si>
    <r>
      <t>SiO</t>
    </r>
    <r>
      <rPr>
        <vertAlign val="subscript"/>
        <sz val="10"/>
        <color theme="1"/>
        <rFont val="Times New Roman"/>
        <family val="1"/>
      </rPr>
      <t>2</t>
    </r>
    <phoneticPr fontId="3" type="noConversion"/>
  </si>
  <si>
    <r>
      <t>TiO</t>
    </r>
    <r>
      <rPr>
        <vertAlign val="subscript"/>
        <sz val="10"/>
        <color theme="1"/>
        <rFont val="Times New Roman"/>
        <family val="1"/>
      </rPr>
      <t>2</t>
    </r>
    <phoneticPr fontId="3" type="noConversion"/>
  </si>
  <si>
    <r>
      <t>Al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>3</t>
    </r>
    <phoneticPr fontId="3" type="noConversion"/>
  </si>
  <si>
    <r>
      <t>Cr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>3</t>
    </r>
    <phoneticPr fontId="3" type="noConversion"/>
  </si>
  <si>
    <r>
      <t>Na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phoneticPr fontId="3" type="noConversion"/>
  </si>
  <si>
    <r>
      <t>Cr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>3</t>
    </r>
    <phoneticPr fontId="3" type="noConversion"/>
  </si>
  <si>
    <r>
      <t>Al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>3</t>
    </r>
    <phoneticPr fontId="3" type="noConversion"/>
  </si>
  <si>
    <r>
      <t>X</t>
    </r>
    <r>
      <rPr>
        <vertAlign val="subscript"/>
        <sz val="10"/>
        <color theme="1"/>
        <rFont val="Times New Roman"/>
        <family val="1"/>
      </rPr>
      <t>Si</t>
    </r>
    <rPh sb="1" eb="3">
      <t>Ol</t>
    </rPh>
    <phoneticPr fontId="3" type="noConversion"/>
  </si>
  <si>
    <r>
      <t>X</t>
    </r>
    <r>
      <rPr>
        <vertAlign val="subscript"/>
        <sz val="10"/>
        <color theme="1"/>
        <rFont val="Times New Roman"/>
        <family val="1"/>
      </rPr>
      <t>Ti</t>
    </r>
    <rPh sb="1" eb="3">
      <t>Ol</t>
    </rPh>
    <phoneticPr fontId="3" type="noConversion"/>
  </si>
  <si>
    <r>
      <t>X</t>
    </r>
    <r>
      <rPr>
        <vertAlign val="subscript"/>
        <sz val="10"/>
        <color theme="1"/>
        <rFont val="Times New Roman"/>
        <family val="1"/>
      </rPr>
      <t>Al</t>
    </r>
    <rPh sb="1" eb="3">
      <t>Ol</t>
    </rPh>
    <phoneticPr fontId="3" type="noConversion"/>
  </si>
  <si>
    <r>
      <t>X</t>
    </r>
    <r>
      <rPr>
        <vertAlign val="subscript"/>
        <sz val="10"/>
        <color theme="1"/>
        <rFont val="Times New Roman"/>
        <family val="1"/>
      </rPr>
      <t>Cr</t>
    </r>
    <rPh sb="1" eb="3">
      <t>Ol</t>
    </rPh>
    <phoneticPr fontId="3" type="noConversion"/>
  </si>
  <si>
    <r>
      <t>X</t>
    </r>
    <r>
      <rPr>
        <vertAlign val="subscript"/>
        <sz val="10"/>
        <color theme="1"/>
        <rFont val="Times New Roman"/>
        <family val="1"/>
      </rPr>
      <t>Fe</t>
    </r>
    <rPh sb="1" eb="3">
      <t>Ol</t>
    </rPh>
    <phoneticPr fontId="3" type="noConversion"/>
  </si>
  <si>
    <r>
      <t>X</t>
    </r>
    <r>
      <rPr>
        <vertAlign val="subscript"/>
        <sz val="10"/>
        <color theme="1"/>
        <rFont val="Times New Roman"/>
        <family val="1"/>
      </rPr>
      <t>Mn</t>
    </r>
    <rPh sb="1" eb="3">
      <t>Ol</t>
    </rPh>
    <phoneticPr fontId="3" type="noConversion"/>
  </si>
  <si>
    <r>
      <t>X</t>
    </r>
    <r>
      <rPr>
        <vertAlign val="subscript"/>
        <sz val="10"/>
        <color theme="1"/>
        <rFont val="Times New Roman"/>
        <family val="1"/>
      </rPr>
      <t>Mg</t>
    </r>
    <rPh sb="1" eb="3">
      <t>Ol</t>
    </rPh>
    <phoneticPr fontId="3" type="noConversion"/>
  </si>
  <si>
    <r>
      <t>X</t>
    </r>
    <r>
      <rPr>
        <vertAlign val="subscript"/>
        <sz val="10"/>
        <color theme="1"/>
        <rFont val="Times New Roman"/>
        <family val="1"/>
      </rPr>
      <t>Ca</t>
    </r>
    <rPh sb="1" eb="3">
      <t>Ol</t>
    </rPh>
    <phoneticPr fontId="3" type="noConversion"/>
  </si>
  <si>
    <r>
      <t>X</t>
    </r>
    <r>
      <rPr>
        <vertAlign val="subscript"/>
        <sz val="10"/>
        <color theme="1"/>
        <rFont val="Times New Roman"/>
        <family val="1"/>
      </rPr>
      <t>Na</t>
    </r>
    <rPh sb="1" eb="3">
      <t>Ol</t>
    </rPh>
    <phoneticPr fontId="3" type="noConversion"/>
  </si>
  <si>
    <r>
      <t>X</t>
    </r>
    <r>
      <rPr>
        <vertAlign val="subscript"/>
        <sz val="10"/>
        <color theme="1"/>
        <rFont val="Times New Roman"/>
        <family val="1"/>
      </rPr>
      <t>K</t>
    </r>
    <rPh sb="0" eb="2">
      <t>Ol</t>
    </rPh>
    <phoneticPr fontId="3" type="noConversion"/>
  </si>
  <si>
    <r>
      <t>X</t>
    </r>
    <r>
      <rPr>
        <vertAlign val="subscript"/>
        <sz val="10"/>
        <color theme="1"/>
        <rFont val="Times New Roman"/>
        <family val="1"/>
      </rPr>
      <t>Ni</t>
    </r>
    <rPh sb="1" eb="3">
      <t>Ol</t>
    </rPh>
    <phoneticPr fontId="3" type="noConversion"/>
  </si>
  <si>
    <t>Fo</t>
    <phoneticPr fontId="3" type="noConversion"/>
  </si>
  <si>
    <r>
      <t>SiO</t>
    </r>
    <r>
      <rPr>
        <vertAlign val="subscript"/>
        <sz val="10"/>
        <color theme="1"/>
        <rFont val="Times New Roman"/>
        <family val="1"/>
      </rPr>
      <t>2</t>
    </r>
    <phoneticPr fontId="3" type="noConversion"/>
  </si>
  <si>
    <r>
      <t>TiO</t>
    </r>
    <r>
      <rPr>
        <vertAlign val="subscript"/>
        <sz val="10"/>
        <color theme="1"/>
        <rFont val="Times New Roman"/>
        <family val="1"/>
      </rPr>
      <t>2</t>
    </r>
    <phoneticPr fontId="3" type="noConversion"/>
  </si>
  <si>
    <r>
      <t>Al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>3</t>
    </r>
    <phoneticPr fontId="3" type="noConversion"/>
  </si>
  <si>
    <r>
      <t>Cr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>3</t>
    </r>
    <phoneticPr fontId="3" type="noConversion"/>
  </si>
  <si>
    <r>
      <t>Na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phoneticPr fontId="3" type="noConversion"/>
  </si>
  <si>
    <r>
      <t>K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phoneticPr fontId="3" type="noConversion"/>
  </si>
  <si>
    <t>NiO</t>
    <phoneticPr fontId="3" type="noConversion"/>
  </si>
  <si>
    <r>
      <t>TiO</t>
    </r>
    <r>
      <rPr>
        <vertAlign val="subscript"/>
        <sz val="10"/>
        <color theme="1"/>
        <rFont val="Times New Roman"/>
        <family val="1"/>
      </rPr>
      <t>2</t>
    </r>
    <phoneticPr fontId="3" type="noConversion"/>
  </si>
  <si>
    <r>
      <t>X</t>
    </r>
    <r>
      <rPr>
        <vertAlign val="subscript"/>
        <sz val="10"/>
        <color theme="1"/>
        <rFont val="Times New Roman"/>
        <family val="1"/>
      </rPr>
      <t>Al</t>
    </r>
    <rPh sb="1" eb="3">
      <t>Cpx</t>
    </rPh>
    <phoneticPr fontId="3" type="noConversion"/>
  </si>
  <si>
    <r>
      <t>X</t>
    </r>
    <r>
      <rPr>
        <vertAlign val="subscript"/>
        <sz val="10"/>
        <color theme="1"/>
        <rFont val="Times New Roman"/>
        <family val="1"/>
      </rPr>
      <t>Cr</t>
    </r>
    <rPh sb="1" eb="3">
      <t>Cpx</t>
    </rPh>
    <phoneticPr fontId="3" type="noConversion"/>
  </si>
  <si>
    <r>
      <t>X</t>
    </r>
    <r>
      <rPr>
        <vertAlign val="subscript"/>
        <sz val="10"/>
        <color theme="1"/>
        <rFont val="Times New Roman"/>
        <family val="1"/>
      </rPr>
      <t>Fe</t>
    </r>
    <rPh sb="1" eb="3">
      <t>Cpx</t>
    </rPh>
    <phoneticPr fontId="3" type="noConversion"/>
  </si>
  <si>
    <r>
      <t>X</t>
    </r>
    <r>
      <rPr>
        <vertAlign val="subscript"/>
        <sz val="10"/>
        <color theme="1"/>
        <rFont val="Times New Roman"/>
        <family val="1"/>
      </rPr>
      <t>Mn</t>
    </r>
    <rPh sb="1" eb="3">
      <t>Cpx</t>
    </rPh>
    <phoneticPr fontId="3" type="noConversion"/>
  </si>
  <si>
    <r>
      <t>X</t>
    </r>
    <r>
      <rPr>
        <vertAlign val="subscript"/>
        <sz val="10"/>
        <color theme="1"/>
        <rFont val="Times New Roman"/>
        <family val="1"/>
      </rPr>
      <t>Mg</t>
    </r>
    <rPh sb="1" eb="3">
      <t>Cpx</t>
    </rPh>
    <phoneticPr fontId="3" type="noConversion"/>
  </si>
  <si>
    <r>
      <t>X</t>
    </r>
    <r>
      <rPr>
        <vertAlign val="subscript"/>
        <sz val="10"/>
        <color theme="1"/>
        <rFont val="Times New Roman"/>
        <family val="1"/>
      </rPr>
      <t>Ca</t>
    </r>
    <rPh sb="1" eb="3">
      <t>Cpx</t>
    </rPh>
    <phoneticPr fontId="3" type="noConversion"/>
  </si>
  <si>
    <r>
      <t>X</t>
    </r>
    <r>
      <rPr>
        <vertAlign val="subscript"/>
        <sz val="10"/>
        <color theme="1"/>
        <rFont val="Times New Roman"/>
        <family val="1"/>
      </rPr>
      <t>Na</t>
    </r>
    <rPh sb="1" eb="3">
      <t>Cpx</t>
    </rPh>
    <phoneticPr fontId="3" type="noConversion"/>
  </si>
  <si>
    <r>
      <t>X</t>
    </r>
    <r>
      <rPr>
        <vertAlign val="subscript"/>
        <sz val="10"/>
        <color theme="1"/>
        <rFont val="Times New Roman"/>
        <family val="1"/>
      </rPr>
      <t>K</t>
    </r>
    <rPh sb="0" eb="2">
      <t>Cpx</t>
    </rPh>
    <phoneticPr fontId="3" type="noConversion"/>
  </si>
  <si>
    <r>
      <t>X</t>
    </r>
    <r>
      <rPr>
        <vertAlign val="subscript"/>
        <sz val="10"/>
        <color theme="1"/>
        <rFont val="Times New Roman"/>
        <family val="1"/>
      </rPr>
      <t>Ni</t>
    </r>
    <rPh sb="0" eb="2">
      <t>Cpx</t>
    </rPh>
    <phoneticPr fontId="3" type="noConversion"/>
  </si>
  <si>
    <r>
      <t>lnD</t>
    </r>
    <r>
      <rPr>
        <vertAlign val="subscript"/>
        <sz val="10"/>
        <color theme="1"/>
        <rFont val="Times New Roman"/>
        <family val="1"/>
      </rPr>
      <t>Ca</t>
    </r>
    <phoneticPr fontId="3" type="noConversion"/>
  </si>
  <si>
    <t>Olivine</t>
  </si>
  <si>
    <t>goal</t>
    <phoneticPr fontId="3" type="noConversion"/>
  </si>
  <si>
    <t>Clinopyroxene</t>
    <phoneticPr fontId="3" type="noConversion"/>
  </si>
  <si>
    <t>Spinel</t>
    <phoneticPr fontId="3" type="noConversion"/>
  </si>
  <si>
    <t>molar mass</t>
  </si>
  <si>
    <t>oxy sum</t>
    <phoneticPr fontId="3" type="noConversion"/>
  </si>
  <si>
    <t>ORF</t>
    <phoneticPr fontId="3" type="noConversion"/>
  </si>
  <si>
    <t>cations for Ol</t>
    <phoneticPr fontId="3" type="noConversion"/>
  </si>
  <si>
    <t>oxygen ions for Ol</t>
    <phoneticPr fontId="3" type="noConversion"/>
  </si>
  <si>
    <t>cations for Cpx</t>
    <phoneticPr fontId="3" type="noConversion"/>
  </si>
  <si>
    <t>oxygen ions for Cpx</t>
    <phoneticPr fontId="3" type="noConversion"/>
  </si>
  <si>
    <t>Thermometers and Barometers</t>
  </si>
  <si>
    <r>
      <t>X</t>
    </r>
    <r>
      <rPr>
        <vertAlign val="subscript"/>
        <sz val="10"/>
        <color theme="1"/>
        <rFont val="Times New Roman"/>
        <family val="1"/>
      </rPr>
      <t>Si</t>
    </r>
    <rPh sb="1" eb="3">
      <t>Cpx</t>
    </rPh>
    <phoneticPr fontId="3" type="noConversion"/>
  </si>
  <si>
    <r>
      <t>X</t>
    </r>
    <r>
      <rPr>
        <vertAlign val="subscript"/>
        <sz val="10"/>
        <color theme="1"/>
        <rFont val="Times New Roman"/>
        <family val="1"/>
      </rPr>
      <t>Ti</t>
    </r>
    <rPh sb="1" eb="3">
      <t>Cpx</t>
    </rPh>
    <phoneticPr fontId="3" type="noConversion"/>
  </si>
  <si>
    <t>17DSH02</t>
  </si>
  <si>
    <t>17DSH02</t>
    <phoneticPr fontId="3" type="noConversion"/>
  </si>
  <si>
    <t>17DSH04</t>
  </si>
  <si>
    <t>17DSH04</t>
    <phoneticPr fontId="3" type="noConversion"/>
  </si>
  <si>
    <t>17DSH06</t>
  </si>
  <si>
    <t>17DSH09</t>
  </si>
  <si>
    <t>17DSH10</t>
  </si>
  <si>
    <t>17DSH13</t>
  </si>
  <si>
    <t>17DSH14</t>
  </si>
  <si>
    <t>17DSH15</t>
  </si>
  <si>
    <t>17DSH17*</t>
  </si>
  <si>
    <t>17DSH18*</t>
  </si>
  <si>
    <t>17DSH19*</t>
  </si>
  <si>
    <t>17DSH20</t>
  </si>
  <si>
    <t>P(GPa)</t>
    <phoneticPr fontId="3" type="noConversion"/>
  </si>
  <si>
    <r>
      <rPr>
        <i/>
        <sz val="10"/>
        <color theme="1"/>
        <rFont val="Times New Roman"/>
        <family val="1"/>
      </rPr>
      <t>T</t>
    </r>
    <r>
      <rPr>
        <i/>
        <vertAlign val="subscript"/>
        <sz val="10"/>
        <color theme="1"/>
        <rFont val="Times New Roman"/>
        <family val="1"/>
      </rPr>
      <t>Ca-in-Ol</t>
    </r>
    <r>
      <rPr>
        <sz val="10"/>
        <color theme="1"/>
        <rFont val="Times New Roman"/>
        <family val="1"/>
      </rPr>
      <t xml:space="preserve"> (°C)</t>
    </r>
    <phoneticPr fontId="3" type="noConversion"/>
  </si>
  <si>
    <r>
      <rPr>
        <i/>
        <sz val="10"/>
        <color theme="1"/>
        <rFont val="Times New Roman"/>
        <family val="1"/>
      </rPr>
      <t>T</t>
    </r>
    <r>
      <rPr>
        <i/>
        <vertAlign val="subscript"/>
        <sz val="10"/>
        <color theme="1"/>
        <rFont val="Times New Roman"/>
        <family val="1"/>
      </rPr>
      <t>Al</t>
    </r>
    <r>
      <rPr>
        <sz val="10"/>
        <color theme="1"/>
        <rFont val="Times New Roman"/>
        <family val="1"/>
      </rPr>
      <t xml:space="preserve"> (°C)</t>
    </r>
    <phoneticPr fontId="3" type="noConversion"/>
  </si>
  <si>
    <r>
      <rPr>
        <i/>
        <sz val="10"/>
        <color theme="1"/>
        <rFont val="Times New Roman"/>
        <family val="1"/>
      </rPr>
      <t>P</t>
    </r>
    <r>
      <rPr>
        <i/>
        <vertAlign val="subscript"/>
        <sz val="10"/>
        <color theme="1"/>
        <rFont val="Times New Roman"/>
        <family val="1"/>
      </rPr>
      <t>KB</t>
    </r>
    <r>
      <rPr>
        <sz val="10"/>
        <color theme="1"/>
        <rFont val="Times New Roman"/>
        <family val="1"/>
      </rPr>
      <t xml:space="preserve"> (GPa)</t>
    </r>
    <phoneticPr fontId="3" type="noConversion"/>
  </si>
  <si>
    <r>
      <rPr>
        <i/>
        <sz val="10"/>
        <color theme="1"/>
        <rFont val="Times New Roman"/>
        <family val="1"/>
      </rPr>
      <t>P</t>
    </r>
    <r>
      <rPr>
        <i/>
        <vertAlign val="subscript"/>
        <sz val="10"/>
        <color theme="1"/>
        <rFont val="Times New Roman"/>
        <family val="1"/>
      </rPr>
      <t>SC</t>
    </r>
    <r>
      <rPr>
        <sz val="10"/>
        <color theme="1"/>
        <rFont val="Times New Roman"/>
        <family val="1"/>
      </rPr>
      <t xml:space="preserve"> (GPa)</t>
    </r>
    <phoneticPr fontId="3" type="noConversion"/>
  </si>
  <si>
    <r>
      <t>P</t>
    </r>
    <r>
      <rPr>
        <i/>
        <vertAlign val="subscript"/>
        <sz val="10"/>
        <color theme="1"/>
        <rFont val="Times New Roman"/>
        <family val="1"/>
      </rPr>
      <t>KB_1</t>
    </r>
    <phoneticPr fontId="3" type="noConversion"/>
  </si>
  <si>
    <r>
      <t>P</t>
    </r>
    <r>
      <rPr>
        <i/>
        <vertAlign val="subscript"/>
        <sz val="10"/>
        <color theme="1"/>
        <rFont val="Times New Roman"/>
        <family val="1"/>
      </rPr>
      <t>KB_2</t>
    </r>
    <r>
      <rPr>
        <sz val="9"/>
        <color theme="1"/>
        <rFont val="Times New Roman"/>
        <family val="2"/>
        <charset val="134"/>
      </rPr>
      <t/>
    </r>
  </si>
  <si>
    <r>
      <t xml:space="preserve">paired with </t>
    </r>
    <r>
      <rPr>
        <b/>
        <i/>
        <sz val="10"/>
        <color rgb="FFFF0000"/>
        <rFont val="Times New Roman"/>
        <family val="1"/>
      </rPr>
      <t>P</t>
    </r>
    <r>
      <rPr>
        <b/>
        <i/>
        <vertAlign val="subscript"/>
        <sz val="10"/>
        <color rgb="FFFF0000"/>
        <rFont val="Times New Roman"/>
        <family val="1"/>
      </rPr>
      <t>SC</t>
    </r>
    <phoneticPr fontId="3" type="noConversion"/>
  </si>
  <si>
    <r>
      <t xml:space="preserve">De Hoog, J. C., Gall, L., &amp; Cornell, D. H. (2010). Trace-element geochemistry of mantle olivine and application to mantle petrogenesis and geothermobarometry. </t>
    </r>
    <r>
      <rPr>
        <i/>
        <sz val="10"/>
        <color theme="1"/>
        <rFont val="Times New Roman"/>
        <family val="1"/>
      </rPr>
      <t>Chemical Geology</t>
    </r>
    <r>
      <rPr>
        <sz val="10"/>
        <color theme="1"/>
        <rFont val="Times New Roman"/>
        <family val="1"/>
      </rPr>
      <t>, 270(1-4), 196–215.</t>
    </r>
    <phoneticPr fontId="3" type="noConversion"/>
  </si>
  <si>
    <t>References</t>
    <phoneticPr fontId="3" type="noConversion"/>
  </si>
  <si>
    <r>
      <rPr>
        <i/>
        <sz val="10"/>
        <color theme="1"/>
        <rFont val="Times New Roman"/>
        <family val="1"/>
      </rPr>
      <t>T</t>
    </r>
    <r>
      <rPr>
        <i/>
        <vertAlign val="subscript"/>
        <sz val="10"/>
        <color theme="1"/>
        <rFont val="Times New Roman"/>
        <family val="1"/>
      </rPr>
      <t>Ca-in-Ol</t>
    </r>
    <r>
      <rPr>
        <sz val="10"/>
        <color theme="1"/>
        <rFont val="Times New Roman"/>
        <family val="1"/>
      </rPr>
      <t xml:space="preserve">, the Ca-in-olivine thermometer of </t>
    </r>
    <r>
      <rPr>
        <sz val="10"/>
        <color rgb="FF0000FF"/>
        <rFont val="Times New Roman"/>
        <family val="1"/>
      </rPr>
      <t>De Hoog et al. (2010)</t>
    </r>
    <r>
      <rPr>
        <sz val="10"/>
        <color theme="1"/>
        <rFont val="Times New Roman"/>
        <family val="1"/>
      </rPr>
      <t>.</t>
    </r>
    <phoneticPr fontId="3" type="noConversion"/>
  </si>
  <si>
    <r>
      <rPr>
        <i/>
        <sz val="10"/>
        <color theme="1"/>
        <rFont val="Times New Roman"/>
        <family val="1"/>
      </rPr>
      <t>T</t>
    </r>
    <r>
      <rPr>
        <i/>
        <vertAlign val="subscript"/>
        <sz val="10"/>
        <color theme="1"/>
        <rFont val="Times New Roman"/>
        <family val="1"/>
      </rPr>
      <t>Al</t>
    </r>
    <r>
      <rPr>
        <sz val="10"/>
        <color theme="1"/>
        <rFont val="Times New Roman"/>
        <family val="1"/>
      </rPr>
      <t xml:space="preserve">, the themometer based on Al exchange between olivine and spinel of </t>
    </r>
    <r>
      <rPr>
        <sz val="10"/>
        <color rgb="FF0000FF"/>
        <rFont val="Times New Roman"/>
        <family val="1"/>
      </rPr>
      <t>Coogan et al. (2014)</t>
    </r>
    <r>
      <rPr>
        <sz val="10"/>
        <color theme="1"/>
        <rFont val="Times New Roman"/>
        <family val="1"/>
      </rPr>
      <t>.</t>
    </r>
    <phoneticPr fontId="3" type="noConversion"/>
  </si>
  <si>
    <r>
      <rPr>
        <i/>
        <sz val="10"/>
        <color theme="1"/>
        <rFont val="Times New Roman"/>
        <family val="1"/>
      </rPr>
      <t>P</t>
    </r>
    <r>
      <rPr>
        <i/>
        <vertAlign val="subscript"/>
        <sz val="10"/>
        <color theme="1"/>
        <rFont val="Times New Roman"/>
        <family val="1"/>
      </rPr>
      <t>KB</t>
    </r>
    <r>
      <rPr>
        <sz val="10"/>
        <color theme="1"/>
        <rFont val="Times New Roman"/>
        <family val="1"/>
      </rPr>
      <t xml:space="preserve">, the barometer based on Ca exchange between olivine and Cpx of </t>
    </r>
    <r>
      <rPr>
        <sz val="10"/>
        <color rgb="FF0000FF"/>
        <rFont val="Times New Roman"/>
        <family val="1"/>
      </rPr>
      <t>Köhler &amp; Brey (1990)</t>
    </r>
    <r>
      <rPr>
        <sz val="10"/>
        <color theme="1"/>
        <rFont val="Times New Roman"/>
        <family val="1"/>
      </rPr>
      <t>.</t>
    </r>
    <phoneticPr fontId="3" type="noConversion"/>
  </si>
  <si>
    <r>
      <t xml:space="preserve">Coogan, L. A., Saunders, A. D., &amp; Wilson, R. N. (2014). Aluminum-in-olivine thermometry of primitive basalts: Evidence of an anomalously hot mantle source for large igneous provinces. </t>
    </r>
    <r>
      <rPr>
        <i/>
        <sz val="10"/>
        <color theme="1"/>
        <rFont val="Times New Roman"/>
        <family val="1"/>
      </rPr>
      <t>Chemical Geology</t>
    </r>
    <r>
      <rPr>
        <sz val="10"/>
        <color theme="1"/>
        <rFont val="Times New Roman"/>
        <family val="1"/>
      </rPr>
      <t>, 368, 1–10.</t>
    </r>
    <phoneticPr fontId="3" type="noConversion"/>
  </si>
  <si>
    <r>
      <t xml:space="preserve">Köhler, T. P., &amp; Brey, G. (1990). Calcium exchange between olivine and clinopyroxene calibrated as a geothermobarometer for natural peridotites from 2 to 60 kb with applications. </t>
    </r>
    <r>
      <rPr>
        <i/>
        <sz val="10"/>
        <color theme="1"/>
        <rFont val="Times New Roman"/>
        <family val="1"/>
      </rPr>
      <t>Geochimica et Cosmochimica Acta</t>
    </r>
    <r>
      <rPr>
        <sz val="10"/>
        <color theme="1"/>
        <rFont val="Times New Roman"/>
        <family val="1"/>
      </rPr>
      <t>, 54(9), 2375–2388.</t>
    </r>
    <phoneticPr fontId="3" type="noConversion"/>
  </si>
  <si>
    <r>
      <t xml:space="preserve">Shejwalkar, A., &amp; Coogan, L. A. (2013). Experimental calibration of the roles of temperature and composition in the Ca-in-olivine geothermometer at 0.1 MPa. </t>
    </r>
    <r>
      <rPr>
        <i/>
        <sz val="10"/>
        <color theme="1"/>
        <rFont val="Times New Roman"/>
        <family val="1"/>
      </rPr>
      <t>Lithos</t>
    </r>
    <r>
      <rPr>
        <sz val="10"/>
        <color theme="1"/>
        <rFont val="Times New Roman"/>
        <family val="1"/>
      </rPr>
      <t>, 177, 54–60.</t>
    </r>
    <phoneticPr fontId="3" type="noConversion"/>
  </si>
  <si>
    <r>
      <t>P</t>
    </r>
    <r>
      <rPr>
        <b/>
        <i/>
        <vertAlign val="subscript"/>
        <sz val="10"/>
        <color rgb="FFFF0000"/>
        <rFont val="Times New Roman"/>
        <family val="1"/>
      </rPr>
      <t>SC</t>
    </r>
    <phoneticPr fontId="3" type="noConversion"/>
  </si>
  <si>
    <r>
      <t>P</t>
    </r>
    <r>
      <rPr>
        <b/>
        <i/>
        <vertAlign val="subscript"/>
        <sz val="10"/>
        <color rgb="FFFF0000"/>
        <rFont val="Times New Roman"/>
        <family val="1"/>
      </rPr>
      <t>KB</t>
    </r>
    <r>
      <rPr>
        <sz val="9"/>
        <color theme="1"/>
        <rFont val="Times New Roman"/>
        <family val="2"/>
        <charset val="134"/>
      </rPr>
      <t/>
    </r>
    <phoneticPr fontId="3" type="noConversion"/>
  </si>
  <si>
    <t>Lithology</t>
  </si>
  <si>
    <t>Lherzolite</t>
  </si>
  <si>
    <t>Harzburgite</t>
  </si>
  <si>
    <t>*Harzburgites have cloudy clinopyroxene.</t>
    <phoneticPr fontId="3" type="noConversion"/>
  </si>
  <si>
    <r>
      <t xml:space="preserve">paired with </t>
    </r>
    <r>
      <rPr>
        <b/>
        <i/>
        <sz val="10"/>
        <color rgb="FFFF0000"/>
        <rFont val="Times New Roman"/>
        <family val="1"/>
      </rPr>
      <t>P</t>
    </r>
    <r>
      <rPr>
        <b/>
        <i/>
        <vertAlign val="subscript"/>
        <sz val="10"/>
        <color rgb="FFFF0000"/>
        <rFont val="Times New Roman"/>
        <family val="1"/>
      </rPr>
      <t>KB</t>
    </r>
    <r>
      <rPr>
        <sz val="9"/>
        <color theme="1"/>
        <rFont val="Times New Roman"/>
        <family val="2"/>
        <charset val="134"/>
      </rPr>
      <t/>
    </r>
    <phoneticPr fontId="3" type="noConversion"/>
  </si>
  <si>
    <t>Reference</t>
    <phoneticPr fontId="3" type="noConversion"/>
  </si>
  <si>
    <t>OB-93-22</t>
  </si>
  <si>
    <t>GM-92-501</t>
  </si>
  <si>
    <t>OB-93-3</t>
  </si>
  <si>
    <t>OB-93-5</t>
  </si>
  <si>
    <t>JGM-92-1c</t>
  </si>
  <si>
    <t>Grégoire et al., 2000</t>
    <phoneticPr fontId="3" type="noConversion"/>
  </si>
  <si>
    <t>RP83-71</t>
  </si>
  <si>
    <t>RP87-3</t>
  </si>
  <si>
    <t>RP87-5</t>
  </si>
  <si>
    <t>RP87-9</t>
  </si>
  <si>
    <t>RP91-2</t>
  </si>
  <si>
    <t>RP91-3</t>
  </si>
  <si>
    <t>RP91-4</t>
  </si>
  <si>
    <t>RP91-9</t>
  </si>
  <si>
    <t>RP91-10</t>
  </si>
  <si>
    <t>RP91-12</t>
  </si>
  <si>
    <t>RP91-21</t>
  </si>
  <si>
    <t>RP91-22</t>
  </si>
  <si>
    <t>De Hoog et al., 2010</t>
  </si>
  <si>
    <t>SL1</t>
  </si>
  <si>
    <t>SL4</t>
  </si>
  <si>
    <t>SL5</t>
  </si>
  <si>
    <t>SL12</t>
  </si>
  <si>
    <t>SL17</t>
  </si>
  <si>
    <t>SL18</t>
  </si>
  <si>
    <t>SL22</t>
  </si>
  <si>
    <t>SL27</t>
  </si>
  <si>
    <t>SL28</t>
  </si>
  <si>
    <t>SL37</t>
  </si>
  <si>
    <t>SL38</t>
  </si>
  <si>
    <t>SL40</t>
  </si>
  <si>
    <t>SL41</t>
  </si>
  <si>
    <t>SL43</t>
  </si>
  <si>
    <t>SL54</t>
  </si>
  <si>
    <t>SL55</t>
  </si>
  <si>
    <t>SL58</t>
  </si>
  <si>
    <t>SL63</t>
  </si>
  <si>
    <t>SL70</t>
  </si>
  <si>
    <t>Canil &amp; Russell, 2022</t>
    <phoneticPr fontId="3" type="noConversion"/>
  </si>
  <si>
    <t>Canil &amp; Russell, 2022</t>
    <phoneticPr fontId="3" type="noConversion"/>
  </si>
  <si>
    <t>TM01</t>
  </si>
  <si>
    <t>TM06</t>
  </si>
  <si>
    <t>TM13</t>
  </si>
  <si>
    <t>TM19</t>
  </si>
  <si>
    <t>TM20</t>
  </si>
  <si>
    <t>TM32</t>
  </si>
  <si>
    <t>TM46</t>
  </si>
  <si>
    <t>TM49</t>
  </si>
  <si>
    <t>TM50</t>
  </si>
  <si>
    <t>TM51</t>
  </si>
  <si>
    <t>TM53</t>
  </si>
  <si>
    <t>TM54</t>
  </si>
  <si>
    <t>TM55</t>
  </si>
  <si>
    <t>TM60</t>
  </si>
  <si>
    <t>Canil et al., 2021; Canil &amp; Russell, 2022</t>
    <phoneticPr fontId="3" type="noConversion"/>
  </si>
  <si>
    <t>Canil et al., 2021; Canil &amp; Russell, 2022</t>
    <phoneticPr fontId="3" type="noConversion"/>
  </si>
  <si>
    <t>References</t>
    <phoneticPr fontId="3" type="noConversion"/>
  </si>
  <si>
    <r>
      <t xml:space="preserve">Canil, D., Russell, J. K., &amp; Fode, D. (2021). A test of models for recent lithosphere foundering or replacement in the Canadian Cordillera using peridotite xenolith geothermometry. </t>
    </r>
    <r>
      <rPr>
        <i/>
        <sz val="10"/>
        <color theme="1"/>
        <rFont val="Times New Roman"/>
        <family val="1"/>
      </rPr>
      <t>Lithos</t>
    </r>
    <r>
      <rPr>
        <sz val="10"/>
        <color theme="1"/>
        <rFont val="Times New Roman"/>
        <family val="1"/>
      </rPr>
      <t>, 398, 106329.</t>
    </r>
    <phoneticPr fontId="3" type="noConversion"/>
  </si>
  <si>
    <r>
      <t xml:space="preserve">Canil, D., &amp; Russell, J. K. (2022). Xenoliths reveal a hot Moho and thin lithosphere at the Cordillera-craton boundary of western Canada. </t>
    </r>
    <r>
      <rPr>
        <i/>
        <sz val="10"/>
        <color theme="1"/>
        <rFont val="Times New Roman"/>
        <family val="1"/>
      </rPr>
      <t>Geology</t>
    </r>
    <r>
      <rPr>
        <sz val="10"/>
        <color theme="1"/>
        <rFont val="Times New Roman"/>
        <family val="1"/>
      </rPr>
      <t>, 50(10), 1135–1139.</t>
    </r>
    <phoneticPr fontId="3" type="noConversion"/>
  </si>
  <si>
    <r>
      <t xml:space="preserve">De Hoog, J. C., Gall, L., &amp; Cornell, D. H. (2010). Trace-element geochemistry of mantle olivine and application to mantle petrogenesis and geothermobarometry. </t>
    </r>
    <r>
      <rPr>
        <i/>
        <sz val="10"/>
        <color theme="1"/>
        <rFont val="Times New Roman"/>
        <family val="1"/>
      </rPr>
      <t>Chemical Geology</t>
    </r>
    <r>
      <rPr>
        <sz val="10"/>
        <color theme="1"/>
        <rFont val="Times New Roman"/>
        <family val="1"/>
      </rPr>
      <t>, 270(1-4), 196–215.</t>
    </r>
    <phoneticPr fontId="3" type="noConversion"/>
  </si>
  <si>
    <r>
      <t xml:space="preserve">Grégoire, M., Moine, B. N., O’Reilly, S. Y., Cottin, J. Y., &amp; Giret, A. (2000). Trace element residence and partitioning in mantle xenoliths metasomatized by highly alkaline, silicate-and carbonate-rich melts (Kerguelen Islands, Indian Ocean). </t>
    </r>
    <r>
      <rPr>
        <i/>
        <sz val="10"/>
        <color theme="1"/>
        <rFont val="Times New Roman"/>
        <family val="1"/>
      </rPr>
      <t>Journal of Petrology</t>
    </r>
    <r>
      <rPr>
        <sz val="10"/>
        <color theme="1"/>
        <rFont val="Times New Roman"/>
        <family val="1"/>
      </rPr>
      <t>, 41(4), 477–509.</t>
    </r>
    <phoneticPr fontId="3" type="noConversion"/>
  </si>
  <si>
    <t>cations for olivine</t>
    <phoneticPr fontId="3" type="noConversion"/>
  </si>
  <si>
    <t>oxygen ions for olivine</t>
    <phoneticPr fontId="3" type="noConversion"/>
  </si>
  <si>
    <t>molecular mass</t>
  </si>
  <si>
    <t>atomic mass</t>
    <phoneticPr fontId="3" type="noConversion"/>
  </si>
  <si>
    <t>ORF</t>
    <phoneticPr fontId="3" type="noConversion"/>
  </si>
  <si>
    <t>SUM</t>
    <phoneticPr fontId="3" type="noConversion"/>
  </si>
  <si>
    <r>
      <rPr>
        <i/>
        <sz val="10"/>
        <color theme="1"/>
        <rFont val="Times New Roman"/>
        <family val="1"/>
      </rPr>
      <t>P</t>
    </r>
    <r>
      <rPr>
        <i/>
        <vertAlign val="subscript"/>
        <sz val="10"/>
        <color theme="1"/>
        <rFont val="Times New Roman"/>
        <family val="1"/>
      </rPr>
      <t>SC</t>
    </r>
    <r>
      <rPr>
        <sz val="10"/>
        <color theme="1"/>
        <rFont val="Times New Roman"/>
        <family val="1"/>
      </rPr>
      <t xml:space="preserve">, the Ca-in-olivine barometer of </t>
    </r>
    <r>
      <rPr>
        <sz val="10"/>
        <color rgb="FF0000FF"/>
        <rFont val="Times New Roman"/>
        <family val="1"/>
      </rPr>
      <t>Shejwalkar &amp; Coogan (2013)</t>
    </r>
    <r>
      <rPr>
        <sz val="10"/>
        <color theme="1"/>
        <rFont val="Times New Roman"/>
        <family val="1"/>
      </rPr>
      <t>.</t>
    </r>
    <phoneticPr fontId="3" type="noConversion"/>
  </si>
  <si>
    <t>recalculated atomic proportion of cation</t>
  </si>
  <si>
    <t>guess</t>
    <phoneticPr fontId="3" type="noConversion"/>
  </si>
  <si>
    <r>
      <rPr>
        <i/>
        <sz val="10"/>
        <color theme="1"/>
        <rFont val="Times New Roman"/>
        <family val="1"/>
      </rPr>
      <t>P</t>
    </r>
    <r>
      <rPr>
        <i/>
        <vertAlign val="subscript"/>
        <sz val="10"/>
        <color theme="1"/>
        <rFont val="Times New Roman"/>
        <family val="1"/>
      </rPr>
      <t>SC</t>
    </r>
    <r>
      <rPr>
        <sz val="10"/>
        <color theme="1"/>
        <rFont val="Times New Roman"/>
        <family val="1"/>
      </rPr>
      <t xml:space="preserve">, the Ca-in-olivine barometer of </t>
    </r>
    <r>
      <rPr>
        <sz val="10"/>
        <color rgb="FF0000FF"/>
        <rFont val="Times New Roman"/>
        <family val="1"/>
      </rPr>
      <t>Shejwalkar &amp; Coogan (2013)</t>
    </r>
    <r>
      <rPr>
        <sz val="10"/>
        <color theme="1"/>
        <rFont val="Times New Roman"/>
        <family val="1"/>
      </rPr>
      <t>.</t>
    </r>
    <phoneticPr fontId="3" type="noConversion"/>
  </si>
  <si>
    <r>
      <rPr>
        <i/>
        <sz val="10"/>
        <color theme="1"/>
        <rFont val="Times New Roman"/>
        <family val="1"/>
      </rPr>
      <t>T</t>
    </r>
    <r>
      <rPr>
        <i/>
        <vertAlign val="subscript"/>
        <sz val="10"/>
        <color theme="1"/>
        <rFont val="Times New Roman"/>
        <family val="1"/>
      </rPr>
      <t>Ca-in-Ol</t>
    </r>
    <r>
      <rPr>
        <sz val="10"/>
        <color theme="1"/>
        <rFont val="Times New Roman"/>
        <family val="1"/>
      </rPr>
      <t xml:space="preserve">, the Ca-in-olivine thermometer of </t>
    </r>
    <r>
      <rPr>
        <sz val="10"/>
        <color rgb="FF0000FF"/>
        <rFont val="Times New Roman"/>
        <family val="1"/>
      </rPr>
      <t>Shejwalkar &amp; Coogan (2013)</t>
    </r>
    <r>
      <rPr>
        <sz val="10"/>
        <color theme="1"/>
        <rFont val="Times New Roman"/>
        <family val="1"/>
      </rPr>
      <t>.</t>
    </r>
    <phoneticPr fontId="3" type="noConversion"/>
  </si>
  <si>
    <t>Eqn. 15</t>
  </si>
  <si>
    <t>Eqn. 13</t>
    <phoneticPr fontId="3" type="noConversion"/>
  </si>
  <si>
    <t>Al (µg/g)</t>
    <phoneticPr fontId="3" type="noConversion"/>
  </si>
  <si>
    <t>Ca (µg/g)</t>
    <phoneticPr fontId="3" type="noConversion"/>
  </si>
  <si>
    <t>Al (µg/g)</t>
    <phoneticPr fontId="3" type="noConversion"/>
  </si>
  <si>
    <t>Ca (µg/g)</t>
    <phoneticPr fontId="3" type="noConversion"/>
  </si>
  <si>
    <t>Al (µg/g)</t>
    <phoneticPr fontId="3" type="noConversion"/>
  </si>
  <si>
    <t>calculated</t>
  </si>
  <si>
    <t>measured</t>
  </si>
  <si>
    <t>Enter Olivine Composition Here</t>
    <phoneticPr fontId="3" type="noConversion"/>
  </si>
  <si>
    <t>Enter Clinopyroxene Composition Here</t>
    <phoneticPr fontId="3" type="noConversion"/>
  </si>
  <si>
    <t>Enter Spinel Composition Here</t>
    <phoneticPr fontId="3" type="noConversion"/>
  </si>
  <si>
    <r>
      <rPr>
        <b/>
        <sz val="12"/>
        <color theme="1"/>
        <rFont val="Times New Roman"/>
        <family val="1"/>
      </rPr>
      <t>Table S6a</t>
    </r>
    <r>
      <rPr>
        <sz val="12"/>
        <color theme="1"/>
        <rFont val="Times New Roman"/>
        <family val="1"/>
      </rPr>
      <t xml:space="preserve"> Correction for calcium content in olivine to estimate the sampling pressure of peridotite xenoliths from this study (see text for details)</t>
    </r>
  </si>
  <si>
    <t>Gray field = input</t>
  </si>
  <si>
    <t>Gold and yellow field = output</t>
    <phoneticPr fontId="3" type="noConversion"/>
  </si>
  <si>
    <t>1) INPUT required in GRAY columns (C - D, F - I, K -O, Q -AA and AC - AD)</t>
    <phoneticPr fontId="3" type="noConversion"/>
  </si>
  <si>
    <t>2) OUTPUT in GOLD and YELLOW columns (E, J, AH - AJ and AL)</t>
    <phoneticPr fontId="3" type="noConversion"/>
  </si>
  <si>
    <t>Ca (µg/g)</t>
    <phoneticPr fontId="3" type="noConversion"/>
  </si>
  <si>
    <r>
      <rPr>
        <b/>
        <sz val="12"/>
        <color theme="1"/>
        <rFont val="Times New Roman"/>
        <family val="1"/>
      </rPr>
      <t>Table S6b</t>
    </r>
    <r>
      <rPr>
        <sz val="12"/>
        <color theme="1"/>
        <rFont val="Times New Roman"/>
        <family val="1"/>
      </rPr>
      <t xml:space="preserve"> Correction for calcium content in olivine to estimate the sampling pressure of peridotite xenoliths from this study (see text for details)</t>
    </r>
    <phoneticPr fontId="3" type="noConversion"/>
  </si>
  <si>
    <r>
      <rPr>
        <b/>
        <sz val="12"/>
        <color theme="1"/>
        <rFont val="Times New Roman"/>
        <family val="1"/>
      </rPr>
      <t>Table S6c</t>
    </r>
    <r>
      <rPr>
        <sz val="12"/>
        <color theme="1"/>
        <rFont val="Times New Roman"/>
        <family val="1"/>
      </rPr>
      <t xml:space="preserve"> Correction for calcium content in olivine to estimate the sampling pressure of peridotite xenoliths from the literature (see text for details)</t>
    </r>
    <phoneticPr fontId="3" type="noConversion"/>
  </si>
  <si>
    <r>
      <rPr>
        <b/>
        <i/>
        <sz val="12"/>
        <color theme="1"/>
        <rFont val="Times New Roman"/>
        <family val="1"/>
      </rPr>
      <t>Note</t>
    </r>
    <r>
      <rPr>
        <sz val="12"/>
        <color theme="1"/>
        <rFont val="Times New Roman"/>
        <family val="1"/>
      </rPr>
      <t xml:space="preserve">. The Ca-in-olivine thermometer is both T-sensitive and P-sensitive. Two equations can be solved simultaneously to arrive at P and T, which is accomplished here by using the output of one model as input for another. To work, ensure that under Excel – Preferences – Calculations, “Iterative” calculations are allowed, otherwise Excel will report a “Circular reference” error. </t>
    </r>
    <phoneticPr fontId="3" type="noConversion"/>
  </si>
  <si>
    <r>
      <t xml:space="preserve">3) Find, by trial and error, the value for Ca in olivine (column O) for which </t>
    </r>
    <r>
      <rPr>
        <i/>
        <sz val="12"/>
        <rFont val="Times New Roman"/>
        <family val="1"/>
      </rPr>
      <t>T</t>
    </r>
    <r>
      <rPr>
        <i/>
        <vertAlign val="subscript"/>
        <sz val="12"/>
        <rFont val="Times New Roman"/>
        <family val="1"/>
      </rPr>
      <t>Ca-in-Ol</t>
    </r>
    <r>
      <rPr>
        <sz val="12"/>
        <rFont val="Times New Roman"/>
        <family val="1"/>
      </rPr>
      <t xml:space="preserve"> equals </t>
    </r>
    <r>
      <rPr>
        <i/>
        <sz val="12"/>
        <rFont val="Times New Roman"/>
        <family val="1"/>
      </rPr>
      <t>T</t>
    </r>
    <r>
      <rPr>
        <i/>
        <vertAlign val="subscript"/>
        <sz val="12"/>
        <rFont val="Times New Roman"/>
        <family val="1"/>
      </rPr>
      <t>Al</t>
    </r>
    <r>
      <rPr>
        <sz val="12"/>
        <rFont val="Times New Roman"/>
        <family val="1"/>
      </rPr>
      <t>, such that the deviation in column AJ is 0.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</si>
</sst>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0.00_ "/>
    <numFmt numFmtId="177" formatCode="0.000_ "/>
    <numFmt numFmtId="178" formatCode="0_ "/>
    <numFmt numFmtId="179" formatCode="0.0000_ "/>
    <numFmt numFmtId="180" formatCode="0.0_ "/>
    <numFmt numFmtId="181" formatCode="0.0000_);[Red]\(0.0000\)"/>
    <numFmt numFmtId="182" formatCode="0.00000_);[Red]\(0.00000\)"/>
    <numFmt numFmtId="183" formatCode="0_);[Red]\(0\)"/>
    <numFmt numFmtId="184" formatCode="0.00_);[Red]\(0.00\)"/>
    <numFmt numFmtId="185" formatCode="0.0_);[Red]\(0.0\)"/>
    <numFmt numFmtId="186" formatCode="0.000_);[Red]\(0.000\)"/>
  </numFmts>
  <fonts count="22" x14ac:knownFonts="1">
    <font>
      <sz val="11"/>
      <color theme="1"/>
      <name val="等线"/>
      <family val="2"/>
      <scheme val="minor"/>
    </font>
    <font>
      <sz val="9"/>
      <color theme="1"/>
      <name val="Times New Roman"/>
      <family val="2"/>
      <charset val="134"/>
    </font>
    <font>
      <sz val="10"/>
      <color theme="1"/>
      <name val="Times New Roman"/>
      <family val="1"/>
    </font>
    <font>
      <sz val="9"/>
      <name val="等线"/>
      <family val="3"/>
      <charset val="134"/>
      <scheme val="minor"/>
    </font>
    <font>
      <vertAlign val="subscript"/>
      <sz val="10"/>
      <color theme="1"/>
      <name val="Times New Roman"/>
      <family val="1"/>
    </font>
    <font>
      <sz val="10"/>
      <color rgb="FFFF0000"/>
      <name val="宋体"/>
      <family val="3"/>
      <charset val="134"/>
    </font>
    <font>
      <b/>
      <sz val="10"/>
      <color theme="1"/>
      <name val="Times New Roman"/>
      <family val="1"/>
    </font>
    <font>
      <b/>
      <sz val="10"/>
      <color rgb="FF0000FF"/>
      <name val="Times New Roman"/>
      <family val="1"/>
    </font>
    <font>
      <b/>
      <sz val="10"/>
      <color rgb="FFFF0000"/>
      <name val="Times New Roman"/>
      <family val="1"/>
    </font>
    <font>
      <sz val="10"/>
      <name val="Times New Roman"/>
      <family val="1"/>
    </font>
    <font>
      <i/>
      <sz val="10"/>
      <color theme="1"/>
      <name val="Times New Roman"/>
      <family val="1"/>
    </font>
    <font>
      <i/>
      <vertAlign val="subscript"/>
      <sz val="10"/>
      <color theme="1"/>
      <name val="Times New Roman"/>
      <family val="1"/>
    </font>
    <font>
      <b/>
      <i/>
      <sz val="10"/>
      <color rgb="FFFF0000"/>
      <name val="Times New Roman"/>
      <family val="1"/>
    </font>
    <font>
      <b/>
      <i/>
      <vertAlign val="subscript"/>
      <sz val="10"/>
      <color rgb="FFFF0000"/>
      <name val="Times New Roman"/>
      <family val="1"/>
    </font>
    <font>
      <sz val="10"/>
      <color rgb="FF0000FF"/>
      <name val="Times New Roman"/>
      <family val="1"/>
    </font>
    <font>
      <b/>
      <i/>
      <sz val="10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i/>
      <vertAlign val="subscript"/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2" fillId="0" borderId="0" xfId="0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Border="1"/>
    <xf numFmtId="176" fontId="2" fillId="0" borderId="0" xfId="0" applyNumberFormat="1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2" fillId="0" borderId="0" xfId="0" applyNumberFormat="1" applyFont="1" applyBorder="1"/>
    <xf numFmtId="0" fontId="2" fillId="0" borderId="0" xfId="0" applyFont="1" applyFill="1"/>
    <xf numFmtId="177" fontId="2" fillId="0" borderId="0" xfId="0" applyNumberFormat="1" applyFont="1" applyBorder="1"/>
    <xf numFmtId="176" fontId="9" fillId="0" borderId="0" xfId="0" applyNumberFormat="1" applyFont="1" applyFill="1" applyBorder="1" applyAlignment="1">
      <alignment horizontal="center" vertical="center"/>
    </xf>
    <xf numFmtId="179" fontId="2" fillId="0" borderId="0" xfId="0" applyNumberFormat="1" applyFont="1" applyFill="1" applyBorder="1" applyAlignment="1">
      <alignment horizontal="center" vertical="center"/>
    </xf>
    <xf numFmtId="180" fontId="2" fillId="0" borderId="0" xfId="0" applyNumberFormat="1" applyFont="1" applyFill="1" applyBorder="1" applyAlignment="1">
      <alignment horizontal="center" vertical="center"/>
    </xf>
    <xf numFmtId="181" fontId="2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left" vertical="center"/>
    </xf>
    <xf numFmtId="176" fontId="8" fillId="0" borderId="0" xfId="0" applyNumberFormat="1" applyFont="1" applyFill="1" applyBorder="1" applyAlignment="1">
      <alignment horizontal="left" vertical="center"/>
    </xf>
    <xf numFmtId="179" fontId="2" fillId="0" borderId="0" xfId="0" applyNumberFormat="1" applyFont="1" applyFill="1" applyBorder="1" applyAlignment="1">
      <alignment horizontal="left" vertical="center"/>
    </xf>
    <xf numFmtId="181" fontId="2" fillId="0" borderId="0" xfId="0" applyNumberFormat="1" applyFont="1" applyFill="1" applyBorder="1" applyAlignment="1">
      <alignment horizontal="left" vertical="center"/>
    </xf>
    <xf numFmtId="182" fontId="2" fillId="0" borderId="0" xfId="0" applyNumberFormat="1" applyFont="1" applyFill="1" applyBorder="1" applyAlignment="1">
      <alignment horizontal="left" vertical="center"/>
    </xf>
    <xf numFmtId="182" fontId="2" fillId="0" borderId="0" xfId="0" applyNumberFormat="1" applyFont="1" applyBorder="1"/>
    <xf numFmtId="182" fontId="2" fillId="0" borderId="0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Border="1"/>
    <xf numFmtId="176" fontId="9" fillId="2" borderId="0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181" fontId="2" fillId="0" borderId="1" xfId="0" applyNumberFormat="1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176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181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179" fontId="2" fillId="0" borderId="2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/>
    <xf numFmtId="0" fontId="2" fillId="0" borderId="1" xfId="0" applyFont="1" applyFill="1" applyBorder="1"/>
    <xf numFmtId="182" fontId="2" fillId="0" borderId="1" xfId="0" applyNumberFormat="1" applyFont="1" applyBorder="1"/>
    <xf numFmtId="177" fontId="2" fillId="0" borderId="1" xfId="0" applyNumberFormat="1" applyFont="1" applyBorder="1"/>
    <xf numFmtId="176" fontId="9" fillId="2" borderId="1" xfId="0" applyNumberFormat="1" applyFont="1" applyFill="1" applyBorder="1" applyAlignment="1">
      <alignment horizontal="center" vertical="center"/>
    </xf>
    <xf numFmtId="176" fontId="10" fillId="0" borderId="2" xfId="0" applyNumberFormat="1" applyFont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2" fillId="0" borderId="0" xfId="0" applyFont="1" applyFill="1" applyBorder="1"/>
    <xf numFmtId="178" fontId="2" fillId="0" borderId="0" xfId="0" applyNumberFormat="1" applyFont="1" applyFill="1" applyBorder="1" applyAlignment="1">
      <alignment horizontal="center" vertical="center"/>
    </xf>
    <xf numFmtId="182" fontId="2" fillId="0" borderId="0" xfId="0" applyNumberFormat="1" applyFont="1" applyFill="1" applyBorder="1"/>
    <xf numFmtId="177" fontId="2" fillId="0" borderId="0" xfId="0" applyNumberFormat="1" applyFont="1" applyFill="1" applyBorder="1"/>
    <xf numFmtId="49" fontId="2" fillId="0" borderId="0" xfId="0" applyNumberFormat="1" applyFont="1"/>
    <xf numFmtId="176" fontId="14" fillId="0" borderId="0" xfId="0" applyNumberFormat="1" applyFont="1" applyFill="1" applyBorder="1"/>
    <xf numFmtId="0" fontId="2" fillId="0" borderId="0" xfId="0" applyFont="1"/>
    <xf numFmtId="183" fontId="2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/>
    <xf numFmtId="176" fontId="14" fillId="0" borderId="1" xfId="0" applyNumberFormat="1" applyFont="1" applyFill="1" applyBorder="1"/>
    <xf numFmtId="176" fontId="6" fillId="0" borderId="1" xfId="0" applyNumberFormat="1" applyFont="1" applyFill="1" applyBorder="1"/>
    <xf numFmtId="176" fontId="6" fillId="0" borderId="0" xfId="0" applyNumberFormat="1" applyFont="1" applyFill="1" applyBorder="1"/>
    <xf numFmtId="0" fontId="2" fillId="0" borderId="0" xfId="0" applyFont="1" applyFill="1" applyAlignment="1">
      <alignment horizontal="center" vertical="center"/>
    </xf>
    <xf numFmtId="183" fontId="2" fillId="0" borderId="0" xfId="0" applyNumberFormat="1" applyFont="1" applyFill="1" applyAlignment="1">
      <alignment horizontal="center" vertical="center"/>
    </xf>
    <xf numFmtId="184" fontId="2" fillId="0" borderId="0" xfId="0" applyNumberFormat="1" applyFont="1" applyFill="1" applyAlignment="1">
      <alignment horizontal="center" vertical="center"/>
    </xf>
    <xf numFmtId="185" fontId="2" fillId="0" borderId="0" xfId="0" applyNumberFormat="1" applyFont="1" applyFill="1" applyBorder="1" applyAlignment="1">
      <alignment horizontal="center" vertical="center"/>
    </xf>
    <xf numFmtId="185" fontId="2" fillId="0" borderId="0" xfId="0" applyNumberFormat="1" applyFont="1" applyFill="1"/>
    <xf numFmtId="184" fontId="2" fillId="0" borderId="0" xfId="0" applyNumberFormat="1" applyFont="1" applyFill="1" applyBorder="1" applyAlignment="1">
      <alignment horizontal="center" vertical="center"/>
    </xf>
    <xf numFmtId="184" fontId="2" fillId="0" borderId="2" xfId="0" applyNumberFormat="1" applyFont="1" applyFill="1" applyBorder="1" applyAlignment="1">
      <alignment horizontal="center" vertical="center"/>
    </xf>
    <xf numFmtId="184" fontId="2" fillId="0" borderId="0" xfId="0" applyNumberFormat="1" applyFont="1" applyFill="1" applyBorder="1" applyAlignment="1">
      <alignment horizontal="left" vertical="center"/>
    </xf>
    <xf numFmtId="184" fontId="9" fillId="0" borderId="0" xfId="0" applyNumberFormat="1" applyFont="1" applyFill="1" applyBorder="1" applyAlignment="1">
      <alignment horizontal="right"/>
    </xf>
    <xf numFmtId="184" fontId="2" fillId="0" borderId="0" xfId="0" applyNumberFormat="1" applyFont="1" applyFill="1"/>
    <xf numFmtId="184" fontId="2" fillId="0" borderId="0" xfId="0" applyNumberFormat="1" applyFont="1" applyBorder="1"/>
    <xf numFmtId="184" fontId="2" fillId="0" borderId="0" xfId="0" applyNumberFormat="1" applyFont="1" applyFill="1" applyBorder="1"/>
    <xf numFmtId="184" fontId="2" fillId="0" borderId="1" xfId="0" applyNumberFormat="1" applyFont="1" applyFill="1" applyBorder="1" applyAlignment="1">
      <alignment horizontal="center" vertical="center"/>
    </xf>
    <xf numFmtId="184" fontId="2" fillId="0" borderId="2" xfId="0" applyNumberFormat="1" applyFont="1" applyFill="1" applyBorder="1" applyAlignment="1">
      <alignment vertical="center"/>
    </xf>
    <xf numFmtId="182" fontId="2" fillId="0" borderId="2" xfId="0" applyNumberFormat="1" applyFont="1" applyFill="1" applyBorder="1" applyAlignment="1">
      <alignment horizontal="center" vertical="center"/>
    </xf>
    <xf numFmtId="182" fontId="2" fillId="0" borderId="1" xfId="0" applyNumberFormat="1" applyFont="1" applyFill="1" applyBorder="1" applyAlignment="1">
      <alignment horizontal="center" vertical="center"/>
    </xf>
    <xf numFmtId="186" fontId="2" fillId="0" borderId="0" xfId="0" applyNumberFormat="1" applyFont="1" applyFill="1" applyBorder="1" applyAlignment="1">
      <alignment horizontal="center" vertical="center"/>
    </xf>
    <xf numFmtId="186" fontId="2" fillId="0" borderId="2" xfId="0" applyNumberFormat="1" applyFont="1" applyBorder="1" applyAlignment="1">
      <alignment horizontal="center" vertical="center"/>
    </xf>
    <xf numFmtId="186" fontId="2" fillId="0" borderId="0" xfId="0" applyNumberFormat="1" applyFont="1" applyFill="1" applyBorder="1" applyAlignment="1">
      <alignment horizontal="left" vertical="center"/>
    </xf>
    <xf numFmtId="186" fontId="2" fillId="0" borderId="0" xfId="0" applyNumberFormat="1" applyFont="1" applyBorder="1"/>
    <xf numFmtId="186" fontId="2" fillId="0" borderId="1" xfId="0" applyNumberFormat="1" applyFont="1" applyBorder="1"/>
    <xf numFmtId="186" fontId="2" fillId="0" borderId="0" xfId="0" applyNumberFormat="1" applyFont="1" applyFill="1" applyBorder="1"/>
    <xf numFmtId="181" fontId="2" fillId="0" borderId="0" xfId="0" applyNumberFormat="1" applyFont="1" applyFill="1"/>
    <xf numFmtId="186" fontId="2" fillId="0" borderId="0" xfId="0" applyNumberFormat="1" applyFont="1" applyFill="1"/>
    <xf numFmtId="180" fontId="8" fillId="0" borderId="0" xfId="0" applyNumberFormat="1" applyFont="1" applyFill="1" applyBorder="1" applyAlignment="1">
      <alignment horizontal="left" vertical="center"/>
    </xf>
    <xf numFmtId="184" fontId="2" fillId="3" borderId="2" xfId="0" applyNumberFormat="1" applyFont="1" applyFill="1" applyBorder="1" applyAlignment="1">
      <alignment horizontal="center" vertical="center"/>
    </xf>
    <xf numFmtId="184" fontId="2" fillId="3" borderId="0" xfId="0" applyNumberFormat="1" applyFont="1" applyFill="1" applyBorder="1"/>
    <xf numFmtId="184" fontId="2" fillId="3" borderId="1" xfId="0" applyNumberFormat="1" applyFont="1" applyFill="1" applyBorder="1"/>
    <xf numFmtId="184" fontId="2" fillId="3" borderId="0" xfId="0" applyNumberFormat="1" applyFont="1" applyFill="1"/>
    <xf numFmtId="0" fontId="2" fillId="3" borderId="2" xfId="0" applyNumberFormat="1" applyFont="1" applyFill="1" applyBorder="1" applyAlignment="1">
      <alignment horizontal="center" vertical="center"/>
    </xf>
    <xf numFmtId="184" fontId="8" fillId="3" borderId="0" xfId="0" applyNumberFormat="1" applyFont="1" applyFill="1" applyBorder="1" applyAlignment="1">
      <alignment horizontal="left" vertical="center"/>
    </xf>
    <xf numFmtId="184" fontId="2" fillId="4" borderId="2" xfId="0" applyNumberFormat="1" applyFont="1" applyFill="1" applyBorder="1" applyAlignment="1">
      <alignment horizontal="center" vertical="center"/>
    </xf>
    <xf numFmtId="184" fontId="6" fillId="4" borderId="0" xfId="0" applyNumberFormat="1" applyFont="1" applyFill="1" applyBorder="1" applyAlignment="1">
      <alignment horizontal="left" vertical="center"/>
    </xf>
    <xf numFmtId="184" fontId="2" fillId="4" borderId="0" xfId="0" applyNumberFormat="1" applyFont="1" applyFill="1" applyBorder="1" applyAlignment="1">
      <alignment horizontal="left" vertical="center"/>
    </xf>
    <xf numFmtId="184" fontId="9" fillId="4" borderId="0" xfId="0" applyNumberFormat="1" applyFont="1" applyFill="1" applyBorder="1" applyAlignment="1">
      <alignment horizontal="right"/>
    </xf>
    <xf numFmtId="184" fontId="2" fillId="4" borderId="0" xfId="0" applyNumberFormat="1" applyFont="1" applyFill="1" applyBorder="1"/>
    <xf numFmtId="184" fontId="2" fillId="4" borderId="0" xfId="0" applyNumberFormat="1" applyFont="1" applyFill="1"/>
    <xf numFmtId="184" fontId="9" fillId="4" borderId="1" xfId="0" applyNumberFormat="1" applyFont="1" applyFill="1" applyBorder="1" applyAlignment="1">
      <alignment horizontal="right"/>
    </xf>
    <xf numFmtId="184" fontId="2" fillId="4" borderId="1" xfId="0" applyNumberFormat="1" applyFont="1" applyFill="1" applyBorder="1"/>
    <xf numFmtId="0" fontId="2" fillId="4" borderId="2" xfId="0" applyNumberFormat="1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left" vertical="center"/>
    </xf>
    <xf numFmtId="0" fontId="2" fillId="4" borderId="0" xfId="0" applyNumberFormat="1" applyFont="1" applyFill="1" applyBorder="1"/>
    <xf numFmtId="0" fontId="2" fillId="4" borderId="0" xfId="0" applyFont="1" applyFill="1" applyBorder="1" applyAlignment="1">
      <alignment horizontal="left" vertical="center"/>
    </xf>
    <xf numFmtId="0" fontId="2" fillId="4" borderId="1" xfId="0" applyNumberFormat="1" applyFont="1" applyFill="1" applyBorder="1"/>
    <xf numFmtId="184" fontId="15" fillId="0" borderId="0" xfId="0" applyNumberFormat="1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left" vertical="center"/>
    </xf>
    <xf numFmtId="184" fontId="16" fillId="0" borderId="0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NumberFormat="1" applyFont="1" applyFill="1" applyBorder="1" applyAlignment="1">
      <alignment horizontal="center" vertical="center"/>
    </xf>
    <xf numFmtId="180" fontId="16" fillId="0" borderId="0" xfId="0" applyNumberFormat="1" applyFont="1" applyFill="1" applyBorder="1" applyAlignment="1">
      <alignment horizontal="center" vertical="center"/>
    </xf>
    <xf numFmtId="186" fontId="16" fillId="0" borderId="0" xfId="0" applyNumberFormat="1" applyFont="1" applyFill="1" applyBorder="1" applyAlignment="1">
      <alignment horizontal="center" vertical="center"/>
    </xf>
    <xf numFmtId="182" fontId="16" fillId="0" borderId="0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181" fontId="16" fillId="0" borderId="0" xfId="0" applyNumberFormat="1" applyFont="1" applyFill="1" applyBorder="1" applyAlignment="1">
      <alignment horizontal="center" vertical="center"/>
    </xf>
    <xf numFmtId="179" fontId="16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 wrapText="1"/>
    </xf>
    <xf numFmtId="180" fontId="2" fillId="4" borderId="2" xfId="0" applyNumberFormat="1" applyFont="1" applyFill="1" applyBorder="1" applyAlignment="1">
      <alignment horizontal="center" vertical="center"/>
    </xf>
    <xf numFmtId="180" fontId="8" fillId="4" borderId="0" xfId="0" applyNumberFormat="1" applyFont="1" applyFill="1" applyBorder="1" applyAlignment="1">
      <alignment horizontal="center" vertical="center"/>
    </xf>
    <xf numFmtId="180" fontId="2" fillId="4" borderId="0" xfId="0" applyNumberFormat="1" applyFont="1" applyFill="1" applyBorder="1" applyAlignment="1">
      <alignment horizontal="center" vertical="center"/>
    </xf>
    <xf numFmtId="180" fontId="2" fillId="4" borderId="1" xfId="0" applyNumberFormat="1" applyFont="1" applyFill="1" applyBorder="1" applyAlignment="1">
      <alignment horizontal="center" vertical="center"/>
    </xf>
    <xf numFmtId="0" fontId="8" fillId="3" borderId="0" xfId="0" applyNumberFormat="1" applyFont="1" applyFill="1" applyBorder="1" applyAlignment="1">
      <alignment horizontal="center" vertical="center"/>
    </xf>
    <xf numFmtId="178" fontId="2" fillId="3" borderId="0" xfId="0" applyNumberFormat="1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80" fontId="15" fillId="0" borderId="0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176" fontId="2" fillId="4" borderId="2" xfId="0" applyNumberFormat="1" applyFont="1" applyFill="1" applyBorder="1" applyAlignment="1">
      <alignment horizontal="center" vertical="center"/>
    </xf>
    <xf numFmtId="183" fontId="2" fillId="4" borderId="2" xfId="0" applyNumberFormat="1" applyFont="1" applyFill="1" applyBorder="1" applyAlignment="1">
      <alignment horizontal="center" vertical="center"/>
    </xf>
    <xf numFmtId="185" fontId="2" fillId="4" borderId="2" xfId="0" applyNumberFormat="1" applyFont="1" applyFill="1" applyBorder="1" applyAlignment="1">
      <alignment horizontal="center" vertical="center"/>
    </xf>
    <xf numFmtId="176" fontId="6" fillId="4" borderId="0" xfId="0" applyNumberFormat="1" applyFont="1" applyFill="1" applyBorder="1" applyAlignment="1">
      <alignment horizontal="left" vertical="center"/>
    </xf>
    <xf numFmtId="176" fontId="2" fillId="4" borderId="0" xfId="0" applyNumberFormat="1" applyFont="1" applyFill="1" applyBorder="1" applyAlignment="1">
      <alignment horizontal="left" vertical="center"/>
    </xf>
    <xf numFmtId="0" fontId="6" fillId="4" borderId="0" xfId="0" applyNumberFormat="1" applyFont="1" applyFill="1" applyBorder="1" applyAlignment="1">
      <alignment horizontal="left" vertical="center"/>
    </xf>
    <xf numFmtId="176" fontId="9" fillId="4" borderId="0" xfId="0" applyNumberFormat="1" applyFont="1" applyFill="1" applyBorder="1" applyAlignment="1">
      <alignment horizontal="right"/>
    </xf>
    <xf numFmtId="176" fontId="2" fillId="4" borderId="0" xfId="0" applyNumberFormat="1" applyFont="1" applyFill="1" applyBorder="1"/>
    <xf numFmtId="176" fontId="2" fillId="4" borderId="0" xfId="0" applyNumberFormat="1" applyFont="1" applyFill="1"/>
    <xf numFmtId="183" fontId="2" fillId="4" borderId="0" xfId="0" applyNumberFormat="1" applyFont="1" applyFill="1" applyBorder="1"/>
    <xf numFmtId="185" fontId="2" fillId="4" borderId="0" xfId="0" applyNumberFormat="1" applyFont="1" applyFill="1" applyBorder="1" applyAlignment="1">
      <alignment horizontal="center" vertical="center"/>
    </xf>
    <xf numFmtId="176" fontId="9" fillId="4" borderId="1" xfId="0" applyNumberFormat="1" applyFont="1" applyFill="1" applyBorder="1" applyAlignment="1">
      <alignment horizontal="right"/>
    </xf>
    <xf numFmtId="176" fontId="2" fillId="4" borderId="1" xfId="0" applyNumberFormat="1" applyFont="1" applyFill="1" applyBorder="1"/>
    <xf numFmtId="183" fontId="2" fillId="4" borderId="1" xfId="0" applyNumberFormat="1" applyFont="1" applyFill="1" applyBorder="1"/>
    <xf numFmtId="185" fontId="2" fillId="4" borderId="1" xfId="0" applyNumberFormat="1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/>
    </xf>
    <xf numFmtId="176" fontId="2" fillId="3" borderId="0" xfId="0" applyNumberFormat="1" applyFont="1" applyFill="1" applyBorder="1"/>
    <xf numFmtId="176" fontId="2" fillId="3" borderId="1" xfId="0" applyNumberFormat="1" applyFont="1" applyFill="1" applyBorder="1"/>
    <xf numFmtId="176" fontId="2" fillId="3" borderId="0" xfId="0" applyNumberFormat="1" applyFont="1" applyFill="1"/>
    <xf numFmtId="0" fontId="2" fillId="5" borderId="0" xfId="0" applyFont="1" applyFill="1" applyBorder="1" applyAlignment="1">
      <alignment horizontal="left" vertical="center"/>
    </xf>
    <xf numFmtId="184" fontId="2" fillId="5" borderId="0" xfId="0" applyNumberFormat="1" applyFont="1" applyFill="1" applyBorder="1" applyAlignment="1">
      <alignment horizontal="center" vertical="center"/>
    </xf>
    <xf numFmtId="178" fontId="8" fillId="5" borderId="0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398272545308692"/>
          <c:y val="4.540763673890609E-2"/>
          <c:w val="0.75521608760329295"/>
          <c:h val="0.77420735720728406"/>
        </c:manualLayout>
      </c:layout>
      <c:scatterChart>
        <c:scatterStyle val="lineMarker"/>
        <c:varyColors val="0"/>
        <c:ser>
          <c:idx val="0"/>
          <c:order val="0"/>
          <c:tx>
            <c:v>Lherzolite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3.4516851037792055E-2"/>
                  <c:y val="0.274096587926509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'Table S6a This study'!$N$28:$N$35</c:f>
              <c:numCache>
                <c:formatCode>General</c:formatCode>
                <c:ptCount val="8"/>
                <c:pt idx="0">
                  <c:v>78.5</c:v>
                </c:pt>
                <c:pt idx="1">
                  <c:v>25.5</c:v>
                </c:pt>
                <c:pt idx="2">
                  <c:v>22.4</c:v>
                </c:pt>
                <c:pt idx="3">
                  <c:v>78</c:v>
                </c:pt>
                <c:pt idx="4">
                  <c:v>71.3</c:v>
                </c:pt>
                <c:pt idx="5">
                  <c:v>26.1</c:v>
                </c:pt>
                <c:pt idx="6">
                  <c:v>53</c:v>
                </c:pt>
                <c:pt idx="7">
                  <c:v>45.4</c:v>
                </c:pt>
              </c:numCache>
            </c:numRef>
          </c:xVal>
          <c:yVal>
            <c:numRef>
              <c:f>'Table S6a This study'!$O$28:$O$35</c:f>
              <c:numCache>
                <c:formatCode>0.0_ </c:formatCode>
                <c:ptCount val="8"/>
                <c:pt idx="0">
                  <c:v>320.26245875519646</c:v>
                </c:pt>
                <c:pt idx="1">
                  <c:v>149.19345604639452</c:v>
                </c:pt>
                <c:pt idx="2">
                  <c:v>135.67684027446913</c:v>
                </c:pt>
                <c:pt idx="3">
                  <c:v>307.77295329294293</c:v>
                </c:pt>
                <c:pt idx="4">
                  <c:v>291.77514039765703</c:v>
                </c:pt>
                <c:pt idx="5">
                  <c:v>150.99579253973658</c:v>
                </c:pt>
                <c:pt idx="6">
                  <c:v>246.03077035257132</c:v>
                </c:pt>
                <c:pt idx="7">
                  <c:v>224.92049832151039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BE-4F41-85AB-B57B11313C1B}"/>
            </c:ext>
          </c:extLst>
        </c:ser>
        <c:ser>
          <c:idx val="1"/>
          <c:order val="1"/>
          <c:tx>
            <c:v>Harzburgite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00FF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00FF"/>
                </a:solidFill>
                <a:prstDash val="sysDot"/>
              </a:ln>
              <a:effectLst/>
            </c:spPr>
            <c:trendlineType val="linear"/>
            <c:backward val="17"/>
            <c:dispRSqr val="1"/>
            <c:dispEq val="0"/>
            <c:trendlineLbl>
              <c:layout>
                <c:manualLayout>
                  <c:x val="-8.5857365988760606E-2"/>
                  <c:y val="7.7269291338582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'Table S6a This study'!$N$36:$N$39</c:f>
              <c:numCache>
                <c:formatCode>General</c:formatCode>
                <c:ptCount val="4"/>
                <c:pt idx="0">
                  <c:v>65.2</c:v>
                </c:pt>
                <c:pt idx="1">
                  <c:v>65.3</c:v>
                </c:pt>
                <c:pt idx="2">
                  <c:v>55.5</c:v>
                </c:pt>
                <c:pt idx="3">
                  <c:v>37.4</c:v>
                </c:pt>
              </c:numCache>
            </c:numRef>
          </c:xVal>
          <c:yVal>
            <c:numRef>
              <c:f>'Table S6a This study'!$O$36:$O$39</c:f>
              <c:numCache>
                <c:formatCode>0.0_ </c:formatCode>
                <c:ptCount val="4"/>
                <c:pt idx="0">
                  <c:v>356.89411416725028</c:v>
                </c:pt>
                <c:pt idx="1">
                  <c:v>371.45472782670805</c:v>
                </c:pt>
                <c:pt idx="2">
                  <c:v>304.88668761433456</c:v>
                </c:pt>
                <c:pt idx="3">
                  <c:v>226.35493704962323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BE-4F41-85AB-B57B11313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406287"/>
        <c:axId val="1481409199"/>
      </c:scatterChart>
      <c:valAx>
        <c:axId val="148140628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Measured Al in Ol (µg/g)</a:t>
                </a:r>
                <a:endParaRPr lang="zh-CN" alt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1409199"/>
        <c:crosses val="autoZero"/>
        <c:crossBetween val="midCat"/>
      </c:valAx>
      <c:valAx>
        <c:axId val="148140919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baseline="0" smtClean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Corrected Ca in Ol (</a:t>
                </a:r>
                <a:r>
                  <a:rPr lang="el-GR" altLang="zh-CN" sz="1000" b="0" i="0" u="none" strike="noStrike" baseline="0" smtClean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μ</a:t>
                </a:r>
                <a:r>
                  <a:rPr lang="en-US" altLang="zh-CN" sz="1000" b="0" i="0" u="none" strike="noStrike" baseline="0" smtClean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g/g)</a:t>
                </a:r>
                <a:endParaRPr lang="zh-CN" altLang="en-US" b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1406287"/>
        <c:crosses val="autoZero"/>
        <c:crossBetween val="midCat"/>
        <c:majorUnit val="100"/>
      </c:valAx>
      <c:spPr>
        <a:solidFill>
          <a:schemeClr val="accent1">
            <a:lumMod val="20000"/>
            <a:lumOff val="80000"/>
          </a:schemeClr>
        </a:solidFill>
        <a:ln w="9525">
          <a:solidFill>
            <a:schemeClr val="tx1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66452019907007176"/>
          <c:y val="0.66567432940851445"/>
          <c:w val="0.22969072486117276"/>
          <c:h val="0.13098331748779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16</xdr:col>
      <xdr:colOff>0</xdr:colOff>
      <xdr:row>53</xdr:row>
      <xdr:rowOff>0</xdr:rowOff>
    </xdr:from>
    <xdr:to>
      <xdr:col>24</xdr:col>
      <xdr:colOff>0</xdr:colOff>
      <xdr:row>72</xdr:row>
      <xdr:rowOff>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H56"/>
  <sheetViews>
    <sheetView tabSelected="1" workbookViewId="0"/>
  </sheetViews>
  <sheetFormatPr defaultRowHeight="12.75" x14ac:dyDescent="0.2"/>
  <cols>
    <col min="1" max="1" width="7.875" style="3" customWidth="1"/>
    <col min="2" max="2" width="8.625" style="3" customWidth="1"/>
    <col min="3" max="13" width="5.375" style="69" customWidth="1"/>
    <col min="14" max="14" width="7.25" style="2" customWidth="1"/>
    <col min="15" max="15" width="6.5" style="15" customWidth="1"/>
    <col min="16" max="16" width="1.625" style="3" customWidth="1"/>
    <col min="17" max="27" width="5.375" style="69" customWidth="1"/>
    <col min="28" max="28" width="1.625" style="3" customWidth="1"/>
    <col min="29" max="30" width="5.375" style="69" customWidth="1"/>
    <col min="31" max="31" width="1.625" style="3" customWidth="1"/>
    <col min="32" max="32" width="5.375" style="80" customWidth="1"/>
    <col min="33" max="33" width="6.625" style="23" customWidth="1"/>
    <col min="34" max="34" width="6.375" style="3" customWidth="1"/>
    <col min="35" max="35" width="12" style="2" customWidth="1"/>
    <col min="36" max="36" width="5" style="2" customWidth="1"/>
    <col min="37" max="37" width="1.625" style="3" customWidth="1"/>
    <col min="38" max="38" width="5.625" style="3" customWidth="1"/>
    <col min="39" max="39" width="1.625" style="3" customWidth="1"/>
    <col min="40" max="51" width="5.125" style="4" customWidth="1"/>
    <col min="52" max="52" width="1.625" style="3" customWidth="1"/>
    <col min="53" max="63" width="5.375" style="4" customWidth="1"/>
    <col min="64" max="64" width="1.625" style="3" customWidth="1"/>
    <col min="65" max="75" width="5.125" style="4" customWidth="1"/>
    <col min="76" max="76" width="1.625" style="3" customWidth="1"/>
    <col min="77" max="87" width="5.125" style="4" customWidth="1"/>
    <col min="88" max="88" width="1.625" style="3" customWidth="1"/>
    <col min="89" max="100" width="5.125" style="69" customWidth="1"/>
    <col min="101" max="101" width="5.625" style="16" customWidth="1"/>
    <col min="102" max="102" width="1.625" style="3" customWidth="1"/>
    <col min="103" max="113" width="7.25" style="23" customWidth="1"/>
    <col min="114" max="114" width="7.25" style="16" customWidth="1"/>
    <col min="115" max="115" width="1.625" style="3" customWidth="1"/>
    <col min="116" max="126" width="5.125" style="4" customWidth="1"/>
    <col min="127" max="127" width="1.625" style="3" customWidth="1"/>
    <col min="128" max="140" width="5.125" style="69" customWidth="1"/>
    <col min="141" max="141" width="1.625" style="3" customWidth="1"/>
    <col min="142" max="152" width="7.25" style="23" customWidth="1"/>
    <col min="153" max="153" width="1.625" style="3" customWidth="1"/>
    <col min="154" max="154" width="6.75" style="14" customWidth="1"/>
    <col min="155" max="155" width="5.125" style="4" customWidth="1"/>
    <col min="156" max="156" width="5.25" style="4" customWidth="1"/>
    <col min="157" max="157" width="8" style="4" customWidth="1"/>
    <col min="158" max="158" width="1.625" style="3" customWidth="1"/>
    <col min="159" max="159" width="8" style="3" customWidth="1"/>
    <col min="160" max="16384" width="9" style="3"/>
  </cols>
  <sheetData>
    <row r="1" spans="1:242" s="112" customFormat="1" ht="15.75" x14ac:dyDescent="0.2">
      <c r="A1" s="110" t="s">
        <v>211</v>
      </c>
      <c r="B1" s="110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3"/>
      <c r="O1" s="114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C1" s="111"/>
      <c r="AD1" s="111"/>
      <c r="AF1" s="115"/>
      <c r="AG1" s="116"/>
      <c r="AI1" s="113"/>
      <c r="AJ1" s="113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Y1" s="117"/>
      <c r="BZ1" s="117"/>
      <c r="CA1" s="117"/>
      <c r="CB1" s="117"/>
      <c r="CC1" s="117"/>
      <c r="CD1" s="117"/>
      <c r="CE1" s="117"/>
      <c r="CF1" s="117"/>
      <c r="CG1" s="117"/>
      <c r="CH1" s="117"/>
      <c r="CI1" s="117"/>
      <c r="CK1" s="111"/>
      <c r="CL1" s="111"/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8"/>
      <c r="CY1" s="116"/>
      <c r="CZ1" s="116"/>
      <c r="DA1" s="116"/>
      <c r="DB1" s="116"/>
      <c r="DC1" s="116"/>
      <c r="DD1" s="116"/>
      <c r="DE1" s="116"/>
      <c r="DF1" s="116"/>
      <c r="DG1" s="116"/>
      <c r="DH1" s="116"/>
      <c r="DI1" s="116"/>
      <c r="DJ1" s="118"/>
      <c r="DL1" s="117"/>
      <c r="DM1" s="117"/>
      <c r="DN1" s="117"/>
      <c r="DO1" s="117"/>
      <c r="DP1" s="117"/>
      <c r="DQ1" s="117"/>
      <c r="DR1" s="117"/>
      <c r="DS1" s="117"/>
      <c r="DT1" s="117"/>
      <c r="DU1" s="117"/>
      <c r="DV1" s="117"/>
      <c r="DX1" s="111"/>
      <c r="DY1" s="111"/>
      <c r="DZ1" s="111"/>
      <c r="EA1" s="111"/>
      <c r="EB1" s="111"/>
      <c r="EC1" s="111"/>
      <c r="ED1" s="111"/>
      <c r="EE1" s="111"/>
      <c r="EF1" s="111"/>
      <c r="EG1" s="111"/>
      <c r="EH1" s="111"/>
      <c r="EI1" s="111"/>
      <c r="EJ1" s="111"/>
      <c r="EL1" s="116"/>
      <c r="EM1" s="116"/>
      <c r="EN1" s="116"/>
      <c r="EO1" s="116"/>
      <c r="EP1" s="116"/>
      <c r="EQ1" s="116"/>
      <c r="ER1" s="116"/>
      <c r="ES1" s="116"/>
      <c r="ET1" s="116"/>
      <c r="EU1" s="116"/>
      <c r="EV1" s="116"/>
      <c r="EX1" s="119"/>
      <c r="EY1" s="117"/>
      <c r="EZ1" s="117"/>
      <c r="FA1" s="117"/>
    </row>
    <row r="2" spans="1:242" ht="5.25" customHeight="1" x14ac:dyDescent="0.2">
      <c r="A2" s="1"/>
      <c r="B2" s="1"/>
    </row>
    <row r="3" spans="1:242" ht="33.950000000000003" customHeight="1" x14ac:dyDescent="0.2">
      <c r="A3" s="154" t="s">
        <v>219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I3" s="120"/>
      <c r="AJ3" s="120"/>
    </row>
    <row r="4" spans="1:242" ht="5.25" customHeight="1" x14ac:dyDescent="0.2">
      <c r="A4" s="1"/>
      <c r="B4" s="1"/>
    </row>
    <row r="5" spans="1:242" ht="15.75" x14ac:dyDescent="0.2">
      <c r="A5" s="110" t="s">
        <v>212</v>
      </c>
      <c r="B5" s="1"/>
    </row>
    <row r="6" spans="1:242" ht="15.75" x14ac:dyDescent="0.2">
      <c r="A6" s="110" t="s">
        <v>213</v>
      </c>
      <c r="B6" s="1"/>
    </row>
    <row r="7" spans="1:242" ht="15.75" x14ac:dyDescent="0.2">
      <c r="A7" s="110" t="s">
        <v>214</v>
      </c>
      <c r="B7" s="1"/>
    </row>
    <row r="8" spans="1:242" ht="15.75" x14ac:dyDescent="0.2">
      <c r="A8" s="110" t="s">
        <v>215</v>
      </c>
      <c r="B8" s="1"/>
    </row>
    <row r="9" spans="1:242" ht="18.75" x14ac:dyDescent="0.2">
      <c r="A9" s="155" t="s">
        <v>220</v>
      </c>
      <c r="B9" s="1"/>
    </row>
    <row r="10" spans="1:242" x14ac:dyDescent="0.2">
      <c r="A10" s="1"/>
      <c r="B10" s="1"/>
    </row>
    <row r="11" spans="1:242" ht="13.5" x14ac:dyDescent="0.2">
      <c r="A11" s="1"/>
      <c r="B11" s="1"/>
      <c r="C11" s="108" t="s">
        <v>208</v>
      </c>
      <c r="D11" s="71"/>
      <c r="E11" s="71"/>
      <c r="F11" s="71"/>
      <c r="O11" s="128"/>
      <c r="Q11" s="108" t="s">
        <v>209</v>
      </c>
      <c r="AC11" s="108" t="s">
        <v>210</v>
      </c>
    </row>
    <row r="12" spans="1:242" ht="24.75" x14ac:dyDescent="0.25">
      <c r="A12" s="31" t="s">
        <v>0</v>
      </c>
      <c r="B12" s="31" t="s">
        <v>121</v>
      </c>
      <c r="C12" s="95" t="s">
        <v>1</v>
      </c>
      <c r="D12" s="95" t="s">
        <v>2</v>
      </c>
      <c r="E12" s="89" t="s">
        <v>3</v>
      </c>
      <c r="F12" s="95" t="s">
        <v>4</v>
      </c>
      <c r="G12" s="95" t="s">
        <v>5</v>
      </c>
      <c r="H12" s="95" t="s">
        <v>6</v>
      </c>
      <c r="I12" s="95" t="s">
        <v>7</v>
      </c>
      <c r="J12" s="89" t="s">
        <v>8</v>
      </c>
      <c r="K12" s="95" t="s">
        <v>9</v>
      </c>
      <c r="L12" s="95" t="s">
        <v>10</v>
      </c>
      <c r="M12" s="95" t="s">
        <v>11</v>
      </c>
      <c r="N12" s="103" t="s">
        <v>205</v>
      </c>
      <c r="O12" s="121" t="s">
        <v>216</v>
      </c>
      <c r="P12" s="33"/>
      <c r="Q12" s="95" t="s">
        <v>1</v>
      </c>
      <c r="R12" s="95" t="s">
        <v>14</v>
      </c>
      <c r="S12" s="95" t="s">
        <v>15</v>
      </c>
      <c r="T12" s="95" t="s">
        <v>4</v>
      </c>
      <c r="U12" s="95" t="s">
        <v>5</v>
      </c>
      <c r="V12" s="95" t="s">
        <v>6</v>
      </c>
      <c r="W12" s="95" t="s">
        <v>7</v>
      </c>
      <c r="X12" s="95" t="s">
        <v>8</v>
      </c>
      <c r="Y12" s="95" t="s">
        <v>9</v>
      </c>
      <c r="Z12" s="95" t="s">
        <v>16</v>
      </c>
      <c r="AA12" s="95" t="s">
        <v>17</v>
      </c>
      <c r="AB12" s="33"/>
      <c r="AC12" s="95" t="s">
        <v>18</v>
      </c>
      <c r="AD12" s="95" t="s">
        <v>4</v>
      </c>
      <c r="AE12" s="33"/>
      <c r="AF12" s="81" t="s">
        <v>19</v>
      </c>
      <c r="AG12" s="34" t="s">
        <v>20</v>
      </c>
      <c r="AH12" s="129" t="s">
        <v>105</v>
      </c>
      <c r="AI12" s="129" t="s">
        <v>104</v>
      </c>
      <c r="AJ12" s="93" t="s">
        <v>13</v>
      </c>
      <c r="AK12" s="35"/>
      <c r="AL12" s="49" t="s">
        <v>103</v>
      </c>
      <c r="AM12" s="36"/>
      <c r="AN12" s="32" t="s">
        <v>22</v>
      </c>
      <c r="AO12" s="32" t="s">
        <v>23</v>
      </c>
      <c r="AP12" s="32" t="s">
        <v>24</v>
      </c>
      <c r="AQ12" s="32" t="s">
        <v>12</v>
      </c>
      <c r="AR12" s="32" t="s">
        <v>25</v>
      </c>
      <c r="AS12" s="32" t="s">
        <v>26</v>
      </c>
      <c r="AT12" s="32" t="s">
        <v>27</v>
      </c>
      <c r="AU12" s="32" t="s">
        <v>28</v>
      </c>
      <c r="AV12" s="32" t="s">
        <v>29</v>
      </c>
      <c r="AW12" s="32" t="s">
        <v>30</v>
      </c>
      <c r="AX12" s="32" t="s">
        <v>31</v>
      </c>
      <c r="AY12" s="32" t="s">
        <v>32</v>
      </c>
      <c r="AZ12" s="33"/>
      <c r="BA12" s="32" t="s">
        <v>33</v>
      </c>
      <c r="BB12" s="32" t="s">
        <v>2</v>
      </c>
      <c r="BC12" s="32" t="s">
        <v>3</v>
      </c>
      <c r="BD12" s="32" t="s">
        <v>34</v>
      </c>
      <c r="BE12" s="32" t="s">
        <v>5</v>
      </c>
      <c r="BF12" s="32" t="s">
        <v>6</v>
      </c>
      <c r="BG12" s="32" t="s">
        <v>7</v>
      </c>
      <c r="BH12" s="32" t="s">
        <v>8</v>
      </c>
      <c r="BI12" s="32" t="s">
        <v>35</v>
      </c>
      <c r="BJ12" s="32" t="s">
        <v>36</v>
      </c>
      <c r="BK12" s="32" t="s">
        <v>37</v>
      </c>
      <c r="BL12" s="33"/>
      <c r="BM12" s="32" t="s">
        <v>38</v>
      </c>
      <c r="BN12" s="32" t="s">
        <v>39</v>
      </c>
      <c r="BO12" s="32" t="s">
        <v>40</v>
      </c>
      <c r="BP12" s="32" t="s">
        <v>41</v>
      </c>
      <c r="BQ12" s="32" t="s">
        <v>5</v>
      </c>
      <c r="BR12" s="32" t="s">
        <v>6</v>
      </c>
      <c r="BS12" s="32" t="s">
        <v>7</v>
      </c>
      <c r="BT12" s="32" t="s">
        <v>8</v>
      </c>
      <c r="BU12" s="32" t="s">
        <v>42</v>
      </c>
      <c r="BV12" s="32" t="s">
        <v>36</v>
      </c>
      <c r="BW12" s="32" t="s">
        <v>11</v>
      </c>
      <c r="BX12" s="32"/>
      <c r="BY12" s="32" t="s">
        <v>33</v>
      </c>
      <c r="BZ12" s="32" t="s">
        <v>39</v>
      </c>
      <c r="CA12" s="32" t="s">
        <v>40</v>
      </c>
      <c r="CB12" s="32" t="s">
        <v>43</v>
      </c>
      <c r="CC12" s="32" t="s">
        <v>5</v>
      </c>
      <c r="CD12" s="32" t="s">
        <v>6</v>
      </c>
      <c r="CE12" s="32" t="s">
        <v>7</v>
      </c>
      <c r="CF12" s="32" t="s">
        <v>8</v>
      </c>
      <c r="CG12" s="32" t="s">
        <v>9</v>
      </c>
      <c r="CH12" s="32" t="s">
        <v>36</v>
      </c>
      <c r="CI12" s="32" t="s">
        <v>21</v>
      </c>
      <c r="CJ12" s="32"/>
      <c r="CK12" s="70" t="s">
        <v>38</v>
      </c>
      <c r="CL12" s="70" t="s">
        <v>39</v>
      </c>
      <c r="CM12" s="70" t="s">
        <v>44</v>
      </c>
      <c r="CN12" s="70" t="s">
        <v>43</v>
      </c>
      <c r="CO12" s="70" t="s">
        <v>5</v>
      </c>
      <c r="CP12" s="70" t="s">
        <v>6</v>
      </c>
      <c r="CQ12" s="70" t="s">
        <v>7</v>
      </c>
      <c r="CR12" s="70" t="s">
        <v>8</v>
      </c>
      <c r="CS12" s="70" t="s">
        <v>42</v>
      </c>
      <c r="CT12" s="70" t="s">
        <v>10</v>
      </c>
      <c r="CU12" s="70" t="s">
        <v>21</v>
      </c>
      <c r="CV12" s="70" t="s">
        <v>193</v>
      </c>
      <c r="CW12" s="37" t="s">
        <v>192</v>
      </c>
      <c r="CX12" s="33"/>
      <c r="CY12" s="78" t="s" ph="1">
        <v>45</v>
      </c>
      <c r="CZ12" s="78" t="s" ph="1">
        <v>46</v>
      </c>
      <c r="DA12" s="78" t="s" ph="1">
        <v>47</v>
      </c>
      <c r="DB12" s="78" t="s" ph="1">
        <v>48</v>
      </c>
      <c r="DC12" s="78" t="s" ph="1">
        <v>49</v>
      </c>
      <c r="DD12" s="78" t="s" ph="1">
        <v>50</v>
      </c>
      <c r="DE12" s="78" t="s" ph="1">
        <v>51</v>
      </c>
      <c r="DF12" s="78" t="s" ph="1">
        <v>52</v>
      </c>
      <c r="DG12" s="78" t="s" ph="1">
        <v>53</v>
      </c>
      <c r="DH12" s="78" t="s" ph="1">
        <v>54</v>
      </c>
      <c r="DI12" s="78" t="s" ph="1">
        <v>55</v>
      </c>
      <c r="DJ12" s="37" t="s">
        <v>56</v>
      </c>
      <c r="DK12" s="33"/>
      <c r="DL12" s="32" t="s">
        <v>57</v>
      </c>
      <c r="DM12" s="32" t="s">
        <v>58</v>
      </c>
      <c r="DN12" s="32" t="s">
        <v>59</v>
      </c>
      <c r="DO12" s="32" t="s">
        <v>60</v>
      </c>
      <c r="DP12" s="32" t="s">
        <v>5</v>
      </c>
      <c r="DQ12" s="32" t="s">
        <v>6</v>
      </c>
      <c r="DR12" s="32" t="s">
        <v>7</v>
      </c>
      <c r="DS12" s="32" t="s">
        <v>8</v>
      </c>
      <c r="DT12" s="32" t="s">
        <v>61</v>
      </c>
      <c r="DU12" s="32" t="s">
        <v>62</v>
      </c>
      <c r="DV12" s="32" t="s">
        <v>37</v>
      </c>
      <c r="DW12" s="33"/>
      <c r="DX12" s="70" t="s">
        <v>57</v>
      </c>
      <c r="DY12" s="70" t="s">
        <v>64</v>
      </c>
      <c r="DZ12" s="70" t="s">
        <v>59</v>
      </c>
      <c r="EA12" s="70" t="s">
        <v>43</v>
      </c>
      <c r="EB12" s="70" t="s">
        <v>5</v>
      </c>
      <c r="EC12" s="70" t="s">
        <v>6</v>
      </c>
      <c r="ED12" s="70" t="s">
        <v>7</v>
      </c>
      <c r="EE12" s="70" t="s">
        <v>8</v>
      </c>
      <c r="EF12" s="70" t="s">
        <v>42</v>
      </c>
      <c r="EG12" s="70" t="s">
        <v>62</v>
      </c>
      <c r="EH12" s="70" t="s">
        <v>63</v>
      </c>
      <c r="EI12" s="77" t="s">
        <v>193</v>
      </c>
      <c r="EJ12" s="70" t="s">
        <v>81</v>
      </c>
      <c r="EK12" s="33"/>
      <c r="EL12" s="78" t="s" ph="1">
        <v>87</v>
      </c>
      <c r="EM12" s="78" t="s" ph="1">
        <v>88</v>
      </c>
      <c r="EN12" s="78" t="s" ph="1">
        <v>65</v>
      </c>
      <c r="EO12" s="78" t="s" ph="1">
        <v>66</v>
      </c>
      <c r="EP12" s="78" t="s" ph="1">
        <v>67</v>
      </c>
      <c r="EQ12" s="78" t="s" ph="1">
        <v>68</v>
      </c>
      <c r="ER12" s="78" t="s" ph="1">
        <v>69</v>
      </c>
      <c r="ES12" s="78" t="s" ph="1">
        <v>70</v>
      </c>
      <c r="ET12" s="78" t="s" ph="1">
        <v>71</v>
      </c>
      <c r="EU12" s="78" t="s" ph="1">
        <v>72</v>
      </c>
      <c r="EV12" s="78" t="s" ph="1">
        <v>73</v>
      </c>
      <c r="EW12" s="33"/>
      <c r="EX12" s="39" t="s">
        <v>74</v>
      </c>
      <c r="EY12" s="45" t="s">
        <v>108</v>
      </c>
      <c r="EZ12" s="46" t="s">
        <v>109</v>
      </c>
      <c r="FA12" s="32" t="s">
        <v>106</v>
      </c>
      <c r="FB12" s="33"/>
      <c r="FC12" s="33" t="s">
        <v>107</v>
      </c>
      <c r="FD12" s="3" ph="1"/>
      <c r="FI12" s="3" ph="1"/>
      <c r="FJ12" s="3" ph="1"/>
      <c r="FK12" s="3" ph="1"/>
      <c r="FL12" s="3" ph="1"/>
      <c r="FM12" s="3" ph="1"/>
      <c r="FN12" s="3" ph="1"/>
      <c r="FO12" s="3" ph="1"/>
      <c r="FP12" s="3" ph="1"/>
      <c r="FQ12" s="3" ph="1"/>
      <c r="FR12" s="3" ph="1"/>
      <c r="FS12" s="3" ph="1"/>
      <c r="FT12" s="3" ph="1"/>
      <c r="GC12" s="3" ph="1"/>
      <c r="GH12" s="3" ph="1"/>
      <c r="GI12" s="3" ph="1"/>
      <c r="GJ12" s="3" ph="1"/>
      <c r="GK12" s="3" ph="1"/>
      <c r="GL12" s="3" ph="1"/>
      <c r="GM12" s="3" ph="1"/>
      <c r="GN12" s="3" ph="1"/>
      <c r="GO12" s="3" ph="1"/>
      <c r="GP12" s="3" ph="1"/>
      <c r="GU12" s="3" ph="1"/>
      <c r="GV12" s="3" ph="1"/>
      <c r="GW12" s="3" ph="1"/>
      <c r="GX12" s="3" ph="1"/>
      <c r="GY12" s="3" ph="1"/>
      <c r="GZ12" s="3" ph="1"/>
      <c r="HA12" s="3" ph="1"/>
      <c r="HB12" s="3" ph="1"/>
      <c r="HC12" s="3" ph="1"/>
      <c r="HD12" s="3" ph="1"/>
      <c r="HH12" s="3" ph="1"/>
      <c r="HI12" s="3" ph="1"/>
      <c r="HJ12" s="3" ph="1"/>
      <c r="HK12" s="3" ph="1"/>
      <c r="HL12" s="3" ph="1"/>
      <c r="HM12" s="3" ph="1"/>
      <c r="HN12" s="3" ph="1"/>
      <c r="HO12" s="3" ph="1"/>
      <c r="HP12" s="3" ph="1"/>
      <c r="HQ12" s="3" ph="1"/>
      <c r="HR12" s="3" ph="1"/>
      <c r="HS12" s="3" ph="1"/>
      <c r="HT12" s="3" ph="1"/>
      <c r="HU12" s="3" ph="1"/>
      <c r="HV12" s="3" ph="1"/>
      <c r="HW12" s="3" ph="1"/>
      <c r="HX12" s="3" ph="1"/>
      <c r="HY12" s="3" ph="1"/>
      <c r="HZ12" s="3" ph="1"/>
      <c r="IA12" s="3" ph="1"/>
      <c r="IB12" s="3" ph="1"/>
      <c r="IC12" s="3" ph="1"/>
      <c r="ID12" s="3" ph="1"/>
      <c r="IE12" s="3" ph="1"/>
      <c r="IF12" s="3" ph="1"/>
      <c r="IG12" s="3" ph="1"/>
      <c r="IH12" s="3" ph="1"/>
    </row>
    <row r="13" spans="1:242" s="1" customFormat="1" ht="13.5" x14ac:dyDescent="0.2">
      <c r="A13" s="5"/>
      <c r="B13" s="5"/>
      <c r="C13" s="96" t="s">
        <v>75</v>
      </c>
      <c r="D13" s="97"/>
      <c r="E13" s="94" t="s">
        <v>206</v>
      </c>
      <c r="F13" s="97"/>
      <c r="G13" s="97"/>
      <c r="H13" s="97"/>
      <c r="I13" s="97"/>
      <c r="J13" s="94" t="s">
        <v>206</v>
      </c>
      <c r="K13" s="97"/>
      <c r="L13" s="97"/>
      <c r="M13" s="97"/>
      <c r="N13" s="104" t="s">
        <v>207</v>
      </c>
      <c r="O13" s="122" t="s">
        <v>196</v>
      </c>
      <c r="Q13" s="96" t="s">
        <v>77</v>
      </c>
      <c r="R13" s="97"/>
      <c r="S13" s="97"/>
      <c r="T13" s="97"/>
      <c r="U13" s="97"/>
      <c r="V13" s="97"/>
      <c r="W13" s="97"/>
      <c r="X13" s="97"/>
      <c r="Y13" s="97"/>
      <c r="Z13" s="97"/>
      <c r="AA13" s="97"/>
      <c r="AC13" s="96" t="s">
        <v>78</v>
      </c>
      <c r="AD13" s="97"/>
      <c r="AF13" s="82"/>
      <c r="AG13" s="21"/>
      <c r="AH13" s="130"/>
      <c r="AI13" s="131" t="s">
        <v>125</v>
      </c>
      <c r="AJ13" s="125" t="s">
        <v>76</v>
      </c>
      <c r="AL13" s="50" t="s">
        <v>120</v>
      </c>
      <c r="AM13" s="6"/>
      <c r="AN13" s="8" t="s">
        <v>191</v>
      </c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BA13" s="8" t="s">
        <v>190</v>
      </c>
      <c r="BB13" s="8"/>
      <c r="BC13" s="8"/>
      <c r="BD13" s="8"/>
      <c r="BE13" s="8"/>
      <c r="BF13" s="8"/>
      <c r="BG13" s="8"/>
      <c r="BH13" s="8"/>
      <c r="BI13" s="8"/>
      <c r="BJ13" s="8"/>
      <c r="BK13" s="8"/>
      <c r="BM13" s="8" t="s">
        <v>79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 t="s">
        <v>188</v>
      </c>
      <c r="BZ13" s="8"/>
      <c r="CA13" s="8"/>
      <c r="CB13" s="8"/>
      <c r="CC13" s="8"/>
      <c r="CD13" s="8"/>
      <c r="CE13" s="8"/>
      <c r="CF13" s="8"/>
      <c r="CG13" s="8"/>
      <c r="CH13" s="8"/>
      <c r="CI13" s="8"/>
      <c r="CK13" s="71" t="s">
        <v>189</v>
      </c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20"/>
      <c r="CY13" s="21" t="s">
        <v>195</v>
      </c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0"/>
      <c r="DL13" s="8" t="s">
        <v>84</v>
      </c>
      <c r="DM13" s="8"/>
      <c r="DN13" s="8"/>
      <c r="DO13" s="8"/>
      <c r="DP13" s="8"/>
      <c r="DQ13" s="8"/>
      <c r="DR13" s="8"/>
      <c r="DS13" s="8"/>
      <c r="DT13" s="8"/>
      <c r="DU13" s="8"/>
      <c r="DV13" s="8"/>
      <c r="DX13" s="71" t="s">
        <v>85</v>
      </c>
      <c r="DY13" s="71"/>
      <c r="DZ13" s="71"/>
      <c r="EA13" s="71"/>
      <c r="EB13" s="71"/>
      <c r="EC13" s="71"/>
      <c r="ED13" s="71"/>
      <c r="EE13" s="71"/>
      <c r="EF13" s="71"/>
      <c r="EG13" s="71"/>
      <c r="EH13" s="71"/>
      <c r="EI13" s="71"/>
      <c r="EJ13" s="71"/>
      <c r="EL13" s="21" t="s">
        <v>195</v>
      </c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X13" s="19"/>
      <c r="EY13" s="17"/>
      <c r="EZ13" s="18"/>
      <c r="FA13" s="8"/>
      <c r="FB13" s="9"/>
      <c r="FC13" s="7"/>
    </row>
    <row r="14" spans="1:242" x14ac:dyDescent="0.2">
      <c r="A14" s="24" t="s">
        <v>90</v>
      </c>
      <c r="B14" s="24" t="s">
        <v>122</v>
      </c>
      <c r="C14" s="98">
        <v>40.429500000000004</v>
      </c>
      <c r="D14" s="98">
        <v>0</v>
      </c>
      <c r="E14" s="90">
        <f>N14/(26.9815*10000)*101.9601/2</f>
        <v>1.4832140262772639E-2</v>
      </c>
      <c r="F14" s="98">
        <v>5.7438688286236854E-3</v>
      </c>
      <c r="G14" s="98">
        <v>10.7225</v>
      </c>
      <c r="H14" s="98">
        <v>0.14549999999999999</v>
      </c>
      <c r="I14" s="98">
        <v>47.600499999999997</v>
      </c>
      <c r="J14" s="92">
        <f>O14/40.078*56.077/10000</f>
        <v>3.4605342041254282E-2</v>
      </c>
      <c r="K14" s="98">
        <v>0</v>
      </c>
      <c r="L14" s="98">
        <v>0</v>
      </c>
      <c r="M14" s="98">
        <v>0.38950000000000001</v>
      </c>
      <c r="N14" s="105">
        <v>78.5</v>
      </c>
      <c r="O14" s="123">
        <v>247.32294850462569</v>
      </c>
      <c r="P14" s="11"/>
      <c r="Q14" s="100">
        <v>53.548999999999999</v>
      </c>
      <c r="R14" s="100">
        <v>0.64300000000000002</v>
      </c>
      <c r="S14" s="100">
        <v>7.4009999999999998</v>
      </c>
      <c r="T14" s="100">
        <v>0.66400000000000003</v>
      </c>
      <c r="U14" s="100">
        <v>2.7509999999999999</v>
      </c>
      <c r="V14" s="100">
        <v>9.1999999999999998E-2</v>
      </c>
      <c r="W14" s="100">
        <v>13.853</v>
      </c>
      <c r="X14" s="100">
        <v>19.248999999999999</v>
      </c>
      <c r="Y14" s="100">
        <v>2.0009999999999999</v>
      </c>
      <c r="Z14" s="100">
        <v>0</v>
      </c>
      <c r="AA14" s="100">
        <v>3.2000000000000001E-2</v>
      </c>
      <c r="AC14" s="99">
        <v>60.227374999999995</v>
      </c>
      <c r="AD14" s="99">
        <v>7.9163750000000004</v>
      </c>
      <c r="AF14" s="83">
        <f>AD14/151.9892/(AD14/151.9892+AC14/101.9601)</f>
        <v>8.1030933161227975E-2</v>
      </c>
      <c r="AG14" s="22">
        <f t="shared" ref="AG14:AG25" si="0">E14/AC14</f>
        <v>2.4626908050986182E-4</v>
      </c>
      <c r="AH14" s="126">
        <f>10000/(0.575+0.884*AF14-0.897*LN(AG14))-273</f>
        <v>961.58599257214269</v>
      </c>
      <c r="AI14" s="126">
        <f t="shared" ref="AI14:AI25" si="1">(10539+79.8*AL14*10)/(15.45-LN(O14))-273</f>
        <v>961.58547357378984</v>
      </c>
      <c r="AJ14" s="126">
        <f t="shared" ref="AJ14:AJ25" si="2">AH14-AI14</f>
        <v>5.1899835284530127E-4</v>
      </c>
      <c r="AK14" s="12"/>
      <c r="AL14" s="25">
        <f>FA14</f>
        <v>2.1703278344014634</v>
      </c>
      <c r="AN14" s="4">
        <v>15.999000000000001</v>
      </c>
      <c r="AO14" s="4">
        <v>28.085000000000001</v>
      </c>
      <c r="AP14" s="4">
        <v>47.866999999999997</v>
      </c>
      <c r="AQ14" s="4">
        <v>26.9815386</v>
      </c>
      <c r="AR14" s="4">
        <v>51.996099999999998</v>
      </c>
      <c r="AS14" s="4">
        <v>55.844999999999999</v>
      </c>
      <c r="AT14" s="4">
        <v>54.938045000000002</v>
      </c>
      <c r="AU14" s="4">
        <v>24.305</v>
      </c>
      <c r="AV14" s="4">
        <v>40.078000000000003</v>
      </c>
      <c r="AW14" s="4">
        <v>22.989769280000001</v>
      </c>
      <c r="AX14" s="4">
        <v>39.098300000000002</v>
      </c>
      <c r="AY14" s="4">
        <v>58.693399999999997</v>
      </c>
      <c r="BA14" s="4">
        <f>AN14*2+AO14</f>
        <v>60.082999999999998</v>
      </c>
      <c r="BB14" s="4">
        <f>AN14*2+AP14</f>
        <v>79.864999999999995</v>
      </c>
      <c r="BC14" s="4">
        <f>AQ14*2+AN14*3</f>
        <v>101.9600772</v>
      </c>
      <c r="BD14" s="4">
        <f>AR14*2+AN14*3</f>
        <v>151.98919999999998</v>
      </c>
      <c r="BE14" s="4">
        <f>AS14+AN14</f>
        <v>71.843999999999994</v>
      </c>
      <c r="BF14" s="4">
        <f>AT14+AN14</f>
        <v>70.937044999999998</v>
      </c>
      <c r="BG14" s="4">
        <f>AU14+AN14</f>
        <v>40.304000000000002</v>
      </c>
      <c r="BH14" s="4">
        <f>AV14+AN14</f>
        <v>56.077000000000005</v>
      </c>
      <c r="BI14" s="4">
        <f>AW14*2+AN14</f>
        <v>61.978538560000004</v>
      </c>
      <c r="BJ14" s="4">
        <f>AX14*2+AN14</f>
        <v>94.195599999999999</v>
      </c>
      <c r="BK14" s="4">
        <f>AY14+AN14</f>
        <v>74.692399999999992</v>
      </c>
      <c r="BM14" s="4">
        <f t="shared" ref="BM14:BM25" si="3">C14/BA14</f>
        <v>0.67289416307441385</v>
      </c>
      <c r="BN14" s="4">
        <f t="shared" ref="BN14:BN25" si="4">D14/BB14</f>
        <v>0</v>
      </c>
      <c r="BO14" s="4">
        <f t="shared" ref="BO14:BO25" si="5">E14/BC14</f>
        <v>1.4547007681917133E-4</v>
      </c>
      <c r="BP14" s="4">
        <f t="shared" ref="BP14:BP25" si="6">F14/BD14</f>
        <v>3.7791295885652965E-5</v>
      </c>
      <c r="BQ14" s="4">
        <f t="shared" ref="BQ14:BQ25" si="7">G14/BE14</f>
        <v>0.14924697956683927</v>
      </c>
      <c r="BR14" s="4">
        <f t="shared" ref="BR14:BR25" si="8">H14/BF14</f>
        <v>2.051114477632949E-3</v>
      </c>
      <c r="BS14" s="4">
        <f t="shared" ref="BS14:BS25" si="9">I14/BG14</f>
        <v>1.1810366216752679</v>
      </c>
      <c r="BT14" s="4">
        <f t="shared" ref="BT14:BT25" si="10">J14/BH14</f>
        <v>6.17104018425634E-4</v>
      </c>
      <c r="BU14" s="4">
        <f t="shared" ref="BU14:BU25" si="11">K14/BI14</f>
        <v>0</v>
      </c>
      <c r="BV14" s="4">
        <f t="shared" ref="BV14:BV25" si="12">L14/BJ14</f>
        <v>0</v>
      </c>
      <c r="BW14" s="4">
        <f t="shared" ref="BW14:BW25" si="13">M14/BK14</f>
        <v>5.2147206409219691E-3</v>
      </c>
      <c r="BY14" s="4">
        <f>BM14</f>
        <v>0.67289416307441385</v>
      </c>
      <c r="BZ14" s="4">
        <f t="shared" ref="BY14:BZ25" si="14">BN14</f>
        <v>0</v>
      </c>
      <c r="CA14" s="4">
        <f>BO14*2</f>
        <v>2.9094015363834267E-4</v>
      </c>
      <c r="CB14" s="4">
        <f t="shared" ref="CA14:CB25" si="15">BP14*2</f>
        <v>7.5582591771305931E-5</v>
      </c>
      <c r="CC14" s="4">
        <f t="shared" ref="CC14:CF25" si="16">BQ14</f>
        <v>0.14924697956683927</v>
      </c>
      <c r="CD14" s="4">
        <f t="shared" si="16"/>
        <v>2.051114477632949E-3</v>
      </c>
      <c r="CE14" s="4">
        <f t="shared" si="16"/>
        <v>1.1810366216752679</v>
      </c>
      <c r="CF14" s="4">
        <f t="shared" si="16"/>
        <v>6.17104018425634E-4</v>
      </c>
      <c r="CG14" s="4">
        <f t="shared" ref="CG14:CH25" si="17">BU14*2</f>
        <v>0</v>
      </c>
      <c r="CH14" s="4">
        <f t="shared" si="17"/>
        <v>0</v>
      </c>
      <c r="CI14" s="4">
        <f>BW14</f>
        <v>5.2147206409219691E-3</v>
      </c>
      <c r="CK14" s="69">
        <f>BM14*2</f>
        <v>1.3457883261488277</v>
      </c>
      <c r="CL14" s="69">
        <f t="shared" ref="CK14:CL25" si="18">BN14*2</f>
        <v>0</v>
      </c>
      <c r="CM14" s="69">
        <f>BO14*3</f>
        <v>4.36410230457514E-4</v>
      </c>
      <c r="CN14" s="69">
        <f t="shared" ref="CM14:CN25" si="19">BP14*3</f>
        <v>1.133738876569589E-4</v>
      </c>
      <c r="CO14" s="69">
        <f t="shared" ref="CO14:CU25" si="20">BQ14</f>
        <v>0.14924697956683927</v>
      </c>
      <c r="CP14" s="69">
        <f t="shared" si="20"/>
        <v>2.051114477632949E-3</v>
      </c>
      <c r="CQ14" s="69">
        <f t="shared" si="20"/>
        <v>1.1810366216752679</v>
      </c>
      <c r="CR14" s="69">
        <f t="shared" si="20"/>
        <v>6.17104018425634E-4</v>
      </c>
      <c r="CS14" s="69">
        <f t="shared" si="20"/>
        <v>0</v>
      </c>
      <c r="CT14" s="69">
        <f t="shared" si="20"/>
        <v>0</v>
      </c>
      <c r="CU14" s="69">
        <f t="shared" si="20"/>
        <v>5.2147206409219691E-3</v>
      </c>
      <c r="CV14" s="69">
        <f t="shared" ref="CV14:CV25" si="21">SUM(CK14:CU14)</f>
        <v>2.6845046506460299</v>
      </c>
      <c r="CW14" s="16">
        <f t="shared" ref="CW14:CW25" si="22">4/CV14</f>
        <v>1.4900328069975197</v>
      </c>
      <c r="CY14" s="23">
        <f t="shared" ref="CY14:CY25" si="23">BY14*$CW14</f>
        <v>1.0026343786180156</v>
      </c>
      <c r="CZ14" s="23">
        <f t="shared" ref="CZ14:CZ25" si="24">BZ14*$CW14</f>
        <v>0</v>
      </c>
      <c r="DA14" s="23">
        <f t="shared" ref="DA14:DA25" si="25">CA14*$CW14</f>
        <v>4.3351037379402938E-4</v>
      </c>
      <c r="DB14" s="23">
        <f t="shared" ref="DB14:DB25" si="26">CB14*$CW14</f>
        <v>1.1262054137714661E-4</v>
      </c>
      <c r="DC14" s="23">
        <f t="shared" ref="DC14:DC25" si="27">CC14*$CW14</f>
        <v>0.222382895899879</v>
      </c>
      <c r="DD14" s="23">
        <f t="shared" ref="DD14:DD25" si="28">CD14*$CW14</f>
        <v>3.0562278625806743E-3</v>
      </c>
      <c r="DE14" s="23">
        <f t="shared" ref="DE14:DE25" si="29">CE14*$CW14</f>
        <v>1.7597833125616671</v>
      </c>
      <c r="DF14" s="23">
        <f t="shared" ref="DF14:DF25" si="30">CF14*$CW14</f>
        <v>9.1950523278419658E-4</v>
      </c>
      <c r="DG14" s="23">
        <f t="shared" ref="DG14:DG25" si="31">CG14*$CW14</f>
        <v>0</v>
      </c>
      <c r="DH14" s="23">
        <f t="shared" ref="DH14:DH25" si="32">CH14*$CW14</f>
        <v>0</v>
      </c>
      <c r="DI14" s="23">
        <f t="shared" ref="DI14:DI25" si="33">CI14*$CW14</f>
        <v>7.770104834300867E-3</v>
      </c>
      <c r="DJ14" s="16">
        <f t="shared" ref="DJ14:DJ25" si="34">DE14/(DE14+DC14)</f>
        <v>0.8878081490086136</v>
      </c>
      <c r="DL14" s="4">
        <f t="shared" ref="DL14:DL25" si="35">Q14/BA14</f>
        <v>0.89125043689562777</v>
      </c>
      <c r="DM14" s="4">
        <f t="shared" ref="DM14:DM25" si="36">R14/BB14</f>
        <v>8.0510862079759601E-3</v>
      </c>
      <c r="DN14" s="4">
        <f t="shared" ref="DN14:DN25" si="37">S14/BC14</f>
        <v>7.2587234172867027E-2</v>
      </c>
      <c r="DO14" s="4">
        <f t="shared" ref="DO14:DO25" si="38">T14/BD14</f>
        <v>4.3687314624986521E-3</v>
      </c>
      <c r="DP14" s="4">
        <f t="shared" ref="DP14:DP25" si="39">U14/BE14</f>
        <v>3.8291297811925841E-2</v>
      </c>
      <c r="DQ14" s="4">
        <f t="shared" ref="DQ14:DQ25" si="40">V14/BF14</f>
        <v>1.2969246181596655E-3</v>
      </c>
      <c r="DR14" s="4">
        <f t="shared" ref="DR14:DR25" si="41">W14/BG14</f>
        <v>0.34371278285033741</v>
      </c>
      <c r="DS14" s="4">
        <f t="shared" ref="DS14:DS25" si="42">X14/BH14</f>
        <v>0.34326016013695448</v>
      </c>
      <c r="DT14" s="4">
        <f t="shared" ref="DT14:DT25" si="43">Y14/BI14</f>
        <v>3.2285369201838755E-2</v>
      </c>
      <c r="DU14" s="4">
        <f t="shared" ref="DU14:DU25" si="44">Z14/BJ14</f>
        <v>0</v>
      </c>
      <c r="DV14" s="4">
        <f t="shared" ref="DV14:DV25" si="45">AA14/BK14</f>
        <v>4.2842377537741461E-4</v>
      </c>
      <c r="DX14" s="69">
        <f>DL14*2</f>
        <v>1.7825008737912555</v>
      </c>
      <c r="DY14" s="69">
        <f>DM14*2</f>
        <v>1.610217241595192E-2</v>
      </c>
      <c r="DZ14" s="69">
        <f>DN14*3</f>
        <v>0.21776170251860108</v>
      </c>
      <c r="EA14" s="69">
        <f t="shared" ref="DZ14:EA25" si="46">DO14*3</f>
        <v>1.3106194387495957E-2</v>
      </c>
      <c r="EB14" s="69">
        <f t="shared" ref="EB14:EH25" si="47">DP14</f>
        <v>3.8291297811925841E-2</v>
      </c>
      <c r="EC14" s="69">
        <f t="shared" si="47"/>
        <v>1.2969246181596655E-3</v>
      </c>
      <c r="ED14" s="69">
        <f t="shared" si="47"/>
        <v>0.34371278285033741</v>
      </c>
      <c r="EE14" s="69">
        <f t="shared" si="47"/>
        <v>0.34326016013695448</v>
      </c>
      <c r="EF14" s="69">
        <f t="shared" si="47"/>
        <v>3.2285369201838755E-2</v>
      </c>
      <c r="EG14" s="69">
        <f t="shared" si="47"/>
        <v>0</v>
      </c>
      <c r="EH14" s="69">
        <f t="shared" si="47"/>
        <v>4.2842377537741461E-4</v>
      </c>
      <c r="EI14" s="69">
        <f t="shared" ref="EI14:EI25" si="48">SUM(DX14:EH14)</f>
        <v>2.7887459015078986</v>
      </c>
      <c r="EJ14" s="69">
        <f t="shared" ref="EJ14:EJ25" si="49">6/EI14</f>
        <v>2.1515047307665247</v>
      </c>
      <c r="EL14" s="23">
        <f t="shared" ref="EL14:EL25" si="50">DL14*$EJ14</f>
        <v>1.9175295312786751</v>
      </c>
      <c r="EM14" s="23">
        <f t="shared" ref="EM14:EM25" si="51">DM14*$EJ14</f>
        <v>1.7321950064269398E-2</v>
      </c>
      <c r="EN14" s="23">
        <f t="shared" ref="EN14:EN25" si="52">2*DN14*$EJ14</f>
        <v>0.31234355543236192</v>
      </c>
      <c r="EO14" s="23">
        <f t="shared" ref="EO14:EO25" si="53">2*DO14*$EJ14</f>
        <v>1.8798692818028817E-2</v>
      </c>
      <c r="EP14" s="23">
        <f t="shared" ref="EP14:EP25" si="54">DP14*$EJ14</f>
        <v>8.238390838954833E-2</v>
      </c>
      <c r="EQ14" s="23">
        <f t="shared" ref="EQ14:EQ25" si="55">DQ14*$EJ14</f>
        <v>2.7903394514180889E-3</v>
      </c>
      <c r="ER14" s="23">
        <f t="shared" ref="ER14:ER25" si="56">DR14*$EJ14</f>
        <v>0.73949967832742813</v>
      </c>
      <c r="ES14" s="23">
        <f t="shared" ref="ES14:ES25" si="57">DS14*$EJ14</f>
        <v>0.7385258584183324</v>
      </c>
      <c r="ET14" s="23">
        <f t="shared" ref="ET14:ET25" si="58">2*DT14*$EJ14</f>
        <v>0.13892424914459989</v>
      </c>
      <c r="EU14" s="23">
        <f t="shared" ref="EU14:EU25" si="59">2*DU14*$EJ14</f>
        <v>0</v>
      </c>
      <c r="EV14" s="23">
        <f t="shared" ref="EV14:EV25" si="60">DV14*$EJ14</f>
        <v>9.217557794973625E-4</v>
      </c>
      <c r="EX14" s="14">
        <f t="shared" ref="EX14:EX25" si="61">LN(DF14/ES14)</f>
        <v>-6.6885756601950668</v>
      </c>
      <c r="EY14" s="4">
        <f t="shared" ref="EY14:EY25" si="62">(-(AH14+273)*EX14-11982+3.61*(AH14+273))/56.2/10</f>
        <v>1.303340308756646</v>
      </c>
      <c r="EZ14" s="4">
        <f t="shared" ref="EZ14:EZ25" si="63">(-(AH14+273)*EX14-5792-1.25*(AH14+273))/42.5/10</f>
        <v>2.1703278344014634</v>
      </c>
      <c r="FA14" s="4">
        <f t="shared" ref="FA14:FA25" si="64">IF(AH14&gt;(1275.25-273+2.827*EY14*10), EY14, EZ14)</f>
        <v>2.1703278344014634</v>
      </c>
      <c r="FC14" s="4">
        <f t="shared" ref="FC14:FC25" si="65">(3.64-2.328*DJ14-9525/(AH14+273)-LN(DF14))/0.0334/10</f>
        <v>2.5440733821293624</v>
      </c>
    </row>
    <row r="15" spans="1:242" x14ac:dyDescent="0.2">
      <c r="A15" s="24" t="s">
        <v>92</v>
      </c>
      <c r="B15" s="24" t="s">
        <v>122</v>
      </c>
      <c r="C15" s="98">
        <v>41.015500000000003</v>
      </c>
      <c r="D15" s="98">
        <v>0</v>
      </c>
      <c r="E15" s="90">
        <f t="shared" ref="E15:E25" si="66">N15/(26.9815*10000)*101.9601/2</f>
        <v>4.8180837796267806E-3</v>
      </c>
      <c r="F15" s="98">
        <v>1.7538530774423467E-3</v>
      </c>
      <c r="G15" s="98">
        <v>10.093</v>
      </c>
      <c r="H15" s="98">
        <v>0.1545</v>
      </c>
      <c r="I15" s="98">
        <v>48.32</v>
      </c>
      <c r="J15" s="92">
        <f t="shared" ref="J15:J25" si="67">O15/40.078*56.077/10000</f>
        <v>4.0271443017169888E-2</v>
      </c>
      <c r="K15" s="98">
        <v>0</v>
      </c>
      <c r="L15" s="98">
        <v>0</v>
      </c>
      <c r="M15" s="98">
        <v>0.38100000000000001</v>
      </c>
      <c r="N15" s="105">
        <v>25.5</v>
      </c>
      <c r="O15" s="123">
        <v>287.81833786438915</v>
      </c>
      <c r="P15" s="11"/>
      <c r="Q15" s="100">
        <v>53.131999999999998</v>
      </c>
      <c r="R15" s="100">
        <v>0.50700000000000001</v>
      </c>
      <c r="S15" s="100">
        <v>6.6689999999999996</v>
      </c>
      <c r="T15" s="100">
        <v>0.78800000000000003</v>
      </c>
      <c r="U15" s="100">
        <v>2.3090000000000002</v>
      </c>
      <c r="V15" s="100">
        <v>8.3000000000000004E-2</v>
      </c>
      <c r="W15" s="100">
        <v>13.917999999999999</v>
      </c>
      <c r="X15" s="100">
        <v>20.655000000000001</v>
      </c>
      <c r="Y15" s="100">
        <v>1.746</v>
      </c>
      <c r="Z15" s="100">
        <v>0</v>
      </c>
      <c r="AA15" s="100">
        <v>0.03</v>
      </c>
      <c r="AC15" s="99">
        <v>59.251624999999997</v>
      </c>
      <c r="AD15" s="99">
        <v>9.5721250000000015</v>
      </c>
      <c r="AF15" s="83">
        <f>AD15/151.9892/(AD15/151.9892+AC15/101.9601)</f>
        <v>9.7777569881644946E-2</v>
      </c>
      <c r="AG15" s="22">
        <f t="shared" si="0"/>
        <v>8.1315639522574793E-5</v>
      </c>
      <c r="AH15" s="126">
        <f t="shared" ref="AH15:AH25" si="68">10000/(0.575+0.884*AF15-0.897*LN(AG15))-273</f>
        <v>824.85887759639559</v>
      </c>
      <c r="AI15" s="126">
        <f t="shared" si="1"/>
        <v>824.70897282795136</v>
      </c>
      <c r="AJ15" s="126">
        <f t="shared" si="2"/>
        <v>0.14990476844423029</v>
      </c>
      <c r="AK15" s="12"/>
      <c r="AL15" s="25">
        <f t="shared" ref="AL15:AL25" si="69">FA15</f>
        <v>0.25690942376304521</v>
      </c>
      <c r="AN15" s="4">
        <v>15.999000000000001</v>
      </c>
      <c r="AO15" s="4">
        <v>28.085000000000001</v>
      </c>
      <c r="AP15" s="4">
        <v>47.866999999999997</v>
      </c>
      <c r="AQ15" s="4">
        <v>26.9815386</v>
      </c>
      <c r="AR15" s="4">
        <v>51.996099999999998</v>
      </c>
      <c r="AS15" s="4">
        <v>55.844999999999999</v>
      </c>
      <c r="AT15" s="4">
        <v>54.938045000000002</v>
      </c>
      <c r="AU15" s="4">
        <v>24.305</v>
      </c>
      <c r="AV15" s="4">
        <v>40.078000000000003</v>
      </c>
      <c r="AW15" s="4">
        <v>22.989769280000001</v>
      </c>
      <c r="AX15" s="4">
        <v>39.098300000000002</v>
      </c>
      <c r="AY15" s="4">
        <v>58.693399999999997</v>
      </c>
      <c r="BA15" s="4">
        <f>AN15*2+AO15</f>
        <v>60.082999999999998</v>
      </c>
      <c r="BB15" s="4">
        <f>AN15*2+AP15</f>
        <v>79.864999999999995</v>
      </c>
      <c r="BC15" s="4">
        <f>AQ15*2+AN15*3</f>
        <v>101.9600772</v>
      </c>
      <c r="BD15" s="4">
        <f>AR15*2+AN15*3</f>
        <v>151.98919999999998</v>
      </c>
      <c r="BE15" s="4">
        <f>AS15+AN15</f>
        <v>71.843999999999994</v>
      </c>
      <c r="BF15" s="4">
        <f>AT15+AN15</f>
        <v>70.937044999999998</v>
      </c>
      <c r="BG15" s="4">
        <f>AU15+AN15</f>
        <v>40.304000000000002</v>
      </c>
      <c r="BH15" s="4">
        <f>AV15+AN15</f>
        <v>56.077000000000005</v>
      </c>
      <c r="BI15" s="4">
        <f>AW15*2+AN15</f>
        <v>61.978538560000004</v>
      </c>
      <c r="BJ15" s="4">
        <f>AX15*2+AN15</f>
        <v>94.195599999999999</v>
      </c>
      <c r="BK15" s="4">
        <f>AY15+AN15</f>
        <v>74.692399999999992</v>
      </c>
      <c r="BM15" s="4">
        <f t="shared" si="3"/>
        <v>0.68264733784930853</v>
      </c>
      <c r="BN15" s="4">
        <f t="shared" si="4"/>
        <v>0</v>
      </c>
      <c r="BO15" s="4">
        <f t="shared" si="5"/>
        <v>4.7254610941259475E-5</v>
      </c>
      <c r="BP15" s="4">
        <f t="shared" si="6"/>
        <v>1.1539326987985639E-5</v>
      </c>
      <c r="BQ15" s="4">
        <f t="shared" si="7"/>
        <v>0.14048493959133679</v>
      </c>
      <c r="BR15" s="4">
        <f t="shared" si="8"/>
        <v>2.1779875381050902E-3</v>
      </c>
      <c r="BS15" s="4">
        <f t="shared" si="9"/>
        <v>1.1988884477967447</v>
      </c>
      <c r="BT15" s="4">
        <f t="shared" si="10"/>
        <v>7.181454610119993E-4</v>
      </c>
      <c r="BU15" s="4">
        <f t="shared" si="11"/>
        <v>0</v>
      </c>
      <c r="BV15" s="4">
        <f t="shared" si="12"/>
        <v>0</v>
      </c>
      <c r="BW15" s="4">
        <f t="shared" si="13"/>
        <v>5.1009205755873427E-3</v>
      </c>
      <c r="BY15" s="4">
        <f t="shared" si="14"/>
        <v>0.68264733784930853</v>
      </c>
      <c r="BZ15" s="4">
        <f t="shared" si="14"/>
        <v>0</v>
      </c>
      <c r="CA15" s="4">
        <f t="shared" si="15"/>
        <v>9.4509221882518949E-5</v>
      </c>
      <c r="CB15" s="4">
        <f t="shared" si="15"/>
        <v>2.3078653975971279E-5</v>
      </c>
      <c r="CC15" s="4">
        <f t="shared" si="16"/>
        <v>0.14048493959133679</v>
      </c>
      <c r="CD15" s="4">
        <f t="shared" si="16"/>
        <v>2.1779875381050902E-3</v>
      </c>
      <c r="CE15" s="4">
        <f t="shared" si="16"/>
        <v>1.1988884477967447</v>
      </c>
      <c r="CF15" s="4">
        <f t="shared" si="16"/>
        <v>7.181454610119993E-4</v>
      </c>
      <c r="CG15" s="4">
        <f t="shared" si="17"/>
        <v>0</v>
      </c>
      <c r="CH15" s="4">
        <f t="shared" si="17"/>
        <v>0</v>
      </c>
      <c r="CI15" s="4">
        <f>BW15</f>
        <v>5.1009205755873427E-3</v>
      </c>
      <c r="CK15" s="69">
        <f t="shared" si="18"/>
        <v>1.3652946756986171</v>
      </c>
      <c r="CL15" s="69">
        <f t="shared" si="18"/>
        <v>0</v>
      </c>
      <c r="CM15" s="69">
        <f t="shared" si="19"/>
        <v>1.4176383282377841E-4</v>
      </c>
      <c r="CN15" s="69">
        <f t="shared" si="19"/>
        <v>3.4617980963956919E-5</v>
      </c>
      <c r="CO15" s="69">
        <f t="shared" si="20"/>
        <v>0.14048493959133679</v>
      </c>
      <c r="CP15" s="69">
        <f t="shared" si="20"/>
        <v>2.1779875381050902E-3</v>
      </c>
      <c r="CQ15" s="69">
        <f t="shared" si="20"/>
        <v>1.1988884477967447</v>
      </c>
      <c r="CR15" s="69">
        <f t="shared" si="20"/>
        <v>7.181454610119993E-4</v>
      </c>
      <c r="CS15" s="69">
        <f t="shared" si="20"/>
        <v>0</v>
      </c>
      <c r="CT15" s="69">
        <f t="shared" si="20"/>
        <v>0</v>
      </c>
      <c r="CU15" s="69">
        <f t="shared" si="20"/>
        <v>5.1009205755873427E-3</v>
      </c>
      <c r="CV15" s="69">
        <f t="shared" si="21"/>
        <v>2.7128414984751914</v>
      </c>
      <c r="CW15" s="16">
        <f t="shared" si="22"/>
        <v>1.4744687451324681</v>
      </c>
      <c r="CY15" s="23">
        <f t="shared" si="23"/>
        <v>1.00654216360669</v>
      </c>
      <c r="CZ15" s="23">
        <f t="shared" si="24"/>
        <v>0</v>
      </c>
      <c r="DA15" s="23">
        <f t="shared" si="25"/>
        <v>1.393508937925637E-4</v>
      </c>
      <c r="DB15" s="23">
        <f t="shared" si="26"/>
        <v>3.4028753967296813E-5</v>
      </c>
      <c r="DC15" s="23">
        <f t="shared" si="27"/>
        <v>0.20714065258924894</v>
      </c>
      <c r="DD15" s="23">
        <f t="shared" si="28"/>
        <v>3.2113745522239657E-3</v>
      </c>
      <c r="DE15" s="23">
        <f t="shared" si="29"/>
        <v>1.7677235451766786</v>
      </c>
      <c r="DF15" s="23">
        <f t="shared" si="30"/>
        <v>1.0588830367209404E-3</v>
      </c>
      <c r="DG15" s="23">
        <f t="shared" si="31"/>
        <v>0</v>
      </c>
      <c r="DH15" s="23">
        <f t="shared" si="32"/>
        <v>0</v>
      </c>
      <c r="DI15" s="23">
        <f t="shared" si="33"/>
        <v>7.5211479601066562E-3</v>
      </c>
      <c r="DJ15" s="16">
        <f t="shared" si="34"/>
        <v>0.8951114447142352</v>
      </c>
      <c r="DL15" s="4">
        <f t="shared" si="35"/>
        <v>0.88431003778106954</v>
      </c>
      <c r="DM15" s="4">
        <f t="shared" si="36"/>
        <v>6.3482126087773122E-3</v>
      </c>
      <c r="DN15" s="4">
        <f t="shared" si="37"/>
        <v>6.5407953614221068E-2</v>
      </c>
      <c r="DO15" s="4">
        <f t="shared" si="38"/>
        <v>5.1845789042905691E-3</v>
      </c>
      <c r="DP15" s="4">
        <f t="shared" si="39"/>
        <v>3.2139079115862147E-2</v>
      </c>
      <c r="DQ15" s="4">
        <f t="shared" si="40"/>
        <v>1.1700515576875243E-3</v>
      </c>
      <c r="DR15" s="4">
        <f t="shared" si="41"/>
        <v>0.34532552600238187</v>
      </c>
      <c r="DS15" s="4">
        <f t="shared" si="42"/>
        <v>0.36833282807568163</v>
      </c>
      <c r="DT15" s="4">
        <f t="shared" si="43"/>
        <v>2.817104179230908E-2</v>
      </c>
      <c r="DU15" s="4">
        <f t="shared" si="44"/>
        <v>0</v>
      </c>
      <c r="DV15" s="4">
        <f t="shared" si="45"/>
        <v>4.0164728941632618E-4</v>
      </c>
      <c r="DX15" s="69">
        <f t="shared" ref="DX15:DY25" si="70">DL15*2</f>
        <v>1.7686200755621391</v>
      </c>
      <c r="DY15" s="69">
        <f t="shared" si="70"/>
        <v>1.2696425217554624E-2</v>
      </c>
      <c r="DZ15" s="69">
        <f t="shared" si="46"/>
        <v>0.19622386084266319</v>
      </c>
      <c r="EA15" s="69">
        <f t="shared" si="46"/>
        <v>1.5553736712871708E-2</v>
      </c>
      <c r="EB15" s="69">
        <f t="shared" si="47"/>
        <v>3.2139079115862147E-2</v>
      </c>
      <c r="EC15" s="69">
        <f t="shared" si="47"/>
        <v>1.1700515576875243E-3</v>
      </c>
      <c r="ED15" s="69">
        <f t="shared" si="47"/>
        <v>0.34532552600238187</v>
      </c>
      <c r="EE15" s="69">
        <f t="shared" si="47"/>
        <v>0.36833282807568163</v>
      </c>
      <c r="EF15" s="69">
        <f t="shared" si="47"/>
        <v>2.817104179230908E-2</v>
      </c>
      <c r="EG15" s="69">
        <f t="shared" si="47"/>
        <v>0</v>
      </c>
      <c r="EH15" s="69">
        <f t="shared" si="47"/>
        <v>4.0164728941632618E-4</v>
      </c>
      <c r="EI15" s="69">
        <f t="shared" si="48"/>
        <v>2.7686342721685673</v>
      </c>
      <c r="EJ15" s="69">
        <f t="shared" si="49"/>
        <v>2.1671334709370713</v>
      </c>
      <c r="EL15" s="23">
        <f t="shared" si="50"/>
        <v>1.9164178815609818</v>
      </c>
      <c r="EM15" s="23">
        <f t="shared" si="51"/>
        <v>1.3757424025106057E-2</v>
      </c>
      <c r="EN15" s="23">
        <f t="shared" si="52"/>
        <v>0.2834955310857557</v>
      </c>
      <c r="EO15" s="23">
        <f t="shared" si="53"/>
        <v>2.2471348952404678E-2</v>
      </c>
      <c r="EP15" s="23">
        <f t="shared" si="54"/>
        <v>6.9649674077079476E-2</v>
      </c>
      <c r="EQ15" s="23">
        <f t="shared" si="55"/>
        <v>2.5356578933866912E-3</v>
      </c>
      <c r="ER15" s="23">
        <f t="shared" si="56"/>
        <v>0.74836650576871167</v>
      </c>
      <c r="ES15" s="23">
        <f t="shared" si="57"/>
        <v>0.79822640016771951</v>
      </c>
      <c r="ET15" s="23">
        <f t="shared" si="58"/>
        <v>0.12210081515856014</v>
      </c>
      <c r="EU15" s="23">
        <f t="shared" si="59"/>
        <v>0</v>
      </c>
      <c r="EV15" s="23">
        <f t="shared" si="60"/>
        <v>8.7042328440526935E-4</v>
      </c>
      <c r="EX15" s="14">
        <f t="shared" si="61"/>
        <v>-6.6251776530869746</v>
      </c>
      <c r="EY15" s="4">
        <f t="shared" si="62"/>
        <v>-1.3260130779043124</v>
      </c>
      <c r="EZ15" s="4">
        <f t="shared" si="63"/>
        <v>0.25690942376304521</v>
      </c>
      <c r="FA15" s="4">
        <f t="shared" si="64"/>
        <v>0.25690942376304521</v>
      </c>
      <c r="FC15" s="4">
        <f t="shared" si="65"/>
        <v>-0.80615946547978368</v>
      </c>
    </row>
    <row r="16" spans="1:242" x14ac:dyDescent="0.2">
      <c r="A16" s="24" t="s">
        <v>93</v>
      </c>
      <c r="B16" s="24" t="s">
        <v>122</v>
      </c>
      <c r="C16" s="98">
        <v>40.644500000000001</v>
      </c>
      <c r="D16" s="98">
        <v>0</v>
      </c>
      <c r="E16" s="90">
        <f t="shared" si="66"/>
        <v>4.2323559475937215E-3</v>
      </c>
      <c r="F16" s="98">
        <v>1.5784677696981122E-3</v>
      </c>
      <c r="G16" s="98">
        <v>10.081</v>
      </c>
      <c r="H16" s="98">
        <v>0.13950000000000001</v>
      </c>
      <c r="I16" s="98">
        <v>48.487499999999997</v>
      </c>
      <c r="J16" s="92">
        <f t="shared" si="67"/>
        <v>4.7023809709668365E-2</v>
      </c>
      <c r="K16" s="98">
        <v>0</v>
      </c>
      <c r="L16" s="98">
        <v>0</v>
      </c>
      <c r="M16" s="98">
        <v>0.41849999999999998</v>
      </c>
      <c r="N16" s="105">
        <v>22.4</v>
      </c>
      <c r="O16" s="123">
        <v>336.07722337929789</v>
      </c>
      <c r="P16" s="11"/>
      <c r="Q16" s="100">
        <v>53.948</v>
      </c>
      <c r="R16" s="100">
        <v>0.31</v>
      </c>
      <c r="S16" s="100">
        <v>4.8849999999999998</v>
      </c>
      <c r="T16" s="100">
        <v>0.629</v>
      </c>
      <c r="U16" s="100">
        <v>2.3570000000000002</v>
      </c>
      <c r="V16" s="100">
        <v>5.6000000000000001E-2</v>
      </c>
      <c r="W16" s="100">
        <v>14.917</v>
      </c>
      <c r="X16" s="100">
        <v>22.408999999999999</v>
      </c>
      <c r="Y16" s="100">
        <v>1.008</v>
      </c>
      <c r="Z16" s="100">
        <v>0</v>
      </c>
      <c r="AA16" s="100">
        <v>5.8999999999999997E-2</v>
      </c>
      <c r="AC16" s="99">
        <v>57.688999999999993</v>
      </c>
      <c r="AD16" s="99">
        <v>11.581</v>
      </c>
      <c r="AF16" s="83">
        <f t="shared" ref="AF16:AF25" si="71">AD16/151.9892/(AD16/151.9892+AC16/101.9601)</f>
        <v>0.11868642154189818</v>
      </c>
      <c r="AG16" s="22">
        <f t="shared" si="0"/>
        <v>7.336504268740526E-5</v>
      </c>
      <c r="AH16" s="126">
        <f t="shared" si="68"/>
        <v>811.66748407325827</v>
      </c>
      <c r="AI16" s="126">
        <f t="shared" si="1"/>
        <v>811.51750801700382</v>
      </c>
      <c r="AJ16" s="126">
        <f t="shared" si="2"/>
        <v>0.14997605625444521</v>
      </c>
      <c r="AK16" s="12"/>
      <c r="AL16" s="25">
        <f t="shared" si="69"/>
        <v>-0.11555467146600625</v>
      </c>
      <c r="AN16" s="4">
        <v>15.999000000000001</v>
      </c>
      <c r="AO16" s="4">
        <v>28.085000000000001</v>
      </c>
      <c r="AP16" s="4">
        <v>47.866999999999997</v>
      </c>
      <c r="AQ16" s="4">
        <v>26.9815386</v>
      </c>
      <c r="AR16" s="4">
        <v>51.996099999999998</v>
      </c>
      <c r="AS16" s="4">
        <v>55.844999999999999</v>
      </c>
      <c r="AT16" s="4">
        <v>54.938045000000002</v>
      </c>
      <c r="AU16" s="4">
        <v>24.305</v>
      </c>
      <c r="AV16" s="4">
        <v>40.078000000000003</v>
      </c>
      <c r="AW16" s="4">
        <v>22.989769280000001</v>
      </c>
      <c r="AX16" s="4">
        <v>39.098300000000002</v>
      </c>
      <c r="AY16" s="4">
        <v>58.693399999999997</v>
      </c>
      <c r="BA16" s="4">
        <f>AN16*2+AO16</f>
        <v>60.082999999999998</v>
      </c>
      <c r="BB16" s="4">
        <f>AN16*2+AP16</f>
        <v>79.864999999999995</v>
      </c>
      <c r="BC16" s="4">
        <f>AQ16*2+AN16*3</f>
        <v>101.9600772</v>
      </c>
      <c r="BD16" s="4">
        <f>AR16*2+AN16*3</f>
        <v>151.98919999999998</v>
      </c>
      <c r="BE16" s="4">
        <f>AS16+AN16</f>
        <v>71.843999999999994</v>
      </c>
      <c r="BF16" s="4">
        <f>AT16+AN16</f>
        <v>70.937044999999998</v>
      </c>
      <c r="BG16" s="4">
        <f>AU16+AN16</f>
        <v>40.304000000000002</v>
      </c>
      <c r="BH16" s="4">
        <f>AV16+AN16</f>
        <v>56.077000000000005</v>
      </c>
      <c r="BI16" s="4">
        <f>AW16*2+AN16</f>
        <v>61.978538560000004</v>
      </c>
      <c r="BJ16" s="4">
        <f>AX16*2+AN16</f>
        <v>94.195599999999999</v>
      </c>
      <c r="BK16" s="4">
        <f>AY16+AN16</f>
        <v>74.692399999999992</v>
      </c>
      <c r="BM16" s="4">
        <f t="shared" si="3"/>
        <v>0.67647254631093656</v>
      </c>
      <c r="BN16" s="4">
        <f t="shared" si="4"/>
        <v>0</v>
      </c>
      <c r="BO16" s="4">
        <f t="shared" si="5"/>
        <v>4.1509932748400482E-5</v>
      </c>
      <c r="BP16" s="4">
        <f t="shared" si="6"/>
        <v>1.0385394289187076E-5</v>
      </c>
      <c r="BQ16" s="4">
        <f t="shared" si="7"/>
        <v>0.14031791102945271</v>
      </c>
      <c r="BR16" s="4">
        <f t="shared" si="8"/>
        <v>1.9665324373181886E-3</v>
      </c>
      <c r="BS16" s="4">
        <f t="shared" si="9"/>
        <v>1.2030443628423977</v>
      </c>
      <c r="BT16" s="4">
        <f t="shared" si="10"/>
        <v>8.3855787060057349E-4</v>
      </c>
      <c r="BU16" s="4">
        <f t="shared" si="11"/>
        <v>0</v>
      </c>
      <c r="BV16" s="4">
        <f t="shared" si="12"/>
        <v>0</v>
      </c>
      <c r="BW16" s="4">
        <f t="shared" si="13"/>
        <v>5.6029796873577507E-3</v>
      </c>
      <c r="BY16" s="4">
        <f t="shared" si="14"/>
        <v>0.67647254631093656</v>
      </c>
      <c r="BZ16" s="4">
        <f t="shared" si="14"/>
        <v>0</v>
      </c>
      <c r="CA16" s="4">
        <f t="shared" si="15"/>
        <v>8.3019865496800963E-5</v>
      </c>
      <c r="CB16" s="4">
        <f t="shared" si="15"/>
        <v>2.0770788578374152E-5</v>
      </c>
      <c r="CC16" s="4">
        <f t="shared" si="16"/>
        <v>0.14031791102945271</v>
      </c>
      <c r="CD16" s="4">
        <f t="shared" si="16"/>
        <v>1.9665324373181886E-3</v>
      </c>
      <c r="CE16" s="4">
        <f t="shared" si="16"/>
        <v>1.2030443628423977</v>
      </c>
      <c r="CF16" s="4">
        <f t="shared" si="16"/>
        <v>8.3855787060057349E-4</v>
      </c>
      <c r="CG16" s="4">
        <f t="shared" si="17"/>
        <v>0</v>
      </c>
      <c r="CH16" s="4">
        <f t="shared" si="17"/>
        <v>0</v>
      </c>
      <c r="CI16" s="4">
        <f>BW16</f>
        <v>5.6029796873577507E-3</v>
      </c>
      <c r="CK16" s="69">
        <f t="shared" si="18"/>
        <v>1.3529450926218731</v>
      </c>
      <c r="CL16" s="69">
        <f t="shared" si="18"/>
        <v>0</v>
      </c>
      <c r="CM16" s="69">
        <f t="shared" si="19"/>
        <v>1.2452979824520145E-4</v>
      </c>
      <c r="CN16" s="69">
        <f t="shared" si="19"/>
        <v>3.1156182867561227E-5</v>
      </c>
      <c r="CO16" s="69">
        <f t="shared" si="20"/>
        <v>0.14031791102945271</v>
      </c>
      <c r="CP16" s="69">
        <f t="shared" si="20"/>
        <v>1.9665324373181886E-3</v>
      </c>
      <c r="CQ16" s="69">
        <f t="shared" si="20"/>
        <v>1.2030443628423977</v>
      </c>
      <c r="CR16" s="69">
        <f t="shared" si="20"/>
        <v>8.3855787060057349E-4</v>
      </c>
      <c r="CS16" s="69">
        <f t="shared" si="20"/>
        <v>0</v>
      </c>
      <c r="CT16" s="69">
        <f t="shared" si="20"/>
        <v>0</v>
      </c>
      <c r="CU16" s="69">
        <f t="shared" si="20"/>
        <v>5.6029796873577507E-3</v>
      </c>
      <c r="CV16" s="69">
        <f t="shared" si="21"/>
        <v>2.704871122470113</v>
      </c>
      <c r="CW16" s="16">
        <f t="shared" si="22"/>
        <v>1.4788135252622179</v>
      </c>
      <c r="CY16" s="23">
        <f t="shared" si="23"/>
        <v>1.0003767509531851</v>
      </c>
      <c r="CZ16" s="23">
        <f t="shared" si="24"/>
        <v>0</v>
      </c>
      <c r="DA16" s="23">
        <f t="shared" si="25"/>
        <v>1.2277089996211941E-4</v>
      </c>
      <c r="DB16" s="23">
        <f t="shared" si="26"/>
        <v>3.0716123080061688E-5</v>
      </c>
      <c r="DC16" s="23">
        <f t="shared" si="27"/>
        <v>0.20750402466689521</v>
      </c>
      <c r="DD16" s="23">
        <f t="shared" si="28"/>
        <v>2.9081347661730119E-3</v>
      </c>
      <c r="DE16" s="23">
        <f t="shared" si="29"/>
        <v>1.7790782752618048</v>
      </c>
      <c r="DF16" s="23">
        <f t="shared" si="30"/>
        <v>1.2400707207592127E-3</v>
      </c>
      <c r="DG16" s="23">
        <f t="shared" si="31"/>
        <v>0</v>
      </c>
      <c r="DH16" s="23">
        <f t="shared" si="32"/>
        <v>0</v>
      </c>
      <c r="DI16" s="23">
        <f t="shared" si="33"/>
        <v>8.2857621434341139E-3</v>
      </c>
      <c r="DJ16" s="16">
        <f t="shared" si="34"/>
        <v>0.89554722969476641</v>
      </c>
      <c r="DL16" s="4">
        <f t="shared" si="35"/>
        <v>0.89789125043689566</v>
      </c>
      <c r="DM16" s="4">
        <f t="shared" si="36"/>
        <v>3.8815501158204471E-3</v>
      </c>
      <c r="DN16" s="4">
        <f t="shared" si="37"/>
        <v>4.7910909192603081E-2</v>
      </c>
      <c r="DO16" s="4">
        <f t="shared" si="38"/>
        <v>4.1384519426380297E-3</v>
      </c>
      <c r="DP16" s="4">
        <f t="shared" si="39"/>
        <v>3.2807193363398483E-2</v>
      </c>
      <c r="DQ16" s="4">
        <f t="shared" si="40"/>
        <v>7.8943237627110072E-4</v>
      </c>
      <c r="DR16" s="4">
        <f t="shared" si="41"/>
        <v>0.37011214767764983</v>
      </c>
      <c r="DS16" s="4">
        <f t="shared" si="42"/>
        <v>0.39961124881858867</v>
      </c>
      <c r="DT16" s="4">
        <f t="shared" si="43"/>
        <v>1.6263694230611428E-2</v>
      </c>
      <c r="DU16" s="4">
        <f t="shared" si="44"/>
        <v>0</v>
      </c>
      <c r="DV16" s="4">
        <f t="shared" si="45"/>
        <v>7.8990633585210811E-4</v>
      </c>
      <c r="DX16" s="69">
        <f t="shared" si="70"/>
        <v>1.7957825008737913</v>
      </c>
      <c r="DY16" s="69">
        <f t="shared" si="70"/>
        <v>7.7631002316408942E-3</v>
      </c>
      <c r="DZ16" s="69">
        <f t="shared" si="46"/>
        <v>0.14373272757780925</v>
      </c>
      <c r="EA16" s="69">
        <f t="shared" si="46"/>
        <v>1.2415355827914089E-2</v>
      </c>
      <c r="EB16" s="69">
        <f t="shared" si="47"/>
        <v>3.2807193363398483E-2</v>
      </c>
      <c r="EC16" s="69">
        <f t="shared" si="47"/>
        <v>7.8943237627110072E-4</v>
      </c>
      <c r="ED16" s="69">
        <f t="shared" si="47"/>
        <v>0.37011214767764983</v>
      </c>
      <c r="EE16" s="69">
        <f t="shared" si="47"/>
        <v>0.39961124881858867</v>
      </c>
      <c r="EF16" s="69">
        <f t="shared" si="47"/>
        <v>1.6263694230611428E-2</v>
      </c>
      <c r="EG16" s="69">
        <f t="shared" si="47"/>
        <v>0</v>
      </c>
      <c r="EH16" s="69">
        <f t="shared" si="47"/>
        <v>7.8990633585210811E-4</v>
      </c>
      <c r="EI16" s="69">
        <f t="shared" si="48"/>
        <v>2.7800673073135274</v>
      </c>
      <c r="EJ16" s="69">
        <f t="shared" si="49"/>
        <v>2.1582211280337678</v>
      </c>
      <c r="EL16" s="23">
        <f t="shared" si="50"/>
        <v>1.9378478673695672</v>
      </c>
      <c r="EM16" s="23">
        <f t="shared" si="51"/>
        <v>8.3772434694856079E-3</v>
      </c>
      <c r="EN16" s="23">
        <f t="shared" si="52"/>
        <v>0.20680467296556646</v>
      </c>
      <c r="EO16" s="23">
        <f t="shared" si="53"/>
        <v>1.7863388839907571E-2</v>
      </c>
      <c r="EP16" s="23">
        <f t="shared" si="54"/>
        <v>7.0805177868375813E-2</v>
      </c>
      <c r="EQ16" s="23">
        <f t="shared" si="55"/>
        <v>1.7037696336221929E-3</v>
      </c>
      <c r="ER16" s="23">
        <f t="shared" si="56"/>
        <v>0.79878385685985787</v>
      </c>
      <c r="ES16" s="23">
        <f t="shared" si="57"/>
        <v>0.86244944020023706</v>
      </c>
      <c r="ET16" s="23">
        <f t="shared" si="58"/>
        <v>7.0201297016772954E-2</v>
      </c>
      <c r="EU16" s="23">
        <f t="shared" si="59"/>
        <v>0</v>
      </c>
      <c r="EV16" s="23">
        <f t="shared" si="60"/>
        <v>1.704792543203757E-3</v>
      </c>
      <c r="EX16" s="14">
        <f t="shared" si="61"/>
        <v>-6.5446081162686296</v>
      </c>
      <c r="EY16" s="4">
        <f t="shared" si="62"/>
        <v>-1.721755805653056</v>
      </c>
      <c r="EZ16" s="4">
        <f t="shared" si="63"/>
        <v>-0.11555467146600625</v>
      </c>
      <c r="FA16" s="4">
        <f t="shared" si="64"/>
        <v>-0.11555467146600625</v>
      </c>
      <c r="FC16" s="4">
        <f t="shared" si="65"/>
        <v>-1.5980244237918662</v>
      </c>
    </row>
    <row r="17" spans="1:159" x14ac:dyDescent="0.2">
      <c r="A17" s="24" t="s">
        <v>94</v>
      </c>
      <c r="B17" s="24" t="s">
        <v>122</v>
      </c>
      <c r="C17" s="98">
        <v>40.668999999999997</v>
      </c>
      <c r="D17" s="98">
        <v>0</v>
      </c>
      <c r="E17" s="90">
        <f t="shared" si="66"/>
        <v>1.4737668031799565E-2</v>
      </c>
      <c r="F17" s="98">
        <v>9.6754228105569474E-3</v>
      </c>
      <c r="G17" s="98">
        <v>9.5530000000000008</v>
      </c>
      <c r="H17" s="98">
        <v>0.14099999999999999</v>
      </c>
      <c r="I17" s="98">
        <v>47.445</v>
      </c>
      <c r="J17" s="92">
        <f t="shared" si="67"/>
        <v>4.6286821980957189E-2</v>
      </c>
      <c r="K17" s="98">
        <v>0</v>
      </c>
      <c r="L17" s="98">
        <v>0</v>
      </c>
      <c r="M17" s="98">
        <v>0.374</v>
      </c>
      <c r="N17" s="105">
        <v>78</v>
      </c>
      <c r="O17" s="123">
        <v>330.81000255948112</v>
      </c>
      <c r="P17" s="11"/>
      <c r="Q17" s="100">
        <v>53.612000000000002</v>
      </c>
      <c r="R17" s="100">
        <v>0.18</v>
      </c>
      <c r="S17" s="100">
        <v>4.1390000000000002</v>
      </c>
      <c r="T17" s="100">
        <v>0.76900000000000002</v>
      </c>
      <c r="U17" s="100">
        <v>2.5289999999999999</v>
      </c>
      <c r="V17" s="100">
        <v>7.8E-2</v>
      </c>
      <c r="W17" s="100">
        <v>15.577999999999999</v>
      </c>
      <c r="X17" s="100">
        <v>21.824999999999999</v>
      </c>
      <c r="Y17" s="100">
        <v>0.72499999999999998</v>
      </c>
      <c r="Z17" s="100">
        <v>0</v>
      </c>
      <c r="AA17" s="100">
        <v>6.8000000000000005E-2</v>
      </c>
      <c r="AC17" s="99">
        <v>53.850499999999997</v>
      </c>
      <c r="AD17" s="99">
        <v>14.707999999999998</v>
      </c>
      <c r="AF17" s="83">
        <f t="shared" si="71"/>
        <v>0.15485120263410565</v>
      </c>
      <c r="AG17" s="22">
        <f t="shared" si="0"/>
        <v>2.7367745948133379E-4</v>
      </c>
      <c r="AH17" s="126">
        <f t="shared" si="68"/>
        <v>966.08335773787894</v>
      </c>
      <c r="AI17" s="126">
        <f t="shared" si="1"/>
        <v>965.93333920676173</v>
      </c>
      <c r="AJ17" s="126">
        <f t="shared" si="2"/>
        <v>0.15001853111721175</v>
      </c>
      <c r="AK17" s="12"/>
      <c r="AL17" s="25">
        <f t="shared" si="69"/>
        <v>1.7729242634901681</v>
      </c>
      <c r="AN17" s="4">
        <v>15.999000000000001</v>
      </c>
      <c r="AO17" s="4">
        <v>28.085000000000001</v>
      </c>
      <c r="AP17" s="4">
        <v>47.866999999999997</v>
      </c>
      <c r="AQ17" s="4">
        <v>26.9815386</v>
      </c>
      <c r="AR17" s="4">
        <v>51.996099999999998</v>
      </c>
      <c r="AS17" s="4">
        <v>55.844999999999999</v>
      </c>
      <c r="AT17" s="4">
        <v>54.938045000000002</v>
      </c>
      <c r="AU17" s="4">
        <v>24.305</v>
      </c>
      <c r="AV17" s="4">
        <v>40.078000000000003</v>
      </c>
      <c r="AW17" s="4">
        <v>22.989769280000001</v>
      </c>
      <c r="AX17" s="4">
        <v>39.098300000000002</v>
      </c>
      <c r="AY17" s="4">
        <v>58.693399999999997</v>
      </c>
      <c r="BA17" s="4">
        <f>AN17*2+AO17</f>
        <v>60.082999999999998</v>
      </c>
      <c r="BB17" s="4">
        <f>AN17*2+AP17</f>
        <v>79.864999999999995</v>
      </c>
      <c r="BC17" s="4">
        <f>AQ17*2+AN17*3</f>
        <v>101.9600772</v>
      </c>
      <c r="BD17" s="4">
        <f>AR17*2+AN17*3</f>
        <v>151.98919999999998</v>
      </c>
      <c r="BE17" s="4">
        <f>AS17+AN17</f>
        <v>71.843999999999994</v>
      </c>
      <c r="BF17" s="4">
        <f>AT17+AN17</f>
        <v>70.937044999999998</v>
      </c>
      <c r="BG17" s="4">
        <f>AU17+AN17</f>
        <v>40.304000000000002</v>
      </c>
      <c r="BH17" s="4">
        <f>AV17+AN17</f>
        <v>56.077000000000005</v>
      </c>
      <c r="BI17" s="4">
        <f>AW17*2+AN17</f>
        <v>61.978538560000004</v>
      </c>
      <c r="BJ17" s="4">
        <f>AX17*2+AN17</f>
        <v>94.195599999999999</v>
      </c>
      <c r="BK17" s="4">
        <f>AY17+AN17</f>
        <v>74.692399999999992</v>
      </c>
      <c r="BM17" s="4">
        <f t="shared" si="3"/>
        <v>0.6768803155634705</v>
      </c>
      <c r="BN17" s="4">
        <f t="shared" si="4"/>
        <v>0</v>
      </c>
      <c r="BO17" s="4">
        <f t="shared" si="5"/>
        <v>1.445435158203231E-4</v>
      </c>
      <c r="BP17" s="4">
        <f t="shared" si="6"/>
        <v>6.3658620550387449E-5</v>
      </c>
      <c r="BQ17" s="4">
        <f t="shared" si="7"/>
        <v>0.13296865430655311</v>
      </c>
      <c r="BR17" s="4">
        <f t="shared" si="8"/>
        <v>1.9876779473968782E-3</v>
      </c>
      <c r="BS17" s="4">
        <f t="shared" si="9"/>
        <v>1.1771784438269155</v>
      </c>
      <c r="BT17" s="4">
        <f t="shared" si="10"/>
        <v>8.2541544627845974E-4</v>
      </c>
      <c r="BU17" s="4">
        <f t="shared" si="11"/>
        <v>0</v>
      </c>
      <c r="BV17" s="4">
        <f t="shared" si="12"/>
        <v>0</v>
      </c>
      <c r="BW17" s="4">
        <f t="shared" si="13"/>
        <v>5.0072028747235337E-3</v>
      </c>
      <c r="BY17" s="4">
        <f t="shared" si="14"/>
        <v>0.6768803155634705</v>
      </c>
      <c r="BZ17" s="4">
        <f t="shared" si="14"/>
        <v>0</v>
      </c>
      <c r="CA17" s="4">
        <f t="shared" si="15"/>
        <v>2.890870316406462E-4</v>
      </c>
      <c r="CB17" s="4">
        <f t="shared" si="15"/>
        <v>1.273172411007749E-4</v>
      </c>
      <c r="CC17" s="4">
        <f t="shared" si="16"/>
        <v>0.13296865430655311</v>
      </c>
      <c r="CD17" s="4">
        <f t="shared" si="16"/>
        <v>1.9876779473968782E-3</v>
      </c>
      <c r="CE17" s="4">
        <f t="shared" si="16"/>
        <v>1.1771784438269155</v>
      </c>
      <c r="CF17" s="4">
        <f t="shared" si="16"/>
        <v>8.2541544627845974E-4</v>
      </c>
      <c r="CG17" s="4">
        <f t="shared" si="17"/>
        <v>0</v>
      </c>
      <c r="CH17" s="4">
        <f t="shared" si="17"/>
        <v>0</v>
      </c>
      <c r="CI17" s="4">
        <f>BW17</f>
        <v>5.0072028747235337E-3</v>
      </c>
      <c r="CK17" s="69">
        <f t="shared" si="18"/>
        <v>1.353760631126941</v>
      </c>
      <c r="CL17" s="69">
        <f t="shared" si="18"/>
        <v>0</v>
      </c>
      <c r="CM17" s="69">
        <f t="shared" si="19"/>
        <v>4.3363054746096931E-4</v>
      </c>
      <c r="CN17" s="69">
        <f t="shared" si="19"/>
        <v>1.9097586165116233E-4</v>
      </c>
      <c r="CO17" s="69">
        <f t="shared" si="20"/>
        <v>0.13296865430655311</v>
      </c>
      <c r="CP17" s="69">
        <f t="shared" si="20"/>
        <v>1.9876779473968782E-3</v>
      </c>
      <c r="CQ17" s="69">
        <f t="shared" si="20"/>
        <v>1.1771784438269155</v>
      </c>
      <c r="CR17" s="69">
        <f t="shared" si="20"/>
        <v>8.2541544627845974E-4</v>
      </c>
      <c r="CS17" s="69">
        <f t="shared" si="20"/>
        <v>0</v>
      </c>
      <c r="CT17" s="69">
        <f t="shared" si="20"/>
        <v>0</v>
      </c>
      <c r="CU17" s="69">
        <f t="shared" si="20"/>
        <v>5.0072028747235337E-3</v>
      </c>
      <c r="CV17" s="69">
        <f t="shared" si="21"/>
        <v>2.6723526319379207</v>
      </c>
      <c r="CW17" s="16">
        <f t="shared" si="22"/>
        <v>1.4968084496765324</v>
      </c>
      <c r="CY17" s="23">
        <f t="shared" si="23"/>
        <v>1.0131601757551203</v>
      </c>
      <c r="CZ17" s="23">
        <f t="shared" si="24"/>
        <v>0</v>
      </c>
      <c r="DA17" s="23">
        <f t="shared" si="25"/>
        <v>4.3270791165162632E-4</v>
      </c>
      <c r="DB17" s="23">
        <f t="shared" si="26"/>
        <v>1.9056952226914416E-4</v>
      </c>
      <c r="DC17" s="23">
        <f t="shared" si="27"/>
        <v>0.19902860530816652</v>
      </c>
      <c r="DD17" s="23">
        <f t="shared" si="28"/>
        <v>2.9751731468993532E-3</v>
      </c>
      <c r="DE17" s="23">
        <f t="shared" si="29"/>
        <v>1.7620106414971983</v>
      </c>
      <c r="DF17" s="23">
        <f t="shared" si="30"/>
        <v>1.2354888144831245E-3</v>
      </c>
      <c r="DG17" s="23">
        <f t="shared" si="31"/>
        <v>0</v>
      </c>
      <c r="DH17" s="23">
        <f t="shared" si="32"/>
        <v>0</v>
      </c>
      <c r="DI17" s="23">
        <f t="shared" si="33"/>
        <v>7.4948235721308083E-3</v>
      </c>
      <c r="DJ17" s="16">
        <f t="shared" si="34"/>
        <v>0.89850860678469624</v>
      </c>
      <c r="DL17" s="4">
        <f t="shared" si="35"/>
        <v>0.89229898640214378</v>
      </c>
      <c r="DM17" s="4">
        <f t="shared" si="36"/>
        <v>2.2538032930570339E-3</v>
      </c>
      <c r="DN17" s="4">
        <f t="shared" si="37"/>
        <v>4.059431998939287E-2</v>
      </c>
      <c r="DO17" s="4">
        <f t="shared" si="38"/>
        <v>5.0595700220805173E-3</v>
      </c>
      <c r="DP17" s="4">
        <f t="shared" si="39"/>
        <v>3.5201269417070323E-2</v>
      </c>
      <c r="DQ17" s="4">
        <f t="shared" si="40"/>
        <v>1.0995665240918903E-3</v>
      </c>
      <c r="DR17" s="4">
        <f t="shared" si="41"/>
        <v>0.38651250496228656</v>
      </c>
      <c r="DS17" s="4">
        <f t="shared" si="42"/>
        <v>0.38919699698628668</v>
      </c>
      <c r="DT17" s="4">
        <f t="shared" si="43"/>
        <v>1.1697597536898099E-2</v>
      </c>
      <c r="DU17" s="4">
        <f t="shared" si="44"/>
        <v>0</v>
      </c>
      <c r="DV17" s="4">
        <f t="shared" si="45"/>
        <v>9.1040052267700607E-4</v>
      </c>
      <c r="DX17" s="69">
        <f t="shared" si="70"/>
        <v>1.7845979728042876</v>
      </c>
      <c r="DY17" s="69">
        <f t="shared" si="70"/>
        <v>4.5076065861140678E-3</v>
      </c>
      <c r="DZ17" s="69">
        <f t="shared" si="46"/>
        <v>0.12178295996817862</v>
      </c>
      <c r="EA17" s="69">
        <f t="shared" si="46"/>
        <v>1.5178710066241552E-2</v>
      </c>
      <c r="EB17" s="69">
        <f t="shared" si="47"/>
        <v>3.5201269417070323E-2</v>
      </c>
      <c r="EC17" s="69">
        <f t="shared" si="47"/>
        <v>1.0995665240918903E-3</v>
      </c>
      <c r="ED17" s="69">
        <f t="shared" si="47"/>
        <v>0.38651250496228656</v>
      </c>
      <c r="EE17" s="69">
        <f t="shared" si="47"/>
        <v>0.38919699698628668</v>
      </c>
      <c r="EF17" s="69">
        <f t="shared" si="47"/>
        <v>1.1697597536898099E-2</v>
      </c>
      <c r="EG17" s="69">
        <f t="shared" si="47"/>
        <v>0</v>
      </c>
      <c r="EH17" s="69">
        <f t="shared" si="47"/>
        <v>9.1040052267700607E-4</v>
      </c>
      <c r="EI17" s="69">
        <f t="shared" si="48"/>
        <v>2.7506855853741317</v>
      </c>
      <c r="EJ17" s="69">
        <f t="shared" si="49"/>
        <v>2.1812743818861131</v>
      </c>
      <c r="EL17" s="23">
        <f t="shared" si="50"/>
        <v>1.9463489200219415</v>
      </c>
      <c r="EM17" s="23">
        <f t="shared" si="51"/>
        <v>4.9161633849558678E-3</v>
      </c>
      <c r="EN17" s="23">
        <f t="shared" si="52"/>
        <v>0.17709470048590004</v>
      </c>
      <c r="EO17" s="23">
        <f t="shared" si="53"/>
        <v>2.2072620945046376E-2</v>
      </c>
      <c r="EP17" s="23">
        <f t="shared" si="54"/>
        <v>7.6783627189326603E-2</v>
      </c>
      <c r="EQ17" s="23">
        <f t="shared" si="55"/>
        <v>2.3984562901812E-3</v>
      </c>
      <c r="ER17" s="23">
        <f t="shared" si="56"/>
        <v>0.84308982535286481</v>
      </c>
      <c r="ES17" s="23">
        <f t="shared" si="57"/>
        <v>0.84894543903319386</v>
      </c>
      <c r="ET17" s="23">
        <f t="shared" si="58"/>
        <v>5.1031339673699841E-2</v>
      </c>
      <c r="EU17" s="23">
        <f t="shared" si="59"/>
        <v>0</v>
      </c>
      <c r="EV17" s="23">
        <f t="shared" si="60"/>
        <v>1.9858333373710805E-3</v>
      </c>
      <c r="EX17" s="14">
        <f t="shared" si="61"/>
        <v>-6.5325282262954767</v>
      </c>
      <c r="EY17" s="4">
        <f t="shared" si="62"/>
        <v>1.0417045028281362</v>
      </c>
      <c r="EZ17" s="4">
        <f t="shared" si="63"/>
        <v>1.7729242634901681</v>
      </c>
      <c r="FA17" s="4">
        <f t="shared" si="64"/>
        <v>1.7729242634901681</v>
      </c>
      <c r="FC17" s="4">
        <f t="shared" si="65"/>
        <v>1.6689413010281815</v>
      </c>
    </row>
    <row r="18" spans="1:159" x14ac:dyDescent="0.2">
      <c r="A18" s="24" t="s">
        <v>95</v>
      </c>
      <c r="B18" s="24" t="s">
        <v>122</v>
      </c>
      <c r="C18" s="98">
        <v>40.587000000000003</v>
      </c>
      <c r="D18" s="98">
        <v>0</v>
      </c>
      <c r="E18" s="90">
        <f t="shared" si="66"/>
        <v>1.347174013676037E-2</v>
      </c>
      <c r="F18" s="98">
        <v>5.071558482270787E-3</v>
      </c>
      <c r="G18" s="98">
        <v>10.077</v>
      </c>
      <c r="H18" s="98">
        <v>0.157</v>
      </c>
      <c r="I18" s="98">
        <v>47.664000000000001</v>
      </c>
      <c r="J18" s="92">
        <f t="shared" si="67"/>
        <v>3.6821131548950697E-2</v>
      </c>
      <c r="K18" s="98">
        <v>0</v>
      </c>
      <c r="L18" s="98">
        <v>0</v>
      </c>
      <c r="M18" s="98">
        <v>0.42499999999999999</v>
      </c>
      <c r="N18" s="105">
        <v>71.3</v>
      </c>
      <c r="O18" s="123">
        <v>263.15910448469896</v>
      </c>
      <c r="P18" s="11"/>
      <c r="Q18" s="100">
        <v>52.655000000000001</v>
      </c>
      <c r="R18" s="100">
        <v>0.63800000000000001</v>
      </c>
      <c r="S18" s="100">
        <v>6.7629999999999999</v>
      </c>
      <c r="T18" s="100">
        <v>0.82599999999999996</v>
      </c>
      <c r="U18" s="100">
        <v>2.6480000000000001</v>
      </c>
      <c r="V18" s="100">
        <v>7.8E-2</v>
      </c>
      <c r="W18" s="100">
        <v>14.1</v>
      </c>
      <c r="X18" s="100">
        <v>19.574999999999999</v>
      </c>
      <c r="Y18" s="100">
        <v>1.786</v>
      </c>
      <c r="Z18" s="100">
        <v>0</v>
      </c>
      <c r="AA18" s="100">
        <v>6.6000000000000003E-2</v>
      </c>
      <c r="AC18" s="99">
        <v>60.066374999999994</v>
      </c>
      <c r="AD18" s="99">
        <v>8.7909999999999986</v>
      </c>
      <c r="AF18" s="83">
        <f t="shared" si="71"/>
        <v>8.9402719492538738E-2</v>
      </c>
      <c r="AG18" s="22">
        <f t="shared" si="0"/>
        <v>2.2428089154306999E-4</v>
      </c>
      <c r="AH18" s="126">
        <f t="shared" si="68"/>
        <v>947.82616876100565</v>
      </c>
      <c r="AI18" s="126">
        <f t="shared" si="1"/>
        <v>947.67543656425073</v>
      </c>
      <c r="AJ18" s="126">
        <f t="shared" si="2"/>
        <v>0.150732196754916</v>
      </c>
      <c r="AK18" s="12"/>
      <c r="AL18" s="25">
        <f t="shared" si="69"/>
        <v>1.9021374718436204</v>
      </c>
      <c r="AN18" s="4">
        <v>15.999000000000001</v>
      </c>
      <c r="AO18" s="4">
        <v>28.085000000000001</v>
      </c>
      <c r="AP18" s="4">
        <v>47.866999999999997</v>
      </c>
      <c r="AQ18" s="4">
        <v>26.9815386</v>
      </c>
      <c r="AR18" s="4">
        <v>51.996099999999998</v>
      </c>
      <c r="AS18" s="4">
        <v>55.844999999999999</v>
      </c>
      <c r="AT18" s="4">
        <v>54.938045000000002</v>
      </c>
      <c r="AU18" s="4">
        <v>24.305</v>
      </c>
      <c r="AV18" s="4">
        <v>40.078000000000003</v>
      </c>
      <c r="AW18" s="4">
        <v>22.989769280000001</v>
      </c>
      <c r="AX18" s="4">
        <v>39.098300000000002</v>
      </c>
      <c r="AY18" s="4">
        <v>58.693399999999997</v>
      </c>
      <c r="BA18" s="4">
        <f>AN18*2+AO18</f>
        <v>60.082999999999998</v>
      </c>
      <c r="BB18" s="4">
        <f>AN18*2+AP18</f>
        <v>79.864999999999995</v>
      </c>
      <c r="BC18" s="4">
        <f>AQ18*2+AN18*3</f>
        <v>101.9600772</v>
      </c>
      <c r="BD18" s="4">
        <f>AR18*2+AN18*3</f>
        <v>151.98919999999998</v>
      </c>
      <c r="BE18" s="4">
        <f>AS18+AN18</f>
        <v>71.843999999999994</v>
      </c>
      <c r="BF18" s="4">
        <f>AT18+AN18</f>
        <v>70.937044999999998</v>
      </c>
      <c r="BG18" s="4">
        <f>AU18+AN18</f>
        <v>40.304000000000002</v>
      </c>
      <c r="BH18" s="4">
        <f>AV18+AN18</f>
        <v>56.077000000000005</v>
      </c>
      <c r="BI18" s="4">
        <f>AW18*2+AN18</f>
        <v>61.978538560000004</v>
      </c>
      <c r="BJ18" s="4">
        <f>AX18*2+AN18</f>
        <v>94.195599999999999</v>
      </c>
      <c r="BK18" s="4">
        <f>AY18+AN18</f>
        <v>74.692399999999992</v>
      </c>
      <c r="BM18" s="4">
        <f t="shared" si="3"/>
        <v>0.67551553684070376</v>
      </c>
      <c r="BN18" s="4">
        <f t="shared" si="4"/>
        <v>0</v>
      </c>
      <c r="BO18" s="4">
        <f t="shared" si="5"/>
        <v>1.3212759843575687E-4</v>
      </c>
      <c r="BP18" s="4">
        <f t="shared" si="6"/>
        <v>3.3367887206925149E-5</v>
      </c>
      <c r="BQ18" s="4">
        <f t="shared" si="7"/>
        <v>0.14026223484215802</v>
      </c>
      <c r="BR18" s="4">
        <f t="shared" si="8"/>
        <v>2.2132300549029074E-3</v>
      </c>
      <c r="BS18" s="4">
        <f t="shared" si="9"/>
        <v>1.1826121476776499</v>
      </c>
      <c r="BT18" s="4">
        <f t="shared" si="10"/>
        <v>6.566173573648857E-4</v>
      </c>
      <c r="BU18" s="4">
        <f t="shared" si="11"/>
        <v>0</v>
      </c>
      <c r="BV18" s="4">
        <f t="shared" si="12"/>
        <v>0</v>
      </c>
      <c r="BW18" s="4">
        <f t="shared" si="13"/>
        <v>5.690003266731288E-3</v>
      </c>
      <c r="BY18" s="4">
        <f t="shared" si="14"/>
        <v>0.67551553684070376</v>
      </c>
      <c r="BZ18" s="4">
        <f t="shared" si="14"/>
        <v>0</v>
      </c>
      <c r="CA18" s="4">
        <f t="shared" si="15"/>
        <v>2.6425519687151374E-4</v>
      </c>
      <c r="CB18" s="4">
        <f t="shared" si="15"/>
        <v>6.6735774413850297E-5</v>
      </c>
      <c r="CC18" s="4">
        <f t="shared" si="16"/>
        <v>0.14026223484215802</v>
      </c>
      <c r="CD18" s="4">
        <f t="shared" si="16"/>
        <v>2.2132300549029074E-3</v>
      </c>
      <c r="CE18" s="4">
        <f t="shared" si="16"/>
        <v>1.1826121476776499</v>
      </c>
      <c r="CF18" s="4">
        <f t="shared" si="16"/>
        <v>6.566173573648857E-4</v>
      </c>
      <c r="CG18" s="4">
        <f t="shared" si="17"/>
        <v>0</v>
      </c>
      <c r="CH18" s="4">
        <f t="shared" si="17"/>
        <v>0</v>
      </c>
      <c r="CI18" s="4">
        <f>BW18</f>
        <v>5.690003266731288E-3</v>
      </c>
      <c r="CK18" s="69">
        <f t="shared" si="18"/>
        <v>1.3510310736814075</v>
      </c>
      <c r="CL18" s="69">
        <f t="shared" si="18"/>
        <v>0</v>
      </c>
      <c r="CM18" s="69">
        <f t="shared" si="19"/>
        <v>3.9638279530727059E-4</v>
      </c>
      <c r="CN18" s="69">
        <f t="shared" si="19"/>
        <v>1.0010366162077545E-4</v>
      </c>
      <c r="CO18" s="69">
        <f t="shared" si="20"/>
        <v>0.14026223484215802</v>
      </c>
      <c r="CP18" s="69">
        <f t="shared" si="20"/>
        <v>2.2132300549029074E-3</v>
      </c>
      <c r="CQ18" s="69">
        <f t="shared" si="20"/>
        <v>1.1826121476776499</v>
      </c>
      <c r="CR18" s="69">
        <f t="shared" si="20"/>
        <v>6.566173573648857E-4</v>
      </c>
      <c r="CS18" s="69">
        <f t="shared" si="20"/>
        <v>0</v>
      </c>
      <c r="CT18" s="69">
        <f t="shared" si="20"/>
        <v>0</v>
      </c>
      <c r="CU18" s="69">
        <f t="shared" si="20"/>
        <v>5.690003266731288E-3</v>
      </c>
      <c r="CV18" s="69">
        <f t="shared" si="21"/>
        <v>2.6829617933371428</v>
      </c>
      <c r="CW18" s="16">
        <f t="shared" si="22"/>
        <v>1.4908896615425478</v>
      </c>
      <c r="CY18" s="23">
        <f t="shared" si="23"/>
        <v>1.0071191300871694</v>
      </c>
      <c r="CZ18" s="23">
        <f t="shared" si="24"/>
        <v>0</v>
      </c>
      <c r="DA18" s="23">
        <f t="shared" si="25"/>
        <v>3.9397534102463043E-4</v>
      </c>
      <c r="DB18" s="23">
        <f t="shared" si="26"/>
        <v>9.9495676128645092E-5</v>
      </c>
      <c r="DC18" s="23">
        <f t="shared" si="27"/>
        <v>0.20911551583102633</v>
      </c>
      <c r="DD18" s="23">
        <f t="shared" si="28"/>
        <v>3.2996818074699898E-3</v>
      </c>
      <c r="DE18" s="23">
        <f t="shared" si="29"/>
        <v>1.7631442245872369</v>
      </c>
      <c r="DF18" s="23">
        <f t="shared" si="30"/>
        <v>9.7894402968469658E-4</v>
      </c>
      <c r="DG18" s="23">
        <f t="shared" si="31"/>
        <v>0</v>
      </c>
      <c r="DH18" s="23">
        <f t="shared" si="32"/>
        <v>0</v>
      </c>
      <c r="DI18" s="23">
        <f t="shared" si="33"/>
        <v>8.4831670445130007E-3</v>
      </c>
      <c r="DJ18" s="16">
        <f t="shared" si="34"/>
        <v>0.89397161461771835</v>
      </c>
      <c r="DL18" s="4">
        <f t="shared" si="35"/>
        <v>0.87637102008887713</v>
      </c>
      <c r="DM18" s="4">
        <f t="shared" si="36"/>
        <v>7.9884805609465974E-3</v>
      </c>
      <c r="DN18" s="4">
        <f t="shared" si="37"/>
        <v>6.632988308486687E-2</v>
      </c>
      <c r="DO18" s="4">
        <f t="shared" si="38"/>
        <v>5.4345966687106718E-3</v>
      </c>
      <c r="DP18" s="4">
        <f t="shared" si="39"/>
        <v>3.6857635989087471E-2</v>
      </c>
      <c r="DQ18" s="4">
        <f t="shared" si="40"/>
        <v>1.0995665240918903E-3</v>
      </c>
      <c r="DR18" s="4">
        <f t="shared" si="41"/>
        <v>0.34984120682810638</v>
      </c>
      <c r="DS18" s="4">
        <f t="shared" si="42"/>
        <v>0.3490735952351231</v>
      </c>
      <c r="DT18" s="4">
        <f t="shared" si="43"/>
        <v>2.8816426484000013E-2</v>
      </c>
      <c r="DU18" s="4">
        <f t="shared" si="44"/>
        <v>0</v>
      </c>
      <c r="DV18" s="4">
        <f t="shared" si="45"/>
        <v>8.836240367159177E-4</v>
      </c>
      <c r="DX18" s="69">
        <f t="shared" si="70"/>
        <v>1.7527420401777543</v>
      </c>
      <c r="DY18" s="69">
        <f t="shared" si="70"/>
        <v>1.5976961121893195E-2</v>
      </c>
      <c r="DZ18" s="69">
        <f t="shared" si="46"/>
        <v>0.19898964925460061</v>
      </c>
      <c r="EA18" s="69">
        <f t="shared" si="46"/>
        <v>1.6303790006132017E-2</v>
      </c>
      <c r="EB18" s="69">
        <f t="shared" si="47"/>
        <v>3.6857635989087471E-2</v>
      </c>
      <c r="EC18" s="69">
        <f t="shared" si="47"/>
        <v>1.0995665240918903E-3</v>
      </c>
      <c r="ED18" s="69">
        <f t="shared" si="47"/>
        <v>0.34984120682810638</v>
      </c>
      <c r="EE18" s="69">
        <f t="shared" si="47"/>
        <v>0.3490735952351231</v>
      </c>
      <c r="EF18" s="69">
        <f t="shared" si="47"/>
        <v>2.8816426484000013E-2</v>
      </c>
      <c r="EG18" s="69">
        <f t="shared" si="47"/>
        <v>0</v>
      </c>
      <c r="EH18" s="69">
        <f t="shared" si="47"/>
        <v>8.836240367159177E-4</v>
      </c>
      <c r="EI18" s="69">
        <f t="shared" si="48"/>
        <v>2.7505844956575052</v>
      </c>
      <c r="EJ18" s="69">
        <f t="shared" si="49"/>
        <v>2.1813545482687484</v>
      </c>
      <c r="EL18" s="23">
        <f t="shared" si="50"/>
        <v>1.9116759106417949</v>
      </c>
      <c r="EM18" s="23">
        <f t="shared" si="51"/>
        <v>1.7425708405377344E-2</v>
      </c>
      <c r="EN18" s="23">
        <f t="shared" si="52"/>
        <v>0.28937798430661732</v>
      </c>
      <c r="EO18" s="23">
        <f t="shared" si="53"/>
        <v>2.3709564322596424E-2</v>
      </c>
      <c r="EP18" s="23">
        <f t="shared" si="54"/>
        <v>8.0399571903229869E-2</v>
      </c>
      <c r="EQ18" s="23">
        <f t="shared" si="55"/>
        <v>2.3985444384519031E-3</v>
      </c>
      <c r="ER18" s="23">
        <f t="shared" si="56"/>
        <v>0.76312770768631777</v>
      </c>
      <c r="ES18" s="23">
        <f t="shared" si="57"/>
        <v>0.76145327464665991</v>
      </c>
      <c r="ET18" s="23">
        <f t="shared" si="58"/>
        <v>0.12571768595145089</v>
      </c>
      <c r="EU18" s="23">
        <f t="shared" si="59"/>
        <v>0</v>
      </c>
      <c r="EV18" s="23">
        <f t="shared" si="60"/>
        <v>1.9274973114498585E-3</v>
      </c>
      <c r="EX18" s="14">
        <f t="shared" si="61"/>
        <v>-6.6565096198193174</v>
      </c>
      <c r="EY18" s="4">
        <f t="shared" si="62"/>
        <v>0.9815366649680175</v>
      </c>
      <c r="EZ18" s="4">
        <f t="shared" si="63"/>
        <v>1.9021374718436204</v>
      </c>
      <c r="FA18" s="4">
        <f t="shared" si="64"/>
        <v>1.9021374718436204</v>
      </c>
      <c r="FC18" s="4">
        <f t="shared" si="65"/>
        <v>2.0532233541049494</v>
      </c>
    </row>
    <row r="19" spans="1:159" x14ac:dyDescent="0.2">
      <c r="A19" s="24" t="s">
        <v>96</v>
      </c>
      <c r="B19" s="24" t="s">
        <v>122</v>
      </c>
      <c r="C19" s="98">
        <v>41.345500000000001</v>
      </c>
      <c r="D19" s="98">
        <v>0</v>
      </c>
      <c r="E19" s="90">
        <f t="shared" si="66"/>
        <v>4.9314504567944707E-3</v>
      </c>
      <c r="F19" s="98">
        <v>2.4553943084192854E-3</v>
      </c>
      <c r="G19" s="98">
        <v>9.3030000000000008</v>
      </c>
      <c r="H19" s="98">
        <v>0.11899999999999999</v>
      </c>
      <c r="I19" s="98">
        <v>48.461500000000001</v>
      </c>
      <c r="J19" s="92">
        <f t="shared" si="67"/>
        <v>4.9771653022231258E-2</v>
      </c>
      <c r="K19" s="98">
        <v>0</v>
      </c>
      <c r="L19" s="98">
        <v>0</v>
      </c>
      <c r="M19" s="98">
        <v>0.35899999999999999</v>
      </c>
      <c r="N19" s="105">
        <v>26.1</v>
      </c>
      <c r="O19" s="123">
        <v>355.71594590027723</v>
      </c>
      <c r="P19" s="11"/>
      <c r="Q19" s="100">
        <v>52.048999999999999</v>
      </c>
      <c r="R19" s="100">
        <v>0.17399999999999999</v>
      </c>
      <c r="S19" s="100">
        <v>4.7069999999999999</v>
      </c>
      <c r="T19" s="100">
        <v>0.83199999999999996</v>
      </c>
      <c r="U19" s="100">
        <v>2.1589999999999998</v>
      </c>
      <c r="V19" s="100">
        <v>7.3999999999999996E-2</v>
      </c>
      <c r="W19" s="100">
        <v>15.047000000000001</v>
      </c>
      <c r="X19" s="100">
        <v>22.271999999999998</v>
      </c>
      <c r="Y19" s="100">
        <v>0.95799999999999996</v>
      </c>
      <c r="Z19" s="100">
        <v>0</v>
      </c>
      <c r="AA19" s="100">
        <v>4.2999999999999997E-2</v>
      </c>
      <c r="AC19" s="99">
        <v>54.285999999999994</v>
      </c>
      <c r="AD19" s="99">
        <v>14.0335</v>
      </c>
      <c r="AF19" s="83">
        <f t="shared" si="71"/>
        <v>0.14778920455429109</v>
      </c>
      <c r="AG19" s="22">
        <f t="shared" si="0"/>
        <v>9.0842030298686054E-5</v>
      </c>
      <c r="AH19" s="126">
        <f t="shared" si="68"/>
        <v>831.54811534354417</v>
      </c>
      <c r="AI19" s="126">
        <f t="shared" si="1"/>
        <v>831.39910030074589</v>
      </c>
      <c r="AJ19" s="126">
        <f t="shared" si="2"/>
        <v>0.14901504279828259</v>
      </c>
      <c r="AK19" s="12"/>
      <c r="AL19" s="25">
        <f t="shared" si="69"/>
        <v>4.5838901285097725E-2</v>
      </c>
      <c r="AN19" s="4">
        <v>15.999000000000001</v>
      </c>
      <c r="AO19" s="4">
        <v>28.085000000000001</v>
      </c>
      <c r="AP19" s="4">
        <v>47.866999999999997</v>
      </c>
      <c r="AQ19" s="4">
        <v>26.9815386</v>
      </c>
      <c r="AR19" s="4">
        <v>51.996099999999998</v>
      </c>
      <c r="AS19" s="4">
        <v>55.844999999999999</v>
      </c>
      <c r="AT19" s="4">
        <v>54.938045000000002</v>
      </c>
      <c r="AU19" s="4">
        <v>24.305</v>
      </c>
      <c r="AV19" s="4">
        <v>40.078000000000003</v>
      </c>
      <c r="AW19" s="4">
        <v>22.989769280000001</v>
      </c>
      <c r="AX19" s="4">
        <v>39.098300000000002</v>
      </c>
      <c r="AY19" s="4">
        <v>58.693399999999997</v>
      </c>
      <c r="BA19" s="4">
        <f t="shared" ref="BA19:BA20" si="72">AN19*2+AO19</f>
        <v>60.082999999999998</v>
      </c>
      <c r="BB19" s="4">
        <f t="shared" ref="BB19:BB20" si="73">AN19*2+AP19</f>
        <v>79.864999999999995</v>
      </c>
      <c r="BC19" s="4">
        <f t="shared" ref="BC19:BC20" si="74">AQ19*2+AN19*3</f>
        <v>101.9600772</v>
      </c>
      <c r="BD19" s="4">
        <f t="shared" ref="BD19:BD20" si="75">AR19*2+AN19*3</f>
        <v>151.98919999999998</v>
      </c>
      <c r="BE19" s="4">
        <f t="shared" ref="BE19:BE20" si="76">AS19+AN19</f>
        <v>71.843999999999994</v>
      </c>
      <c r="BF19" s="4">
        <f t="shared" ref="BF19:BF20" si="77">AT19+AN19</f>
        <v>70.937044999999998</v>
      </c>
      <c r="BG19" s="4">
        <f t="shared" ref="BG19:BG20" si="78">AU19+AN19</f>
        <v>40.304000000000002</v>
      </c>
      <c r="BH19" s="4">
        <f t="shared" ref="BH19:BH20" si="79">AV19+AN19</f>
        <v>56.077000000000005</v>
      </c>
      <c r="BI19" s="4">
        <f t="shared" ref="BI19:BI20" si="80">AW19*2+AN19</f>
        <v>61.978538560000004</v>
      </c>
      <c r="BJ19" s="4">
        <f t="shared" ref="BJ19:BJ20" si="81">AX19*2+AN19</f>
        <v>94.195599999999999</v>
      </c>
      <c r="BK19" s="4">
        <f t="shared" ref="BK19:BK20" si="82">AY19+AN19</f>
        <v>74.692399999999992</v>
      </c>
      <c r="BM19" s="4">
        <f t="shared" si="3"/>
        <v>0.68813974002629696</v>
      </c>
      <c r="BN19" s="4">
        <f t="shared" si="4"/>
        <v>0</v>
      </c>
      <c r="BO19" s="4">
        <f t="shared" si="5"/>
        <v>4.8366484139877355E-5</v>
      </c>
      <c r="BP19" s="4">
        <f t="shared" si="6"/>
        <v>1.6155057783179893E-5</v>
      </c>
      <c r="BQ19" s="4">
        <f t="shared" si="7"/>
        <v>0.12948889260063473</v>
      </c>
      <c r="BR19" s="4">
        <f t="shared" si="8"/>
        <v>1.6775437995760888E-3</v>
      </c>
      <c r="BS19" s="4">
        <f t="shared" si="9"/>
        <v>1.2023992655815801</v>
      </c>
      <c r="BT19" s="4">
        <f t="shared" si="10"/>
        <v>8.8755912445799979E-4</v>
      </c>
      <c r="BU19" s="4">
        <f t="shared" si="11"/>
        <v>0</v>
      </c>
      <c r="BV19" s="4">
        <f t="shared" si="12"/>
        <v>0</v>
      </c>
      <c r="BW19" s="4">
        <f t="shared" si="13"/>
        <v>4.80637923001537E-3</v>
      </c>
      <c r="BY19" s="4">
        <f t="shared" si="14"/>
        <v>0.68813974002629696</v>
      </c>
      <c r="BZ19" s="4">
        <f t="shared" si="14"/>
        <v>0</v>
      </c>
      <c r="CA19" s="4">
        <f t="shared" si="15"/>
        <v>9.6732968279754711E-5</v>
      </c>
      <c r="CB19" s="4">
        <f t="shared" si="15"/>
        <v>3.2310115566359787E-5</v>
      </c>
      <c r="CC19" s="4">
        <f t="shared" si="16"/>
        <v>0.12948889260063473</v>
      </c>
      <c r="CD19" s="4">
        <f t="shared" si="16"/>
        <v>1.6775437995760888E-3</v>
      </c>
      <c r="CE19" s="4">
        <f t="shared" si="16"/>
        <v>1.2023992655815801</v>
      </c>
      <c r="CF19" s="4">
        <f t="shared" si="16"/>
        <v>8.8755912445799979E-4</v>
      </c>
      <c r="CG19" s="4">
        <f t="shared" si="17"/>
        <v>0</v>
      </c>
      <c r="CH19" s="4">
        <f t="shared" si="17"/>
        <v>0</v>
      </c>
      <c r="CI19" s="4">
        <f t="shared" ref="CI19:CI20" si="83">BW19</f>
        <v>4.80637923001537E-3</v>
      </c>
      <c r="CK19" s="69">
        <f t="shared" si="18"/>
        <v>1.3762794800525939</v>
      </c>
      <c r="CL19" s="69">
        <f t="shared" si="18"/>
        <v>0</v>
      </c>
      <c r="CM19" s="69">
        <f t="shared" si="19"/>
        <v>1.4509945241963207E-4</v>
      </c>
      <c r="CN19" s="69">
        <f t="shared" si="19"/>
        <v>4.8465173349539683E-5</v>
      </c>
      <c r="CO19" s="69">
        <f t="shared" si="20"/>
        <v>0.12948889260063473</v>
      </c>
      <c r="CP19" s="69">
        <f t="shared" si="20"/>
        <v>1.6775437995760888E-3</v>
      </c>
      <c r="CQ19" s="69">
        <f t="shared" si="20"/>
        <v>1.2023992655815801</v>
      </c>
      <c r="CR19" s="69">
        <f t="shared" si="20"/>
        <v>8.8755912445799979E-4</v>
      </c>
      <c r="CS19" s="69">
        <f t="shared" si="20"/>
        <v>0</v>
      </c>
      <c r="CT19" s="69">
        <f t="shared" si="20"/>
        <v>0</v>
      </c>
      <c r="CU19" s="69">
        <f t="shared" si="20"/>
        <v>4.80637923001537E-3</v>
      </c>
      <c r="CV19" s="69">
        <f t="shared" si="21"/>
        <v>2.7157326850146273</v>
      </c>
      <c r="CW19" s="16">
        <f t="shared" si="22"/>
        <v>1.4728990161925513</v>
      </c>
      <c r="CY19" s="23">
        <f t="shared" si="23"/>
        <v>1.0135603460877307</v>
      </c>
      <c r="CZ19" s="23">
        <f t="shared" si="24"/>
        <v>0</v>
      </c>
      <c r="DA19" s="23">
        <f t="shared" si="25"/>
        <v>1.4247789381263598E-4</v>
      </c>
      <c r="DB19" s="23">
        <f t="shared" si="26"/>
        <v>4.7589537430758968E-5</v>
      </c>
      <c r="DC19" s="23">
        <f t="shared" si="27"/>
        <v>0.19072406251933782</v>
      </c>
      <c r="DD19" s="23">
        <f t="shared" si="28"/>
        <v>2.4708526120155354E-3</v>
      </c>
      <c r="DE19" s="23">
        <f t="shared" si="29"/>
        <v>1.7710126953457554</v>
      </c>
      <c r="DF19" s="23">
        <f t="shared" si="30"/>
        <v>1.3072849612269101E-3</v>
      </c>
      <c r="DG19" s="23">
        <f t="shared" si="31"/>
        <v>0</v>
      </c>
      <c r="DH19" s="23">
        <f t="shared" si="32"/>
        <v>0</v>
      </c>
      <c r="DI19" s="23">
        <f t="shared" si="33"/>
        <v>7.0793112393379501E-3</v>
      </c>
      <c r="DJ19" s="16">
        <f t="shared" si="34"/>
        <v>0.90277795338509237</v>
      </c>
      <c r="DL19" s="4">
        <f t="shared" si="35"/>
        <v>0.86628497245477087</v>
      </c>
      <c r="DM19" s="4">
        <f t="shared" si="36"/>
        <v>2.1786765166217992E-3</v>
      </c>
      <c r="DN19" s="4">
        <f t="shared" si="37"/>
        <v>4.6165127854571691E-2</v>
      </c>
      <c r="DO19" s="4">
        <f t="shared" si="38"/>
        <v>5.474073157829636E-3</v>
      </c>
      <c r="DP19" s="4">
        <f t="shared" si="39"/>
        <v>3.005122209231112E-2</v>
      </c>
      <c r="DQ19" s="4">
        <f t="shared" si="40"/>
        <v>1.0431784972153831E-3</v>
      </c>
      <c r="DR19" s="4">
        <f t="shared" si="41"/>
        <v>0.3733376339817388</v>
      </c>
      <c r="DS19" s="4">
        <f t="shared" si="42"/>
        <v>0.39716817946751781</v>
      </c>
      <c r="DT19" s="4">
        <f t="shared" si="43"/>
        <v>1.5456963365997766E-2</v>
      </c>
      <c r="DU19" s="4">
        <f t="shared" si="44"/>
        <v>0</v>
      </c>
      <c r="DV19" s="4">
        <f t="shared" si="45"/>
        <v>5.7569444816340089E-4</v>
      </c>
      <c r="DX19" s="69">
        <f t="shared" si="70"/>
        <v>1.7325699449095417</v>
      </c>
      <c r="DY19" s="69">
        <f t="shared" si="70"/>
        <v>4.3573530332435984E-3</v>
      </c>
      <c r="DZ19" s="69">
        <f t="shared" si="46"/>
        <v>0.13849538356371507</v>
      </c>
      <c r="EA19" s="69">
        <f t="shared" si="46"/>
        <v>1.642221947348891E-2</v>
      </c>
      <c r="EB19" s="69">
        <f t="shared" si="47"/>
        <v>3.005122209231112E-2</v>
      </c>
      <c r="EC19" s="69">
        <f t="shared" si="47"/>
        <v>1.0431784972153831E-3</v>
      </c>
      <c r="ED19" s="69">
        <f t="shared" si="47"/>
        <v>0.3733376339817388</v>
      </c>
      <c r="EE19" s="69">
        <f t="shared" si="47"/>
        <v>0.39716817946751781</v>
      </c>
      <c r="EF19" s="69">
        <f t="shared" si="47"/>
        <v>1.5456963365997766E-2</v>
      </c>
      <c r="EG19" s="69">
        <f t="shared" si="47"/>
        <v>0</v>
      </c>
      <c r="EH19" s="69">
        <f t="shared" si="47"/>
        <v>5.7569444816340089E-4</v>
      </c>
      <c r="EI19" s="69">
        <f t="shared" si="48"/>
        <v>2.7094777728329333</v>
      </c>
      <c r="EJ19" s="69">
        <f t="shared" si="49"/>
        <v>2.214448872827111</v>
      </c>
      <c r="EL19" s="23">
        <f t="shared" si="50"/>
        <v>1.9183437807995323</v>
      </c>
      <c r="EM19" s="23">
        <f t="shared" si="51"/>
        <v>4.8245677564880398E-3</v>
      </c>
      <c r="EN19" s="23">
        <f t="shared" si="52"/>
        <v>0.20446063068295151</v>
      </c>
      <c r="EO19" s="23">
        <f t="shared" si="53"/>
        <v>2.4244110268257964E-2</v>
      </c>
      <c r="EP19" s="23">
        <f t="shared" si="54"/>
        <v>6.6546894889395539E-2</v>
      </c>
      <c r="EQ19" s="23">
        <f t="shared" si="55"/>
        <v>2.3100654473160848E-3</v>
      </c>
      <c r="ER19" s="23">
        <f t="shared" si="56"/>
        <v>0.82673710275480206</v>
      </c>
      <c r="ES19" s="23">
        <f t="shared" si="57"/>
        <v>0.87950862734464053</v>
      </c>
      <c r="ET19" s="23">
        <f t="shared" si="58"/>
        <v>6.8457310206327393E-2</v>
      </c>
      <c r="EU19" s="23">
        <f t="shared" si="59"/>
        <v>0</v>
      </c>
      <c r="EV19" s="23">
        <f t="shared" si="60"/>
        <v>1.2748459218282688E-3</v>
      </c>
      <c r="EX19" s="14">
        <f t="shared" si="61"/>
        <v>-6.5114109356735801</v>
      </c>
      <c r="EY19" s="4">
        <f t="shared" si="62"/>
        <v>-1.4277840327121156</v>
      </c>
      <c r="EZ19" s="4">
        <f t="shared" si="63"/>
        <v>4.5838901285097725E-2</v>
      </c>
      <c r="FA19" s="4">
        <f t="shared" si="64"/>
        <v>4.5838901285097725E-2</v>
      </c>
      <c r="FC19" s="4">
        <f t="shared" si="65"/>
        <v>-1.3332342844307892</v>
      </c>
    </row>
    <row r="20" spans="1:159" x14ac:dyDescent="0.2">
      <c r="A20" s="24" t="s">
        <v>97</v>
      </c>
      <c r="B20" s="24" t="s">
        <v>122</v>
      </c>
      <c r="C20" s="98">
        <v>40.441000000000003</v>
      </c>
      <c r="D20" s="98">
        <v>0</v>
      </c>
      <c r="E20" s="90">
        <f t="shared" si="66"/>
        <v>1.0014056483145859E-2</v>
      </c>
      <c r="F20" s="98">
        <v>3.9607848665573001E-3</v>
      </c>
      <c r="G20" s="98">
        <v>10.3565</v>
      </c>
      <c r="H20" s="98">
        <v>0.14450000000000002</v>
      </c>
      <c r="I20" s="98">
        <v>48.108999999999995</v>
      </c>
      <c r="J20" s="92">
        <f t="shared" si="67"/>
        <v>3.8858410157467202E-2</v>
      </c>
      <c r="K20" s="98">
        <v>0</v>
      </c>
      <c r="L20" s="98">
        <v>2.5999999999999999E-2</v>
      </c>
      <c r="M20" s="98">
        <v>0.38100000000000001</v>
      </c>
      <c r="N20" s="105">
        <v>53</v>
      </c>
      <c r="O20" s="123">
        <v>277.7194504504468</v>
      </c>
      <c r="P20" s="11"/>
      <c r="Q20" s="100">
        <v>51.811999999999998</v>
      </c>
      <c r="R20" s="100">
        <v>0.64300000000000002</v>
      </c>
      <c r="S20" s="100">
        <v>7.1260000000000003</v>
      </c>
      <c r="T20" s="100">
        <v>0.73799999999999999</v>
      </c>
      <c r="U20" s="100">
        <v>2.5499999999999998</v>
      </c>
      <c r="V20" s="100">
        <v>7.6999999999999999E-2</v>
      </c>
      <c r="W20" s="100">
        <v>13.926</v>
      </c>
      <c r="X20" s="100">
        <v>19.971</v>
      </c>
      <c r="Y20" s="100">
        <v>1.853</v>
      </c>
      <c r="Z20" s="100">
        <v>0</v>
      </c>
      <c r="AA20" s="100">
        <v>2.5000000000000001E-2</v>
      </c>
      <c r="AC20" s="99">
        <v>59.662999999999997</v>
      </c>
      <c r="AD20" s="99">
        <v>8.5910000000000011</v>
      </c>
      <c r="AF20" s="83">
        <f t="shared" si="71"/>
        <v>8.8086582602500935E-2</v>
      </c>
      <c r="AG20" s="22">
        <f t="shared" si="0"/>
        <v>1.6784366329460233E-4</v>
      </c>
      <c r="AH20" s="126">
        <f t="shared" si="68"/>
        <v>910.42902070588093</v>
      </c>
      <c r="AI20" s="126">
        <f t="shared" si="1"/>
        <v>910.27903359228617</v>
      </c>
      <c r="AJ20" s="126">
        <f t="shared" si="2"/>
        <v>0.14998711359476147</v>
      </c>
      <c r="AK20" s="12"/>
      <c r="AL20" s="25">
        <f t="shared" si="69"/>
        <v>1.3594106892870503</v>
      </c>
      <c r="AN20" s="4">
        <v>15.999000000000001</v>
      </c>
      <c r="AO20" s="4">
        <v>28.085000000000001</v>
      </c>
      <c r="AP20" s="4">
        <v>47.866999999999997</v>
      </c>
      <c r="AQ20" s="4">
        <v>26.9815386</v>
      </c>
      <c r="AR20" s="4">
        <v>51.996099999999998</v>
      </c>
      <c r="AS20" s="4">
        <v>55.844999999999999</v>
      </c>
      <c r="AT20" s="4">
        <v>54.938045000000002</v>
      </c>
      <c r="AU20" s="4">
        <v>24.305</v>
      </c>
      <c r="AV20" s="4">
        <v>40.078000000000003</v>
      </c>
      <c r="AW20" s="4">
        <v>22.989769280000001</v>
      </c>
      <c r="AX20" s="4">
        <v>39.098300000000002</v>
      </c>
      <c r="AY20" s="4">
        <v>58.693399999999997</v>
      </c>
      <c r="BA20" s="4">
        <f t="shared" si="72"/>
        <v>60.082999999999998</v>
      </c>
      <c r="BB20" s="4">
        <f t="shared" si="73"/>
        <v>79.864999999999995</v>
      </c>
      <c r="BC20" s="4">
        <f t="shared" si="74"/>
        <v>101.9600772</v>
      </c>
      <c r="BD20" s="4">
        <f t="shared" si="75"/>
        <v>151.98919999999998</v>
      </c>
      <c r="BE20" s="4">
        <f t="shared" si="76"/>
        <v>71.843999999999994</v>
      </c>
      <c r="BF20" s="4">
        <f t="shared" si="77"/>
        <v>70.937044999999998</v>
      </c>
      <c r="BG20" s="4">
        <f t="shared" si="78"/>
        <v>40.304000000000002</v>
      </c>
      <c r="BH20" s="4">
        <f t="shared" si="79"/>
        <v>56.077000000000005</v>
      </c>
      <c r="BI20" s="4">
        <f t="shared" si="80"/>
        <v>61.978538560000004</v>
      </c>
      <c r="BJ20" s="4">
        <f t="shared" si="81"/>
        <v>94.195599999999999</v>
      </c>
      <c r="BK20" s="4">
        <f t="shared" si="82"/>
        <v>74.692399999999992</v>
      </c>
      <c r="BM20" s="4">
        <f t="shared" si="3"/>
        <v>0.67308556496846039</v>
      </c>
      <c r="BN20" s="4">
        <f t="shared" si="4"/>
        <v>0</v>
      </c>
      <c r="BO20" s="4">
        <f t="shared" si="5"/>
        <v>9.8215465877911858E-5</v>
      </c>
      <c r="BP20" s="4">
        <f t="shared" si="6"/>
        <v>2.6059646781200906E-5</v>
      </c>
      <c r="BQ20" s="4">
        <f t="shared" si="7"/>
        <v>0.14415260842937477</v>
      </c>
      <c r="BR20" s="4">
        <f t="shared" si="8"/>
        <v>2.0370174709138226E-3</v>
      </c>
      <c r="BS20" s="4">
        <f t="shared" si="9"/>
        <v>1.1936532354108771</v>
      </c>
      <c r="BT20" s="4">
        <f t="shared" si="10"/>
        <v>6.929473787375787E-4</v>
      </c>
      <c r="BU20" s="4">
        <f t="shared" si="11"/>
        <v>0</v>
      </c>
      <c r="BV20" s="4">
        <f t="shared" si="12"/>
        <v>2.760213852876355E-4</v>
      </c>
      <c r="BW20" s="4">
        <f t="shared" si="13"/>
        <v>5.1009205755873427E-3</v>
      </c>
      <c r="BY20" s="4">
        <f t="shared" si="14"/>
        <v>0.67308556496846039</v>
      </c>
      <c r="BZ20" s="4">
        <f t="shared" si="14"/>
        <v>0</v>
      </c>
      <c r="CA20" s="4">
        <f t="shared" si="15"/>
        <v>1.9643093175582372E-4</v>
      </c>
      <c r="CB20" s="4">
        <f t="shared" si="15"/>
        <v>5.2119293562401811E-5</v>
      </c>
      <c r="CC20" s="4">
        <f t="shared" si="16"/>
        <v>0.14415260842937477</v>
      </c>
      <c r="CD20" s="4">
        <f t="shared" si="16"/>
        <v>2.0370174709138226E-3</v>
      </c>
      <c r="CE20" s="4">
        <f t="shared" si="16"/>
        <v>1.1936532354108771</v>
      </c>
      <c r="CF20" s="4">
        <f t="shared" si="16"/>
        <v>6.929473787375787E-4</v>
      </c>
      <c r="CG20" s="4">
        <f t="shared" si="17"/>
        <v>0</v>
      </c>
      <c r="CH20" s="4">
        <f t="shared" si="17"/>
        <v>5.52042770575271E-4</v>
      </c>
      <c r="CI20" s="4">
        <f t="shared" si="83"/>
        <v>5.1009205755873427E-3</v>
      </c>
      <c r="CK20" s="69">
        <f t="shared" si="18"/>
        <v>1.3461711299369208</v>
      </c>
      <c r="CL20" s="69">
        <f t="shared" si="18"/>
        <v>0</v>
      </c>
      <c r="CM20" s="69">
        <f t="shared" si="19"/>
        <v>2.9464639763373559E-4</v>
      </c>
      <c r="CN20" s="69">
        <f t="shared" si="19"/>
        <v>7.8178940343602717E-5</v>
      </c>
      <c r="CO20" s="69">
        <f t="shared" si="20"/>
        <v>0.14415260842937477</v>
      </c>
      <c r="CP20" s="69">
        <f t="shared" si="20"/>
        <v>2.0370174709138226E-3</v>
      </c>
      <c r="CQ20" s="69">
        <f t="shared" si="20"/>
        <v>1.1936532354108771</v>
      </c>
      <c r="CR20" s="69">
        <f t="shared" si="20"/>
        <v>6.929473787375787E-4</v>
      </c>
      <c r="CS20" s="69">
        <f t="shared" si="20"/>
        <v>0</v>
      </c>
      <c r="CT20" s="69">
        <f t="shared" si="20"/>
        <v>2.760213852876355E-4</v>
      </c>
      <c r="CU20" s="69">
        <f t="shared" si="20"/>
        <v>5.1009205755873427E-3</v>
      </c>
      <c r="CV20" s="69">
        <f t="shared" si="21"/>
        <v>2.6924567059256765</v>
      </c>
      <c r="CW20" s="16">
        <f t="shared" si="22"/>
        <v>1.4856320590769854</v>
      </c>
      <c r="CY20" s="23">
        <f t="shared" si="23"/>
        <v>0.99995749381908983</v>
      </c>
      <c r="CZ20" s="23">
        <f t="shared" si="24"/>
        <v>0</v>
      </c>
      <c r="DA20" s="23">
        <f t="shared" si="25"/>
        <v>2.9182408961081518E-4</v>
      </c>
      <c r="DB20" s="23">
        <f t="shared" si="26"/>
        <v>7.7430093412748872E-5</v>
      </c>
      <c r="DC20" s="23">
        <f t="shared" si="27"/>
        <v>0.21415773648225045</v>
      </c>
      <c r="DD20" s="23">
        <f t="shared" si="28"/>
        <v>3.0262584596894952E-3</v>
      </c>
      <c r="DE20" s="23">
        <f t="shared" si="29"/>
        <v>1.7733295139473668</v>
      </c>
      <c r="DF20" s="23">
        <f t="shared" si="30"/>
        <v>1.0294648411059086E-3</v>
      </c>
      <c r="DG20" s="23">
        <f t="shared" si="31"/>
        <v>0</v>
      </c>
      <c r="DH20" s="23">
        <f t="shared" si="32"/>
        <v>8.2013243794830371E-4</v>
      </c>
      <c r="DI20" s="23">
        <f t="shared" si="33"/>
        <v>7.578091137897985E-3</v>
      </c>
      <c r="DJ20" s="16">
        <f t="shared" si="34"/>
        <v>0.89224698853491624</v>
      </c>
      <c r="DL20" s="4">
        <f t="shared" si="35"/>
        <v>0.86234042907311548</v>
      </c>
      <c r="DM20" s="4">
        <f t="shared" si="36"/>
        <v>8.0510862079759601E-3</v>
      </c>
      <c r="DN20" s="4">
        <f t="shared" si="37"/>
        <v>6.9890100083211781E-2</v>
      </c>
      <c r="DO20" s="4">
        <f t="shared" si="38"/>
        <v>4.8556081616325372E-3</v>
      </c>
      <c r="DP20" s="4">
        <f t="shared" si="39"/>
        <v>3.5493569400367464E-2</v>
      </c>
      <c r="DQ20" s="4">
        <f t="shared" si="40"/>
        <v>1.0854695173727635E-3</v>
      </c>
      <c r="DR20" s="4">
        <f t="shared" si="41"/>
        <v>0.34552401746724887</v>
      </c>
      <c r="DS20" s="4">
        <f t="shared" si="42"/>
        <v>0.35613531394332787</v>
      </c>
      <c r="DT20" s="4">
        <f t="shared" si="43"/>
        <v>2.9897445842582318E-2</v>
      </c>
      <c r="DU20" s="4">
        <f t="shared" si="44"/>
        <v>0</v>
      </c>
      <c r="DV20" s="4">
        <f t="shared" si="45"/>
        <v>3.3470607451360518E-4</v>
      </c>
      <c r="DX20" s="69">
        <f t="shared" si="70"/>
        <v>1.724680858146231</v>
      </c>
      <c r="DY20" s="69">
        <f t="shared" si="70"/>
        <v>1.610217241595192E-2</v>
      </c>
      <c r="DZ20" s="69">
        <f t="shared" si="46"/>
        <v>0.20967030024963534</v>
      </c>
      <c r="EA20" s="69">
        <f t="shared" si="46"/>
        <v>1.4566824484897611E-2</v>
      </c>
      <c r="EB20" s="69">
        <f t="shared" si="47"/>
        <v>3.5493569400367464E-2</v>
      </c>
      <c r="EC20" s="69">
        <f t="shared" si="47"/>
        <v>1.0854695173727635E-3</v>
      </c>
      <c r="ED20" s="69">
        <f t="shared" si="47"/>
        <v>0.34552401746724887</v>
      </c>
      <c r="EE20" s="69">
        <f t="shared" si="47"/>
        <v>0.35613531394332787</v>
      </c>
      <c r="EF20" s="69">
        <f t="shared" si="47"/>
        <v>2.9897445842582318E-2</v>
      </c>
      <c r="EG20" s="69">
        <f t="shared" si="47"/>
        <v>0</v>
      </c>
      <c r="EH20" s="69">
        <f t="shared" si="47"/>
        <v>3.3470607451360518E-4</v>
      </c>
      <c r="EI20" s="69">
        <f t="shared" si="48"/>
        <v>2.7334906775421288</v>
      </c>
      <c r="EJ20" s="69">
        <f t="shared" si="49"/>
        <v>2.1949955963980154</v>
      </c>
      <c r="EL20" s="23">
        <f t="shared" si="50"/>
        <v>1.8928334444114636</v>
      </c>
      <c r="EM20" s="23">
        <f t="shared" si="51"/>
        <v>1.7672098772728028E-2</v>
      </c>
      <c r="EN20" s="23">
        <f t="shared" si="52"/>
        <v>0.30681692382893289</v>
      </c>
      <c r="EO20" s="23">
        <f t="shared" si="53"/>
        <v>2.1316077065235365E-2</v>
      </c>
      <c r="EP20" s="23">
        <f t="shared" si="54"/>
        <v>7.7908228534253929E-2</v>
      </c>
      <c r="EQ20" s="23">
        <f t="shared" si="55"/>
        <v>2.382600810657495E-3</v>
      </c>
      <c r="ER20" s="23">
        <f t="shared" si="56"/>
        <v>0.75842369679036226</v>
      </c>
      <c r="ES20" s="23">
        <f t="shared" si="57"/>
        <v>0.78171544582742947</v>
      </c>
      <c r="ET20" s="23">
        <f t="shared" si="58"/>
        <v>0.13124952393603267</v>
      </c>
      <c r="EU20" s="23">
        <f t="shared" si="59"/>
        <v>0</v>
      </c>
      <c r="EV20" s="23">
        <f t="shared" si="60"/>
        <v>7.3467835964502936E-4</v>
      </c>
      <c r="EX20" s="14">
        <f t="shared" si="61"/>
        <v>-6.6324516988332993</v>
      </c>
      <c r="EY20" s="4">
        <f t="shared" si="62"/>
        <v>0.24771278216650763</v>
      </c>
      <c r="EZ20" s="4">
        <f t="shared" si="63"/>
        <v>1.3594106892870503</v>
      </c>
      <c r="FA20" s="4">
        <f t="shared" si="64"/>
        <v>1.3594106892870503</v>
      </c>
      <c r="FC20" s="4">
        <f t="shared" si="65"/>
        <v>1.1764079450630442</v>
      </c>
    </row>
    <row r="21" spans="1:159" x14ac:dyDescent="0.2">
      <c r="A21" s="24" t="s">
        <v>98</v>
      </c>
      <c r="B21" s="24" t="s">
        <v>122</v>
      </c>
      <c r="C21" s="98">
        <v>40.387500000000003</v>
      </c>
      <c r="D21" s="98">
        <v>0</v>
      </c>
      <c r="E21" s="90">
        <f t="shared" si="66"/>
        <v>8.5780785723551314E-3</v>
      </c>
      <c r="F21" s="98">
        <v>3.6392451356928694E-3</v>
      </c>
      <c r="G21" s="98">
        <v>10.42</v>
      </c>
      <c r="H21" s="98">
        <v>0.14400000000000002</v>
      </c>
      <c r="I21" s="98">
        <v>48.1905</v>
      </c>
      <c r="J21" s="92">
        <f t="shared" si="67"/>
        <v>4.0909737416323214E-2</v>
      </c>
      <c r="K21" s="98">
        <v>0</v>
      </c>
      <c r="L21" s="98">
        <v>0</v>
      </c>
      <c r="M21" s="98">
        <v>0.38500000000000001</v>
      </c>
      <c r="N21" s="105">
        <v>45.4</v>
      </c>
      <c r="O21" s="123">
        <v>292.38020153920536</v>
      </c>
      <c r="P21" s="11"/>
      <c r="Q21" s="100">
        <v>51.743000000000002</v>
      </c>
      <c r="R21" s="100">
        <v>0.41499999999999998</v>
      </c>
      <c r="S21" s="100">
        <v>6.4740000000000002</v>
      </c>
      <c r="T21" s="100">
        <v>0.76500000000000001</v>
      </c>
      <c r="U21" s="100">
        <v>2.61</v>
      </c>
      <c r="V21" s="100">
        <v>9.4E-2</v>
      </c>
      <c r="W21" s="100">
        <v>14.135</v>
      </c>
      <c r="X21" s="100">
        <v>20.399000000000001</v>
      </c>
      <c r="Y21" s="100">
        <v>1.776</v>
      </c>
      <c r="Z21" s="100">
        <v>0</v>
      </c>
      <c r="AA21" s="100">
        <v>0.105</v>
      </c>
      <c r="AC21" s="99">
        <v>57.797333333333341</v>
      </c>
      <c r="AD21" s="99">
        <v>10.059000000000001</v>
      </c>
      <c r="AF21" s="83">
        <f t="shared" si="71"/>
        <v>0.1045460841166954</v>
      </c>
      <c r="AG21" s="22">
        <f t="shared" si="0"/>
        <v>1.4841651124080344E-4</v>
      </c>
      <c r="AH21" s="126">
        <f t="shared" si="68"/>
        <v>893.1928008839418</v>
      </c>
      <c r="AI21" s="126">
        <f t="shared" si="1"/>
        <v>893.04280186228061</v>
      </c>
      <c r="AJ21" s="126">
        <f t="shared" si="2"/>
        <v>0.14999902166118773</v>
      </c>
      <c r="AK21" s="12"/>
      <c r="AL21" s="25">
        <f t="shared" si="69"/>
        <v>1.0720627938595615</v>
      </c>
      <c r="AN21" s="4">
        <v>15.999000000000001</v>
      </c>
      <c r="AO21" s="4">
        <v>28.085000000000001</v>
      </c>
      <c r="AP21" s="4">
        <v>47.866999999999997</v>
      </c>
      <c r="AQ21" s="4">
        <v>26.9815386</v>
      </c>
      <c r="AR21" s="4">
        <v>51.996099999999998</v>
      </c>
      <c r="AS21" s="4">
        <v>55.844999999999999</v>
      </c>
      <c r="AT21" s="4">
        <v>54.938045000000002</v>
      </c>
      <c r="AU21" s="4">
        <v>24.305</v>
      </c>
      <c r="AV21" s="4">
        <v>40.078000000000003</v>
      </c>
      <c r="AW21" s="4">
        <v>22.989769280000001</v>
      </c>
      <c r="AX21" s="4">
        <v>39.098300000000002</v>
      </c>
      <c r="AY21" s="4">
        <v>58.693399999999997</v>
      </c>
      <c r="BA21" s="4">
        <f>AN21*2+AO21</f>
        <v>60.082999999999998</v>
      </c>
      <c r="BB21" s="4">
        <f>AN21*2+AP21</f>
        <v>79.864999999999995</v>
      </c>
      <c r="BC21" s="4">
        <f>AQ21*2+AN21*3</f>
        <v>101.9600772</v>
      </c>
      <c r="BD21" s="4">
        <f>AR21*2+AN21*3</f>
        <v>151.98919999999998</v>
      </c>
      <c r="BE21" s="4">
        <f>AS21+AN21</f>
        <v>71.843999999999994</v>
      </c>
      <c r="BF21" s="4">
        <f>AT21+AN21</f>
        <v>70.937044999999998</v>
      </c>
      <c r="BG21" s="4">
        <f>AU21+AN21</f>
        <v>40.304000000000002</v>
      </c>
      <c r="BH21" s="4">
        <f>AV21+AN21</f>
        <v>56.077000000000005</v>
      </c>
      <c r="BI21" s="4">
        <f>AW21*2+AN21</f>
        <v>61.978538560000004</v>
      </c>
      <c r="BJ21" s="4">
        <f>AX21*2+AN21</f>
        <v>94.195599999999999</v>
      </c>
      <c r="BK21" s="4">
        <f>AY21+AN21</f>
        <v>74.692399999999992</v>
      </c>
      <c r="BM21" s="4">
        <f t="shared" si="3"/>
        <v>0.67219513007006981</v>
      </c>
      <c r="BN21" s="4">
        <f t="shared" si="4"/>
        <v>0</v>
      </c>
      <c r="BO21" s="4">
        <f t="shared" si="5"/>
        <v>8.4131738695418837E-5</v>
      </c>
      <c r="BP21" s="4">
        <f t="shared" si="6"/>
        <v>2.3944103500070202E-5</v>
      </c>
      <c r="BQ21" s="4">
        <f t="shared" si="7"/>
        <v>0.14503646790267805</v>
      </c>
      <c r="BR21" s="4">
        <f t="shared" si="8"/>
        <v>2.029968967554259E-3</v>
      </c>
      <c r="BS21" s="4">
        <f t="shared" si="9"/>
        <v>1.19567536720921</v>
      </c>
      <c r="BT21" s="4">
        <f t="shared" si="10"/>
        <v>7.2952792439544213E-4</v>
      </c>
      <c r="BU21" s="4">
        <f t="shared" si="11"/>
        <v>0</v>
      </c>
      <c r="BV21" s="4">
        <f t="shared" si="12"/>
        <v>0</v>
      </c>
      <c r="BW21" s="4">
        <f t="shared" si="13"/>
        <v>5.1544735475095201E-3</v>
      </c>
      <c r="BY21" s="4">
        <f t="shared" si="14"/>
        <v>0.67219513007006981</v>
      </c>
      <c r="BZ21" s="4">
        <f t="shared" si="14"/>
        <v>0</v>
      </c>
      <c r="CA21" s="4">
        <f t="shared" si="15"/>
        <v>1.6826347739083767E-4</v>
      </c>
      <c r="CB21" s="4">
        <f t="shared" si="15"/>
        <v>4.7888207000140403E-5</v>
      </c>
      <c r="CC21" s="4">
        <f t="shared" si="16"/>
        <v>0.14503646790267805</v>
      </c>
      <c r="CD21" s="4">
        <f t="shared" si="16"/>
        <v>2.029968967554259E-3</v>
      </c>
      <c r="CE21" s="4">
        <f t="shared" si="16"/>
        <v>1.19567536720921</v>
      </c>
      <c r="CF21" s="4">
        <f t="shared" si="16"/>
        <v>7.2952792439544213E-4</v>
      </c>
      <c r="CG21" s="4">
        <f t="shared" si="17"/>
        <v>0</v>
      </c>
      <c r="CH21" s="4">
        <f t="shared" si="17"/>
        <v>0</v>
      </c>
      <c r="CI21" s="4">
        <f>BW21</f>
        <v>5.1544735475095201E-3</v>
      </c>
      <c r="CK21" s="69">
        <f t="shared" si="18"/>
        <v>1.3443902601401396</v>
      </c>
      <c r="CL21" s="69">
        <f t="shared" si="18"/>
        <v>0</v>
      </c>
      <c r="CM21" s="69">
        <f t="shared" si="19"/>
        <v>2.5239521608625651E-4</v>
      </c>
      <c r="CN21" s="69">
        <f t="shared" si="19"/>
        <v>7.1832310500210612E-5</v>
      </c>
      <c r="CO21" s="69">
        <f t="shared" si="20"/>
        <v>0.14503646790267805</v>
      </c>
      <c r="CP21" s="69">
        <f t="shared" si="20"/>
        <v>2.029968967554259E-3</v>
      </c>
      <c r="CQ21" s="69">
        <f t="shared" si="20"/>
        <v>1.19567536720921</v>
      </c>
      <c r="CR21" s="69">
        <f t="shared" si="20"/>
        <v>7.2952792439544213E-4</v>
      </c>
      <c r="CS21" s="69">
        <f t="shared" si="20"/>
        <v>0</v>
      </c>
      <c r="CT21" s="69">
        <f t="shared" si="20"/>
        <v>0</v>
      </c>
      <c r="CU21" s="69">
        <f t="shared" si="20"/>
        <v>5.1544735475095201E-3</v>
      </c>
      <c r="CV21" s="69">
        <f t="shared" si="21"/>
        <v>2.6933402932180734</v>
      </c>
      <c r="CW21" s="16">
        <f t="shared" si="22"/>
        <v>1.4851446770659251</v>
      </c>
      <c r="CY21" s="23">
        <f t="shared" si="23"/>
        <v>0.99830701937320132</v>
      </c>
      <c r="CZ21" s="23">
        <f t="shared" si="24"/>
        <v>0</v>
      </c>
      <c r="DA21" s="23">
        <f t="shared" si="25"/>
        <v>2.4989560779160522E-4</v>
      </c>
      <c r="DB21" s="23">
        <f t="shared" si="26"/>
        <v>7.1120915720489694E-5</v>
      </c>
      <c r="DC21" s="23">
        <f t="shared" si="27"/>
        <v>0.21540013828610521</v>
      </c>
      <c r="DD21" s="23">
        <f t="shared" si="28"/>
        <v>3.0147976067722193E-3</v>
      </c>
      <c r="DE21" s="23">
        <f t="shared" si="29"/>
        <v>1.7757509071096036</v>
      </c>
      <c r="DF21" s="23">
        <f t="shared" si="30"/>
        <v>1.0834545136868435E-3</v>
      </c>
      <c r="DG21" s="23">
        <f t="shared" si="31"/>
        <v>0</v>
      </c>
      <c r="DH21" s="23">
        <f t="shared" si="32"/>
        <v>0</v>
      </c>
      <c r="DI21" s="23">
        <f t="shared" si="33"/>
        <v>7.6551389521608794E-3</v>
      </c>
      <c r="DJ21" s="16">
        <f t="shared" si="34"/>
        <v>0.89182129663935261</v>
      </c>
      <c r="DL21" s="4">
        <f t="shared" si="35"/>
        <v>0.86119201770883613</v>
      </c>
      <c r="DM21" s="4">
        <f t="shared" si="36"/>
        <v>5.1962687034370503E-3</v>
      </c>
      <c r="DN21" s="4">
        <f t="shared" si="37"/>
        <v>6.3495440350647359E-2</v>
      </c>
      <c r="DO21" s="4">
        <f t="shared" si="38"/>
        <v>5.0332523626678742E-3</v>
      </c>
      <c r="DP21" s="4">
        <f t="shared" si="39"/>
        <v>3.6328712209787874E-2</v>
      </c>
      <c r="DQ21" s="4">
        <f t="shared" si="40"/>
        <v>1.3251186315979191E-3</v>
      </c>
      <c r="DR21" s="4">
        <f t="shared" si="41"/>
        <v>0.35070960698689951</v>
      </c>
      <c r="DS21" s="4">
        <f t="shared" si="42"/>
        <v>0.36376767658754927</v>
      </c>
      <c r="DT21" s="4">
        <f t="shared" si="43"/>
        <v>2.8655080311077278E-2</v>
      </c>
      <c r="DU21" s="4">
        <f t="shared" si="44"/>
        <v>0</v>
      </c>
      <c r="DV21" s="4">
        <f t="shared" si="45"/>
        <v>1.4057655129571416E-3</v>
      </c>
      <c r="DX21" s="69">
        <f t="shared" si="70"/>
        <v>1.7223840354176723</v>
      </c>
      <c r="DY21" s="69">
        <f t="shared" si="70"/>
        <v>1.0392537406874101E-2</v>
      </c>
      <c r="DZ21" s="69">
        <f t="shared" si="46"/>
        <v>0.19048632105194208</v>
      </c>
      <c r="EA21" s="69">
        <f t="shared" si="46"/>
        <v>1.5099757088003624E-2</v>
      </c>
      <c r="EB21" s="69">
        <f t="shared" si="47"/>
        <v>3.6328712209787874E-2</v>
      </c>
      <c r="EC21" s="69">
        <f t="shared" si="47"/>
        <v>1.3251186315979191E-3</v>
      </c>
      <c r="ED21" s="69">
        <f t="shared" si="47"/>
        <v>0.35070960698689951</v>
      </c>
      <c r="EE21" s="69">
        <f t="shared" si="47"/>
        <v>0.36376767658754927</v>
      </c>
      <c r="EF21" s="69">
        <f t="shared" si="47"/>
        <v>2.8655080311077278E-2</v>
      </c>
      <c r="EG21" s="69">
        <f t="shared" si="47"/>
        <v>0</v>
      </c>
      <c r="EH21" s="69">
        <f t="shared" si="47"/>
        <v>1.4057655129571416E-3</v>
      </c>
      <c r="EI21" s="69">
        <f t="shared" si="48"/>
        <v>2.7205546112043613</v>
      </c>
      <c r="EJ21" s="69">
        <f t="shared" si="49"/>
        <v>2.2054326626231049</v>
      </c>
      <c r="EL21" s="23">
        <f t="shared" si="50"/>
        <v>1.8993010046453627</v>
      </c>
      <c r="EM21" s="23">
        <f t="shared" si="51"/>
        <v>1.1460020722326283E-2</v>
      </c>
      <c r="EN21" s="23">
        <f t="shared" si="52"/>
        <v>0.28006983615390946</v>
      </c>
      <c r="EO21" s="23">
        <f t="shared" si="53"/>
        <v>2.2200998319705286E-2</v>
      </c>
      <c r="EP21" s="23">
        <f t="shared" si="54"/>
        <v>8.0120528498500973E-2</v>
      </c>
      <c r="EQ21" s="23">
        <f t="shared" si="55"/>
        <v>2.922459911976484E-3</v>
      </c>
      <c r="ER21" s="23">
        <f t="shared" si="56"/>
        <v>0.77346642234462049</v>
      </c>
      <c r="ES21" s="23">
        <f t="shared" si="57"/>
        <v>0.8022651155526993</v>
      </c>
      <c r="ET21" s="23">
        <f t="shared" si="58"/>
        <v>0.12639370013627613</v>
      </c>
      <c r="EU21" s="23">
        <f t="shared" si="59"/>
        <v>0</v>
      </c>
      <c r="EV21" s="23">
        <f t="shared" si="60"/>
        <v>3.1003211782648036E-3</v>
      </c>
      <c r="EX21" s="14">
        <f t="shared" si="61"/>
        <v>-6.607284561056102</v>
      </c>
      <c r="EY21" s="4">
        <f t="shared" si="62"/>
        <v>-0.11864110376108428</v>
      </c>
      <c r="EZ21" s="4">
        <f t="shared" si="63"/>
        <v>1.0720627938595615</v>
      </c>
      <c r="FA21" s="4">
        <f t="shared" si="64"/>
        <v>1.0720627938595615</v>
      </c>
      <c r="FC21" s="4">
        <f t="shared" si="65"/>
        <v>0.67017241036263486</v>
      </c>
    </row>
    <row r="22" spans="1:159" x14ac:dyDescent="0.2">
      <c r="A22" s="24" t="s">
        <v>99</v>
      </c>
      <c r="B22" s="24" t="s">
        <v>123</v>
      </c>
      <c r="C22" s="98">
        <v>40.594000000000001</v>
      </c>
      <c r="D22" s="98">
        <v>0</v>
      </c>
      <c r="E22" s="90">
        <f t="shared" si="66"/>
        <v>1.231917891888887E-2</v>
      </c>
      <c r="F22" s="98">
        <v>2.1923163468029336E-2</v>
      </c>
      <c r="G22" s="98">
        <v>9.6720000000000006</v>
      </c>
      <c r="H22" s="98">
        <v>0.11</v>
      </c>
      <c r="I22" s="98">
        <v>48.75</v>
      </c>
      <c r="J22" s="92">
        <f t="shared" si="67"/>
        <v>3.4109147126208786E-2</v>
      </c>
      <c r="K22" s="98">
        <v>0</v>
      </c>
      <c r="L22" s="98">
        <v>0</v>
      </c>
      <c r="M22" s="98">
        <v>0.34799999999999998</v>
      </c>
      <c r="N22" s="105">
        <v>65.2</v>
      </c>
      <c r="O22" s="123">
        <v>243.77666396636693</v>
      </c>
      <c r="P22" s="11"/>
      <c r="Q22" s="100">
        <v>52.762</v>
      </c>
      <c r="R22" s="100">
        <v>8.2000000000000003E-2</v>
      </c>
      <c r="S22" s="100">
        <v>3.266</v>
      </c>
      <c r="T22" s="100">
        <v>3.3410000000000002</v>
      </c>
      <c r="U22" s="100">
        <v>3.1080000000000001</v>
      </c>
      <c r="V22" s="100">
        <v>0.14000000000000001</v>
      </c>
      <c r="W22" s="100">
        <v>15.923999999999999</v>
      </c>
      <c r="X22" s="100">
        <v>18.401</v>
      </c>
      <c r="Y22" s="100">
        <v>1.597</v>
      </c>
      <c r="Z22" s="100">
        <v>0</v>
      </c>
      <c r="AA22" s="100">
        <v>3.3000000000000002E-2</v>
      </c>
      <c r="AC22" s="99">
        <v>24.631</v>
      </c>
      <c r="AD22" s="99">
        <v>44.146500000000003</v>
      </c>
      <c r="AF22" s="83">
        <f t="shared" si="71"/>
        <v>0.54594004943029917</v>
      </c>
      <c r="AG22" s="22">
        <f t="shared" si="0"/>
        <v>5.0014936132876733E-4</v>
      </c>
      <c r="AH22" s="126">
        <f t="shared" si="68"/>
        <v>996.7844164419173</v>
      </c>
      <c r="AI22" s="126">
        <f t="shared" si="1"/>
        <v>996.63492925092737</v>
      </c>
      <c r="AJ22" s="126">
        <f t="shared" si="2"/>
        <v>0.14948719098993024</v>
      </c>
      <c r="AK22" s="12"/>
      <c r="AL22" s="25">
        <f t="shared" si="69"/>
        <v>2.6298565286885434</v>
      </c>
      <c r="AN22" s="4">
        <v>15.999000000000001</v>
      </c>
      <c r="AO22" s="4">
        <v>28.085000000000001</v>
      </c>
      <c r="AP22" s="4">
        <v>47.866999999999997</v>
      </c>
      <c r="AQ22" s="4">
        <v>26.9815386</v>
      </c>
      <c r="AR22" s="4">
        <v>51.996099999999998</v>
      </c>
      <c r="AS22" s="4">
        <v>55.844999999999999</v>
      </c>
      <c r="AT22" s="4">
        <v>54.938045000000002</v>
      </c>
      <c r="AU22" s="4">
        <v>24.305</v>
      </c>
      <c r="AV22" s="4">
        <v>40.078000000000003</v>
      </c>
      <c r="AW22" s="4">
        <v>22.989769280000001</v>
      </c>
      <c r="AX22" s="4">
        <v>39.098300000000002</v>
      </c>
      <c r="AY22" s="4">
        <v>58.693399999999997</v>
      </c>
      <c r="BA22" s="4">
        <f t="shared" ref="BA22" si="84">AN22*2+AO22</f>
        <v>60.082999999999998</v>
      </c>
      <c r="BB22" s="4">
        <f t="shared" ref="BB22" si="85">AN22*2+AP22</f>
        <v>79.864999999999995</v>
      </c>
      <c r="BC22" s="4">
        <f t="shared" ref="BC22" si="86">AQ22*2+AN22*3</f>
        <v>101.9600772</v>
      </c>
      <c r="BD22" s="4">
        <f t="shared" ref="BD22" si="87">AR22*2+AN22*3</f>
        <v>151.98919999999998</v>
      </c>
      <c r="BE22" s="4">
        <f t="shared" ref="BE22" si="88">AS22+AN22</f>
        <v>71.843999999999994</v>
      </c>
      <c r="BF22" s="4">
        <f t="shared" ref="BF22" si="89">AT22+AN22</f>
        <v>70.937044999999998</v>
      </c>
      <c r="BG22" s="4">
        <f t="shared" ref="BG22" si="90">AU22+AN22</f>
        <v>40.304000000000002</v>
      </c>
      <c r="BH22" s="4">
        <f t="shared" ref="BH22" si="91">AV22+AN22</f>
        <v>56.077000000000005</v>
      </c>
      <c r="BI22" s="4">
        <f t="shared" ref="BI22" si="92">AW22*2+AN22</f>
        <v>61.978538560000004</v>
      </c>
      <c r="BJ22" s="4">
        <f t="shared" ref="BJ22" si="93">AX22*2+AN22</f>
        <v>94.195599999999999</v>
      </c>
      <c r="BK22" s="4">
        <f t="shared" ref="BK22" si="94">AY22+AN22</f>
        <v>74.692399999999992</v>
      </c>
      <c r="BM22" s="4">
        <f t="shared" si="3"/>
        <v>0.67563204234142771</v>
      </c>
      <c r="BN22" s="4">
        <f t="shared" si="4"/>
        <v>0</v>
      </c>
      <c r="BO22" s="4">
        <f t="shared" si="5"/>
        <v>1.2082355424980857E-4</v>
      </c>
      <c r="BP22" s="4">
        <f t="shared" si="6"/>
        <v>1.442415873498205E-4</v>
      </c>
      <c r="BQ22" s="4">
        <f t="shared" si="7"/>
        <v>0.13462502087857026</v>
      </c>
      <c r="BR22" s="4">
        <f t="shared" si="8"/>
        <v>1.5506707391039478E-3</v>
      </c>
      <c r="BS22" s="4">
        <f t="shared" si="9"/>
        <v>1.2095573640333466</v>
      </c>
      <c r="BT22" s="4">
        <f t="shared" si="10"/>
        <v>6.0825556157085409E-4</v>
      </c>
      <c r="BU22" s="4">
        <f t="shared" si="11"/>
        <v>0</v>
      </c>
      <c r="BV22" s="4">
        <f t="shared" si="12"/>
        <v>0</v>
      </c>
      <c r="BW22" s="4">
        <f t="shared" si="13"/>
        <v>4.6591085572293836E-3</v>
      </c>
      <c r="BY22" s="4">
        <f t="shared" si="14"/>
        <v>0.67563204234142771</v>
      </c>
      <c r="BZ22" s="4">
        <f t="shared" si="14"/>
        <v>0</v>
      </c>
      <c r="CA22" s="4">
        <f t="shared" si="15"/>
        <v>2.4164710849961714E-4</v>
      </c>
      <c r="CB22" s="4">
        <f t="shared" si="15"/>
        <v>2.8848317469964101E-4</v>
      </c>
      <c r="CC22" s="4">
        <f t="shared" si="16"/>
        <v>0.13462502087857026</v>
      </c>
      <c r="CD22" s="4">
        <f t="shared" si="16"/>
        <v>1.5506707391039478E-3</v>
      </c>
      <c r="CE22" s="4">
        <f t="shared" si="16"/>
        <v>1.2095573640333466</v>
      </c>
      <c r="CF22" s="4">
        <f t="shared" si="16"/>
        <v>6.0825556157085409E-4</v>
      </c>
      <c r="CG22" s="4">
        <f t="shared" si="17"/>
        <v>0</v>
      </c>
      <c r="CH22" s="4">
        <f t="shared" si="17"/>
        <v>0</v>
      </c>
      <c r="CI22" s="4">
        <f t="shared" ref="CI22" si="95">BW22</f>
        <v>4.6591085572293836E-3</v>
      </c>
      <c r="CK22" s="69">
        <f t="shared" si="18"/>
        <v>1.3512640846828554</v>
      </c>
      <c r="CL22" s="69">
        <f t="shared" si="18"/>
        <v>0</v>
      </c>
      <c r="CM22" s="69">
        <f t="shared" si="19"/>
        <v>3.624706627494257E-4</v>
      </c>
      <c r="CN22" s="69">
        <f t="shared" si="19"/>
        <v>4.3272476204946151E-4</v>
      </c>
      <c r="CO22" s="69">
        <f t="shared" si="20"/>
        <v>0.13462502087857026</v>
      </c>
      <c r="CP22" s="69">
        <f t="shared" si="20"/>
        <v>1.5506707391039478E-3</v>
      </c>
      <c r="CQ22" s="69">
        <f t="shared" si="20"/>
        <v>1.2095573640333466</v>
      </c>
      <c r="CR22" s="69">
        <f t="shared" si="20"/>
        <v>6.0825556157085409E-4</v>
      </c>
      <c r="CS22" s="69">
        <f t="shared" si="20"/>
        <v>0</v>
      </c>
      <c r="CT22" s="69">
        <f t="shared" si="20"/>
        <v>0</v>
      </c>
      <c r="CU22" s="69">
        <f t="shared" si="20"/>
        <v>4.6591085572293836E-3</v>
      </c>
      <c r="CV22" s="69">
        <f t="shared" si="21"/>
        <v>2.7030596998774747</v>
      </c>
      <c r="CW22" s="16">
        <f t="shared" si="22"/>
        <v>1.4798045341659725</v>
      </c>
      <c r="CY22" s="23">
        <f t="shared" si="23"/>
        <v>0.99980335968466105</v>
      </c>
      <c r="CZ22" s="23">
        <f t="shared" si="24"/>
        <v>0</v>
      </c>
      <c r="DA22" s="23">
        <f t="shared" si="25"/>
        <v>3.5759048682583016E-4</v>
      </c>
      <c r="DB22" s="23">
        <f t="shared" si="26"/>
        <v>4.2689870995112311E-4</v>
      </c>
      <c r="DC22" s="23">
        <f t="shared" si="27"/>
        <v>0.19921871630829696</v>
      </c>
      <c r="DD22" s="23">
        <f t="shared" si="28"/>
        <v>2.2946895907245217E-3</v>
      </c>
      <c r="DE22" s="23">
        <f t="shared" si="29"/>
        <v>1.7899084716303879</v>
      </c>
      <c r="DF22" s="23">
        <f t="shared" si="30"/>
        <v>9.0009933794421972E-4</v>
      </c>
      <c r="DG22" s="23">
        <f t="shared" si="31"/>
        <v>0</v>
      </c>
      <c r="DH22" s="23">
        <f t="shared" si="32"/>
        <v>0</v>
      </c>
      <c r="DI22" s="23">
        <f t="shared" si="33"/>
        <v>6.8945699681595245E-3</v>
      </c>
      <c r="DJ22" s="16">
        <f t="shared" si="34"/>
        <v>0.89984616493289926</v>
      </c>
      <c r="DL22" s="4">
        <f t="shared" si="35"/>
        <v>0.87815188988565818</v>
      </c>
      <c r="DM22" s="4">
        <f t="shared" si="36"/>
        <v>1.0267326112815378E-3</v>
      </c>
      <c r="DN22" s="4">
        <f t="shared" si="37"/>
        <v>3.2032145224778236E-2</v>
      </c>
      <c r="DO22" s="4">
        <f t="shared" si="38"/>
        <v>2.1981825024409634E-2</v>
      </c>
      <c r="DP22" s="4">
        <f t="shared" si="39"/>
        <v>4.3260397527977286E-2</v>
      </c>
      <c r="DQ22" s="4">
        <f t="shared" si="40"/>
        <v>1.9735809406777518E-3</v>
      </c>
      <c r="DR22" s="4">
        <f t="shared" si="41"/>
        <v>0.39509726081778479</v>
      </c>
      <c r="DS22" s="4">
        <f t="shared" si="42"/>
        <v>0.32813809583251596</v>
      </c>
      <c r="DT22" s="4">
        <f t="shared" si="43"/>
        <v>2.5766983815760366E-2</v>
      </c>
      <c r="DU22" s="4">
        <f t="shared" si="44"/>
        <v>0</v>
      </c>
      <c r="DV22" s="4">
        <f t="shared" si="45"/>
        <v>4.4181201835795885E-4</v>
      </c>
      <c r="DX22" s="69">
        <f t="shared" si="70"/>
        <v>1.7563037797713164</v>
      </c>
      <c r="DY22" s="69">
        <f t="shared" si="70"/>
        <v>2.0534652225630756E-3</v>
      </c>
      <c r="DZ22" s="69">
        <f t="shared" si="46"/>
        <v>9.6096435674334707E-2</v>
      </c>
      <c r="EA22" s="69">
        <f t="shared" si="46"/>
        <v>6.5945475073228899E-2</v>
      </c>
      <c r="EB22" s="69">
        <f t="shared" si="47"/>
        <v>4.3260397527977286E-2</v>
      </c>
      <c r="EC22" s="69">
        <f t="shared" si="47"/>
        <v>1.9735809406777518E-3</v>
      </c>
      <c r="ED22" s="69">
        <f t="shared" si="47"/>
        <v>0.39509726081778479</v>
      </c>
      <c r="EE22" s="69">
        <f t="shared" si="47"/>
        <v>0.32813809583251596</v>
      </c>
      <c r="EF22" s="69">
        <f t="shared" si="47"/>
        <v>2.5766983815760366E-2</v>
      </c>
      <c r="EG22" s="69">
        <f t="shared" si="47"/>
        <v>0</v>
      </c>
      <c r="EH22" s="69">
        <f t="shared" si="47"/>
        <v>4.4181201835795885E-4</v>
      </c>
      <c r="EI22" s="69">
        <f t="shared" si="48"/>
        <v>2.715077286694517</v>
      </c>
      <c r="EJ22" s="69">
        <f t="shared" si="49"/>
        <v>2.2098818436600483</v>
      </c>
      <c r="EL22" s="23">
        <f t="shared" si="50"/>
        <v>1.9406119174340739</v>
      </c>
      <c r="EM22" s="23">
        <f t="shared" si="51"/>
        <v>2.2689577559647403E-3</v>
      </c>
      <c r="EN22" s="23">
        <f t="shared" si="52"/>
        <v>0.14157451229143866</v>
      </c>
      <c r="EO22" s="23">
        <f t="shared" si="53"/>
        <v>9.7154472023909894E-2</v>
      </c>
      <c r="EP22" s="23">
        <f t="shared" si="54"/>
        <v>9.5600367046593041E-2</v>
      </c>
      <c r="EQ22" s="23">
        <f t="shared" si="55"/>
        <v>4.3613806877972824E-3</v>
      </c>
      <c r="ER22" s="23">
        <f t="shared" si="56"/>
        <v>0.87311826316104124</v>
      </c>
      <c r="ES22" s="23">
        <f t="shared" si="57"/>
        <v>0.72514642019345799</v>
      </c>
      <c r="ET22" s="23">
        <f t="shared" si="58"/>
        <v>0.11388397940066228</v>
      </c>
      <c r="EU22" s="23">
        <f t="shared" si="59"/>
        <v>0</v>
      </c>
      <c r="EV22" s="23">
        <f t="shared" si="60"/>
        <v>9.7635235768005321E-4</v>
      </c>
      <c r="EX22" s="14">
        <f t="shared" si="61"/>
        <v>-6.6916237396064275</v>
      </c>
      <c r="EY22" s="4">
        <f t="shared" si="62"/>
        <v>1.9552336096091616</v>
      </c>
      <c r="EZ22" s="4">
        <f t="shared" si="63"/>
        <v>2.6298565286885434</v>
      </c>
      <c r="FA22" s="4">
        <f t="shared" si="64"/>
        <v>2.6298565286885434</v>
      </c>
      <c r="FC22" s="4">
        <f t="shared" si="65"/>
        <v>3.1643419337521608</v>
      </c>
    </row>
    <row r="23" spans="1:159" x14ac:dyDescent="0.2">
      <c r="A23" s="24" t="s">
        <v>100</v>
      </c>
      <c r="B23" s="24" t="s">
        <v>123</v>
      </c>
      <c r="C23" s="98">
        <v>40.826000000000001</v>
      </c>
      <c r="D23" s="98">
        <v>0</v>
      </c>
      <c r="E23" s="90">
        <f t="shared" si="66"/>
        <v>1.2338073365083482E-2</v>
      </c>
      <c r="F23" s="98">
        <v>2.30923988529909E-2</v>
      </c>
      <c r="G23" s="98">
        <v>10.183</v>
      </c>
      <c r="H23" s="98">
        <v>0.14899999999999999</v>
      </c>
      <c r="I23" s="98">
        <v>48.817</v>
      </c>
      <c r="J23" s="92">
        <f t="shared" si="67"/>
        <v>4.017848375291419E-2</v>
      </c>
      <c r="K23" s="98">
        <v>0</v>
      </c>
      <c r="L23" s="98">
        <v>0</v>
      </c>
      <c r="M23" s="98">
        <v>0.379</v>
      </c>
      <c r="N23" s="105">
        <v>65.3</v>
      </c>
      <c r="O23" s="123">
        <v>287.15396184697738</v>
      </c>
      <c r="P23" s="11"/>
      <c r="Q23" s="100">
        <v>52.606000000000002</v>
      </c>
      <c r="R23" s="100">
        <v>6.7000000000000004E-2</v>
      </c>
      <c r="S23" s="100">
        <v>3.0009999999999999</v>
      </c>
      <c r="T23" s="100">
        <v>3.6949999999999998</v>
      </c>
      <c r="U23" s="100">
        <v>2.4689999999999999</v>
      </c>
      <c r="V23" s="100">
        <v>0.113</v>
      </c>
      <c r="W23" s="100">
        <v>15.279</v>
      </c>
      <c r="X23" s="100">
        <v>19.649999999999999</v>
      </c>
      <c r="Y23" s="100">
        <v>1.4830000000000001</v>
      </c>
      <c r="Z23" s="100">
        <v>0</v>
      </c>
      <c r="AA23" s="100"/>
      <c r="AC23" s="99">
        <v>24.324249999999999</v>
      </c>
      <c r="AD23" s="99">
        <v>45.135750000000002</v>
      </c>
      <c r="AF23" s="83">
        <f t="shared" si="71"/>
        <v>0.55452553162158713</v>
      </c>
      <c r="AG23" s="22">
        <f t="shared" si="0"/>
        <v>5.0723345488898862E-4</v>
      </c>
      <c r="AH23" s="126">
        <f t="shared" si="68"/>
        <v>997.59536137656528</v>
      </c>
      <c r="AI23" s="126">
        <f t="shared" si="1"/>
        <v>997.44536711389742</v>
      </c>
      <c r="AJ23" s="126">
        <f t="shared" si="2"/>
        <v>0.14999426266786031</v>
      </c>
      <c r="AK23" s="12"/>
      <c r="AL23" s="25">
        <f t="shared" si="69"/>
        <v>2.3792438720197415</v>
      </c>
      <c r="AN23" s="4">
        <v>15.999000000000001</v>
      </c>
      <c r="AO23" s="4">
        <v>28.085000000000001</v>
      </c>
      <c r="AP23" s="4">
        <v>47.866999999999997</v>
      </c>
      <c r="AQ23" s="4">
        <v>26.9815386</v>
      </c>
      <c r="AR23" s="4">
        <v>51.996099999999998</v>
      </c>
      <c r="AS23" s="4">
        <v>55.844999999999999</v>
      </c>
      <c r="AT23" s="4">
        <v>54.938045000000002</v>
      </c>
      <c r="AU23" s="4">
        <v>24.305</v>
      </c>
      <c r="AV23" s="4">
        <v>40.078000000000003</v>
      </c>
      <c r="AW23" s="4">
        <v>22.989769280000001</v>
      </c>
      <c r="AX23" s="4">
        <v>39.098300000000002</v>
      </c>
      <c r="AY23" s="4">
        <v>58.693399999999997</v>
      </c>
      <c r="BA23" s="4">
        <f>AN23*2+AO23</f>
        <v>60.082999999999998</v>
      </c>
      <c r="BB23" s="4">
        <f>AN23*2+AP23</f>
        <v>79.864999999999995</v>
      </c>
      <c r="BC23" s="4">
        <f>AQ23*2+AN23*3</f>
        <v>101.9600772</v>
      </c>
      <c r="BD23" s="4">
        <f>AR23*2+AN23*3</f>
        <v>151.98919999999998</v>
      </c>
      <c r="BE23" s="4">
        <f>AS23+AN23</f>
        <v>71.843999999999994</v>
      </c>
      <c r="BF23" s="4">
        <f>AT23+AN23</f>
        <v>70.937044999999998</v>
      </c>
      <c r="BG23" s="4">
        <f>AU23+AN23</f>
        <v>40.304000000000002</v>
      </c>
      <c r="BH23" s="4">
        <f>AV23+AN23</f>
        <v>56.077000000000005</v>
      </c>
      <c r="BI23" s="4">
        <f>AW23*2+AN23</f>
        <v>61.978538560000004</v>
      </c>
      <c r="BJ23" s="4">
        <f>AX23*2+AN23</f>
        <v>94.195599999999999</v>
      </c>
      <c r="BK23" s="4">
        <f>AY23+AN23</f>
        <v>74.692399999999992</v>
      </c>
      <c r="BM23" s="4">
        <f t="shared" si="3"/>
        <v>0.67949336750828027</v>
      </c>
      <c r="BN23" s="4">
        <f t="shared" si="4"/>
        <v>0</v>
      </c>
      <c r="BO23" s="4">
        <f t="shared" si="5"/>
        <v>1.2100886644957819E-4</v>
      </c>
      <c r="BP23" s="4">
        <f t="shared" si="6"/>
        <v>1.519344720084776E-4</v>
      </c>
      <c r="BQ23" s="4">
        <f t="shared" si="7"/>
        <v>0.14173765380546741</v>
      </c>
      <c r="BR23" s="4">
        <f t="shared" si="8"/>
        <v>2.100454001149893E-3</v>
      </c>
      <c r="BS23" s="4">
        <f t="shared" si="9"/>
        <v>1.2112197300516077</v>
      </c>
      <c r="BT23" s="4">
        <f t="shared" si="10"/>
        <v>7.16487753498122E-4</v>
      </c>
      <c r="BU23" s="4">
        <f t="shared" si="11"/>
        <v>0</v>
      </c>
      <c r="BV23" s="4">
        <f t="shared" si="12"/>
        <v>0</v>
      </c>
      <c r="BW23" s="4">
        <f t="shared" si="13"/>
        <v>5.0741440896262544E-3</v>
      </c>
      <c r="BY23" s="4">
        <f t="shared" si="14"/>
        <v>0.67949336750828027</v>
      </c>
      <c r="BZ23" s="4">
        <f t="shared" si="14"/>
        <v>0</v>
      </c>
      <c r="CA23" s="4">
        <f t="shared" si="15"/>
        <v>2.4201773289915637E-4</v>
      </c>
      <c r="CB23" s="4">
        <f t="shared" si="15"/>
        <v>3.0386894401695521E-4</v>
      </c>
      <c r="CC23" s="4">
        <f t="shared" si="16"/>
        <v>0.14173765380546741</v>
      </c>
      <c r="CD23" s="4">
        <f t="shared" si="16"/>
        <v>2.100454001149893E-3</v>
      </c>
      <c r="CE23" s="4">
        <f t="shared" si="16"/>
        <v>1.2112197300516077</v>
      </c>
      <c r="CF23" s="4">
        <f t="shared" si="16"/>
        <v>7.16487753498122E-4</v>
      </c>
      <c r="CG23" s="4">
        <f t="shared" si="17"/>
        <v>0</v>
      </c>
      <c r="CH23" s="4">
        <f t="shared" si="17"/>
        <v>0</v>
      </c>
      <c r="CI23" s="4">
        <f>BW23</f>
        <v>5.0741440896262544E-3</v>
      </c>
      <c r="CK23" s="69">
        <f t="shared" si="18"/>
        <v>1.3589867350165605</v>
      </c>
      <c r="CL23" s="69">
        <f t="shared" si="18"/>
        <v>0</v>
      </c>
      <c r="CM23" s="69">
        <f t="shared" si="19"/>
        <v>3.6302659934873456E-4</v>
      </c>
      <c r="CN23" s="69">
        <f t="shared" si="19"/>
        <v>4.5580341602543281E-4</v>
      </c>
      <c r="CO23" s="69">
        <f t="shared" si="20"/>
        <v>0.14173765380546741</v>
      </c>
      <c r="CP23" s="69">
        <f t="shared" si="20"/>
        <v>2.100454001149893E-3</v>
      </c>
      <c r="CQ23" s="69">
        <f t="shared" si="20"/>
        <v>1.2112197300516077</v>
      </c>
      <c r="CR23" s="69">
        <f t="shared" si="20"/>
        <v>7.16487753498122E-4</v>
      </c>
      <c r="CS23" s="69">
        <f t="shared" si="20"/>
        <v>0</v>
      </c>
      <c r="CT23" s="69">
        <f t="shared" si="20"/>
        <v>0</v>
      </c>
      <c r="CU23" s="69">
        <f t="shared" si="20"/>
        <v>5.0741440896262544E-3</v>
      </c>
      <c r="CV23" s="69">
        <f t="shared" si="21"/>
        <v>2.7206540347332844</v>
      </c>
      <c r="CW23" s="16">
        <f t="shared" si="22"/>
        <v>1.470234711556089</v>
      </c>
      <c r="CY23" s="23">
        <f t="shared" si="23"/>
        <v>0.99901473518281203</v>
      </c>
      <c r="CZ23" s="23">
        <f t="shared" si="24"/>
        <v>0</v>
      </c>
      <c r="DA23" s="23">
        <f t="shared" si="25"/>
        <v>3.5582287172044978E-4</v>
      </c>
      <c r="DB23" s="23">
        <f t="shared" si="26"/>
        <v>4.467586692576215E-4</v>
      </c>
      <c r="DC23" s="23">
        <f t="shared" si="27"/>
        <v>0.20838761855931817</v>
      </c>
      <c r="DD23" s="23">
        <f t="shared" si="28"/>
        <v>3.0881603825174461E-3</v>
      </c>
      <c r="DE23" s="23">
        <f t="shared" si="29"/>
        <v>1.7807772904434693</v>
      </c>
      <c r="DF23" s="23">
        <f t="shared" si="30"/>
        <v>1.0534051655977817E-3</v>
      </c>
      <c r="DG23" s="23">
        <f t="shared" si="31"/>
        <v>0</v>
      </c>
      <c r="DH23" s="23">
        <f t="shared" si="32"/>
        <v>0</v>
      </c>
      <c r="DI23" s="23">
        <f t="shared" si="33"/>
        <v>7.4601827720056895E-3</v>
      </c>
      <c r="DJ23" s="16">
        <f t="shared" si="34"/>
        <v>0.8952386412930502</v>
      </c>
      <c r="DL23" s="4">
        <f t="shared" si="35"/>
        <v>0.87555548158380914</v>
      </c>
      <c r="DM23" s="4">
        <f t="shared" si="36"/>
        <v>8.389156701934516E-4</v>
      </c>
      <c r="DN23" s="4">
        <f t="shared" si="37"/>
        <v>2.9433088738383181E-2</v>
      </c>
      <c r="DO23" s="4">
        <f t="shared" si="38"/>
        <v>2.4310937882428489E-2</v>
      </c>
      <c r="DP23" s="4">
        <f t="shared" si="39"/>
        <v>3.4366126607649906E-2</v>
      </c>
      <c r="DQ23" s="4">
        <f t="shared" si="40"/>
        <v>1.5929617592613282E-3</v>
      </c>
      <c r="DR23" s="4">
        <f t="shared" si="41"/>
        <v>0.37909388646288206</v>
      </c>
      <c r="DS23" s="4">
        <f t="shared" si="42"/>
        <v>0.35041104196016187</v>
      </c>
      <c r="DT23" s="4">
        <f t="shared" si="43"/>
        <v>2.3927637444441218E-2</v>
      </c>
      <c r="DU23" s="4">
        <f t="shared" si="44"/>
        <v>0</v>
      </c>
      <c r="DV23" s="4">
        <f t="shared" si="45"/>
        <v>0</v>
      </c>
      <c r="DX23" s="69">
        <f t="shared" si="70"/>
        <v>1.7511109631676183</v>
      </c>
      <c r="DY23" s="69">
        <f t="shared" si="70"/>
        <v>1.6778313403869032E-3</v>
      </c>
      <c r="DZ23" s="69">
        <f t="shared" si="46"/>
        <v>8.8299266215149538E-2</v>
      </c>
      <c r="EA23" s="69">
        <f t="shared" si="46"/>
        <v>7.293281364728546E-2</v>
      </c>
      <c r="EB23" s="69">
        <f t="shared" si="47"/>
        <v>3.4366126607649906E-2</v>
      </c>
      <c r="EC23" s="69">
        <f t="shared" si="47"/>
        <v>1.5929617592613282E-3</v>
      </c>
      <c r="ED23" s="69">
        <f t="shared" si="47"/>
        <v>0.37909388646288206</v>
      </c>
      <c r="EE23" s="69">
        <f t="shared" si="47"/>
        <v>0.35041104196016187</v>
      </c>
      <c r="EF23" s="69">
        <f t="shared" si="47"/>
        <v>2.3927637444441218E-2</v>
      </c>
      <c r="EG23" s="69">
        <f t="shared" si="47"/>
        <v>0</v>
      </c>
      <c r="EH23" s="69">
        <f t="shared" si="47"/>
        <v>0</v>
      </c>
      <c r="EI23" s="69">
        <f t="shared" si="48"/>
        <v>2.7034125286048365</v>
      </c>
      <c r="EJ23" s="69">
        <f t="shared" si="49"/>
        <v>2.2194171020937192</v>
      </c>
      <c r="EL23" s="23">
        <f t="shared" si="50"/>
        <v>1.9432228096590085</v>
      </c>
      <c r="EM23" s="23">
        <f t="shared" si="51"/>
        <v>1.8619037856417607E-3</v>
      </c>
      <c r="EN23" s="23">
        <f t="shared" si="52"/>
        <v>0.13064860102681936</v>
      </c>
      <c r="EO23" s="23">
        <f t="shared" si="53"/>
        <v>0.10791222260839971</v>
      </c>
      <c r="EP23" s="23">
        <f t="shared" si="54"/>
        <v>7.6272769125736217E-2</v>
      </c>
      <c r="EQ23" s="23">
        <f t="shared" si="55"/>
        <v>3.5354465714858901E-3</v>
      </c>
      <c r="ER23" s="23">
        <f t="shared" si="56"/>
        <v>0.84136745491489506</v>
      </c>
      <c r="ES23" s="23">
        <f t="shared" si="57"/>
        <v>0.77770825928886311</v>
      </c>
      <c r="ET23" s="23">
        <f t="shared" si="58"/>
        <v>0.10621081551378178</v>
      </c>
      <c r="EU23" s="23">
        <f t="shared" si="59"/>
        <v>0</v>
      </c>
      <c r="EV23" s="23">
        <f t="shared" si="60"/>
        <v>0</v>
      </c>
      <c r="EX23" s="14">
        <f t="shared" si="61"/>
        <v>-6.6043235339989081</v>
      </c>
      <c r="EY23" s="4">
        <f t="shared" si="62"/>
        <v>1.7727261599617392</v>
      </c>
      <c r="EZ23" s="4">
        <f t="shared" si="63"/>
        <v>2.3792438720197415</v>
      </c>
      <c r="FA23" s="4">
        <f t="shared" si="64"/>
        <v>2.3792438720197415</v>
      </c>
      <c r="FC23" s="4">
        <f t="shared" si="65"/>
        <v>2.7398983726114681</v>
      </c>
    </row>
    <row r="24" spans="1:159" x14ac:dyDescent="0.2">
      <c r="A24" s="24" t="s">
        <v>101</v>
      </c>
      <c r="B24" s="24" t="s">
        <v>123</v>
      </c>
      <c r="C24" s="98">
        <v>41.207000000000001</v>
      </c>
      <c r="D24" s="98">
        <v>0</v>
      </c>
      <c r="E24" s="90">
        <f t="shared" si="66"/>
        <v>1.048641763801123E-2</v>
      </c>
      <c r="F24" s="98">
        <v>1.97308471212264E-2</v>
      </c>
      <c r="G24" s="98">
        <v>8.9090000000000007</v>
      </c>
      <c r="H24" s="98">
        <v>0.128</v>
      </c>
      <c r="I24" s="98">
        <v>49.338999999999999</v>
      </c>
      <c r="J24" s="92">
        <f t="shared" si="67"/>
        <v>3.8490789064951625E-2</v>
      </c>
      <c r="K24" s="98">
        <v>0</v>
      </c>
      <c r="L24" s="98">
        <v>0</v>
      </c>
      <c r="M24" s="98">
        <v>0.41599999999999998</v>
      </c>
      <c r="N24" s="105">
        <v>55.5</v>
      </c>
      <c r="O24" s="123">
        <v>275.09207770478656</v>
      </c>
      <c r="P24" s="11"/>
      <c r="Q24" s="100">
        <v>54.438000000000002</v>
      </c>
      <c r="R24" s="100">
        <v>7.8E-2</v>
      </c>
      <c r="S24" s="100">
        <v>1.95</v>
      </c>
      <c r="T24" s="100">
        <v>1.905</v>
      </c>
      <c r="U24" s="100">
        <v>2.4830000000000001</v>
      </c>
      <c r="V24" s="100">
        <v>0.08</v>
      </c>
      <c r="W24" s="100">
        <v>17.327999999999999</v>
      </c>
      <c r="X24" s="100">
        <v>19.564</v>
      </c>
      <c r="Y24" s="100">
        <v>1.2230000000000001</v>
      </c>
      <c r="Z24" s="100">
        <v>0</v>
      </c>
      <c r="AA24" s="100">
        <v>4.3999999999999997E-2</v>
      </c>
      <c r="AC24" s="99">
        <v>27.329000000000001</v>
      </c>
      <c r="AD24" s="99">
        <v>42.2395</v>
      </c>
      <c r="AF24" s="83">
        <f t="shared" si="71"/>
        <v>0.50904388535756373</v>
      </c>
      <c r="AG24" s="22">
        <f t="shared" si="0"/>
        <v>3.8371025789495517E-4</v>
      </c>
      <c r="AH24" s="126">
        <f t="shared" si="68"/>
        <v>964.55354187309035</v>
      </c>
      <c r="AI24" s="126">
        <f t="shared" si="1"/>
        <v>964.4035438046219</v>
      </c>
      <c r="AJ24" s="126">
        <f t="shared" si="2"/>
        <v>0.14999806846844876</v>
      </c>
      <c r="AK24" s="12"/>
      <c r="AL24" s="25">
        <f t="shared" si="69"/>
        <v>2.0404236124826647</v>
      </c>
      <c r="AN24" s="4">
        <v>15.999000000000001</v>
      </c>
      <c r="AO24" s="4">
        <v>28.085000000000001</v>
      </c>
      <c r="AP24" s="4">
        <v>47.866999999999997</v>
      </c>
      <c r="AQ24" s="4">
        <v>26.9815386</v>
      </c>
      <c r="AR24" s="4">
        <v>51.996099999999998</v>
      </c>
      <c r="AS24" s="4">
        <v>55.844999999999999</v>
      </c>
      <c r="AT24" s="4">
        <v>54.938045000000002</v>
      </c>
      <c r="AU24" s="4">
        <v>24.305</v>
      </c>
      <c r="AV24" s="4">
        <v>40.078000000000003</v>
      </c>
      <c r="AW24" s="4">
        <v>22.989769280000001</v>
      </c>
      <c r="AX24" s="4">
        <v>39.098300000000002</v>
      </c>
      <c r="AY24" s="4">
        <v>58.693399999999997</v>
      </c>
      <c r="BA24" s="4">
        <f t="shared" ref="BA24:BA25" si="96">AN24*2+AO24</f>
        <v>60.082999999999998</v>
      </c>
      <c r="BB24" s="4">
        <f t="shared" ref="BB24:BB25" si="97">AN24*2+AP24</f>
        <v>79.864999999999995</v>
      </c>
      <c r="BC24" s="4">
        <f t="shared" ref="BC24:BC25" si="98">AQ24*2+AN24*3</f>
        <v>101.9600772</v>
      </c>
      <c r="BD24" s="4">
        <f t="shared" ref="BD24:BD25" si="99">AR24*2+AN24*3</f>
        <v>151.98919999999998</v>
      </c>
      <c r="BE24" s="4">
        <f t="shared" ref="BE24:BE25" si="100">AS24+AN24</f>
        <v>71.843999999999994</v>
      </c>
      <c r="BF24" s="4">
        <f t="shared" ref="BF24:BF25" si="101">AT24+AN24</f>
        <v>70.937044999999998</v>
      </c>
      <c r="BG24" s="4">
        <f t="shared" ref="BG24:BG25" si="102">AU24+AN24</f>
        <v>40.304000000000002</v>
      </c>
      <c r="BH24" s="4">
        <f t="shared" ref="BH24:BH25" si="103">AV24+AN24</f>
        <v>56.077000000000005</v>
      </c>
      <c r="BI24" s="4">
        <f t="shared" ref="BI24:BI25" si="104">AW24*2+AN24</f>
        <v>61.978538560000004</v>
      </c>
      <c r="BJ24" s="4">
        <f t="shared" ref="BJ24:BJ25" si="105">AX24*2+AN24</f>
        <v>94.195599999999999</v>
      </c>
      <c r="BK24" s="4">
        <f t="shared" ref="BK24:BK25" si="106">AY24+AN24</f>
        <v>74.692399999999992</v>
      </c>
      <c r="BM24" s="4">
        <f t="shared" si="3"/>
        <v>0.68583459547625791</v>
      </c>
      <c r="BN24" s="4">
        <f t="shared" si="4"/>
        <v>0</v>
      </c>
      <c r="BO24" s="4">
        <f t="shared" si="5"/>
        <v>1.0284827087215298E-4</v>
      </c>
      <c r="BP24" s="4">
        <f t="shared" si="6"/>
        <v>1.2981742861483843E-4</v>
      </c>
      <c r="BQ24" s="4">
        <f t="shared" si="7"/>
        <v>0.12400478815210736</v>
      </c>
      <c r="BR24" s="4">
        <f t="shared" si="8"/>
        <v>1.8044168600482302E-3</v>
      </c>
      <c r="BS24" s="4">
        <f t="shared" si="9"/>
        <v>1.2241712981341801</v>
      </c>
      <c r="BT24" s="4">
        <f t="shared" si="10"/>
        <v>6.8639173038771012E-4</v>
      </c>
      <c r="BU24" s="4">
        <f t="shared" si="11"/>
        <v>0</v>
      </c>
      <c r="BV24" s="4">
        <f t="shared" si="12"/>
        <v>0</v>
      </c>
      <c r="BW24" s="4">
        <f t="shared" si="13"/>
        <v>5.5695090799063899E-3</v>
      </c>
      <c r="BY24" s="4">
        <f t="shared" si="14"/>
        <v>0.68583459547625791</v>
      </c>
      <c r="BZ24" s="4">
        <f t="shared" si="14"/>
        <v>0</v>
      </c>
      <c r="CA24" s="4">
        <f t="shared" si="15"/>
        <v>2.0569654174430597E-4</v>
      </c>
      <c r="CB24" s="4">
        <f t="shared" si="15"/>
        <v>2.5963485722967685E-4</v>
      </c>
      <c r="CC24" s="4">
        <f t="shared" si="16"/>
        <v>0.12400478815210736</v>
      </c>
      <c r="CD24" s="4">
        <f t="shared" si="16"/>
        <v>1.8044168600482302E-3</v>
      </c>
      <c r="CE24" s="4">
        <f t="shared" si="16"/>
        <v>1.2241712981341801</v>
      </c>
      <c r="CF24" s="4">
        <f t="shared" si="16"/>
        <v>6.8639173038771012E-4</v>
      </c>
      <c r="CG24" s="4">
        <f t="shared" si="17"/>
        <v>0</v>
      </c>
      <c r="CH24" s="4">
        <f t="shared" si="17"/>
        <v>0</v>
      </c>
      <c r="CI24" s="4">
        <f t="shared" ref="CI24:CI25" si="107">BW24</f>
        <v>5.5695090799063899E-3</v>
      </c>
      <c r="CK24" s="69">
        <f t="shared" si="18"/>
        <v>1.3716691909525158</v>
      </c>
      <c r="CL24" s="69">
        <f t="shared" si="18"/>
        <v>0</v>
      </c>
      <c r="CM24" s="69">
        <f t="shared" si="19"/>
        <v>3.0854481261645894E-4</v>
      </c>
      <c r="CN24" s="69">
        <f t="shared" si="19"/>
        <v>3.8945228584451525E-4</v>
      </c>
      <c r="CO24" s="69">
        <f t="shared" si="20"/>
        <v>0.12400478815210736</v>
      </c>
      <c r="CP24" s="69">
        <f t="shared" si="20"/>
        <v>1.8044168600482302E-3</v>
      </c>
      <c r="CQ24" s="69">
        <f t="shared" si="20"/>
        <v>1.2241712981341801</v>
      </c>
      <c r="CR24" s="69">
        <f t="shared" si="20"/>
        <v>6.8639173038771012E-4</v>
      </c>
      <c r="CS24" s="69">
        <f t="shared" si="20"/>
        <v>0</v>
      </c>
      <c r="CT24" s="69">
        <f t="shared" si="20"/>
        <v>0</v>
      </c>
      <c r="CU24" s="69">
        <f t="shared" si="20"/>
        <v>5.5695090799063899E-3</v>
      </c>
      <c r="CV24" s="69">
        <f t="shared" si="21"/>
        <v>2.728603592007607</v>
      </c>
      <c r="CW24" s="16">
        <f t="shared" si="22"/>
        <v>1.4659513062712586</v>
      </c>
      <c r="CY24" s="23">
        <f t="shared" si="23"/>
        <v>1.0054001211244405</v>
      </c>
      <c r="CZ24" s="23">
        <f t="shared" si="24"/>
        <v>0</v>
      </c>
      <c r="DA24" s="23">
        <f t="shared" si="25"/>
        <v>3.0154111406554581E-4</v>
      </c>
      <c r="DB24" s="23">
        <f t="shared" si="26"/>
        <v>3.8061205810939648E-4</v>
      </c>
      <c r="DC24" s="23">
        <f t="shared" si="27"/>
        <v>0.18178498117547248</v>
      </c>
      <c r="DD24" s="23">
        <f t="shared" si="28"/>
        <v>2.645187253045586E-3</v>
      </c>
      <c r="DE24" s="23">
        <f t="shared" si="29"/>
        <v>1.7945755135995838</v>
      </c>
      <c r="DF24" s="23">
        <f t="shared" si="30"/>
        <v>1.0062168537756531E-3</v>
      </c>
      <c r="DG24" s="23">
        <f t="shared" si="31"/>
        <v>0</v>
      </c>
      <c r="DH24" s="23">
        <f t="shared" si="32"/>
        <v>0</v>
      </c>
      <c r="DI24" s="23">
        <f t="shared" si="33"/>
        <v>8.1646291109784084E-3</v>
      </c>
      <c r="DJ24" s="16">
        <f t="shared" si="34"/>
        <v>0.90802033249700098</v>
      </c>
      <c r="DL24" s="4">
        <f t="shared" si="35"/>
        <v>0.90604663548757558</v>
      </c>
      <c r="DM24" s="4">
        <f t="shared" si="36"/>
        <v>9.76648093658048E-4</v>
      </c>
      <c r="DN24" s="4">
        <f t="shared" si="37"/>
        <v>1.9125132635737157E-2</v>
      </c>
      <c r="DO24" s="4">
        <f t="shared" si="38"/>
        <v>1.2533785295270982E-2</v>
      </c>
      <c r="DP24" s="4">
        <f t="shared" si="39"/>
        <v>3.4560993263181343E-2</v>
      </c>
      <c r="DQ24" s="4">
        <f t="shared" si="40"/>
        <v>1.1277605375301439E-3</v>
      </c>
      <c r="DR24" s="4">
        <f t="shared" si="41"/>
        <v>0.42993251290194517</v>
      </c>
      <c r="DS24" s="4">
        <f t="shared" si="42"/>
        <v>0.34887743638211743</v>
      </c>
      <c r="DT24" s="4">
        <f t="shared" si="43"/>
        <v>1.9732636948450177E-2</v>
      </c>
      <c r="DU24" s="4">
        <f t="shared" si="44"/>
        <v>0</v>
      </c>
      <c r="DV24" s="4">
        <f t="shared" si="45"/>
        <v>5.8908269114394502E-4</v>
      </c>
      <c r="DX24" s="69">
        <f t="shared" si="70"/>
        <v>1.8120932709751512</v>
      </c>
      <c r="DY24" s="69">
        <f t="shared" si="70"/>
        <v>1.953296187316096E-3</v>
      </c>
      <c r="DZ24" s="69">
        <f t="shared" si="46"/>
        <v>5.7375397907211467E-2</v>
      </c>
      <c r="EA24" s="69">
        <f t="shared" si="46"/>
        <v>3.7601355885812947E-2</v>
      </c>
      <c r="EB24" s="69">
        <f t="shared" si="47"/>
        <v>3.4560993263181343E-2</v>
      </c>
      <c r="EC24" s="69">
        <f t="shared" si="47"/>
        <v>1.1277605375301439E-3</v>
      </c>
      <c r="ED24" s="69">
        <f t="shared" si="47"/>
        <v>0.42993251290194517</v>
      </c>
      <c r="EE24" s="69">
        <f t="shared" si="47"/>
        <v>0.34887743638211743</v>
      </c>
      <c r="EF24" s="69">
        <f t="shared" si="47"/>
        <v>1.9732636948450177E-2</v>
      </c>
      <c r="EG24" s="69">
        <f t="shared" si="47"/>
        <v>0</v>
      </c>
      <c r="EH24" s="69">
        <f t="shared" si="47"/>
        <v>5.8908269114394502E-4</v>
      </c>
      <c r="EI24" s="69">
        <f t="shared" si="48"/>
        <v>2.7438437436798599</v>
      </c>
      <c r="EJ24" s="69">
        <f t="shared" si="49"/>
        <v>2.186713443074277</v>
      </c>
      <c r="EL24" s="23">
        <f t="shared" si="50"/>
        <v>1.9812643578729008</v>
      </c>
      <c r="EM24" s="23">
        <f t="shared" si="51"/>
        <v>2.1356495155549189E-3</v>
      </c>
      <c r="EN24" s="23">
        <f t="shared" si="52"/>
        <v>8.3642369270290035E-2</v>
      </c>
      <c r="EO24" s="23">
        <f t="shared" si="53"/>
        <v>5.48155935955515E-2</v>
      </c>
      <c r="EP24" s="23">
        <f t="shared" si="54"/>
        <v>7.557498857459817E-2</v>
      </c>
      <c r="EQ24" s="23">
        <f t="shared" si="55"/>
        <v>2.4660891279858384E-3</v>
      </c>
      <c r="ER24" s="23">
        <f t="shared" si="56"/>
        <v>0.9401392055773885</v>
      </c>
      <c r="ES24" s="23">
        <f t="shared" si="57"/>
        <v>0.76289498012206702</v>
      </c>
      <c r="ET24" s="23">
        <f t="shared" si="58"/>
        <v>8.6299244964960359E-2</v>
      </c>
      <c r="EU24" s="23">
        <f t="shared" si="59"/>
        <v>0</v>
      </c>
      <c r="EV24" s="23">
        <f t="shared" si="60"/>
        <v>1.2881550398068369E-3</v>
      </c>
      <c r="EX24" s="14">
        <f t="shared" si="61"/>
        <v>-6.6309227722189528</v>
      </c>
      <c r="EY24" s="4">
        <f t="shared" si="62"/>
        <v>1.2307655672746467</v>
      </c>
      <c r="EZ24" s="4">
        <f t="shared" si="63"/>
        <v>2.0404236124826647</v>
      </c>
      <c r="FA24" s="4">
        <f t="shared" si="64"/>
        <v>2.0404236124826647</v>
      </c>
      <c r="FC24" s="4">
        <f t="shared" si="65"/>
        <v>2.1887713862685434</v>
      </c>
    </row>
    <row r="25" spans="1:159" x14ac:dyDescent="0.2">
      <c r="A25" s="24" t="s">
        <v>102</v>
      </c>
      <c r="B25" s="24" t="s">
        <v>123</v>
      </c>
      <c r="C25" s="98">
        <v>41.533999999999999</v>
      </c>
      <c r="D25" s="98">
        <v>0</v>
      </c>
      <c r="E25" s="90">
        <f t="shared" si="66"/>
        <v>7.0665228767859464E-3</v>
      </c>
      <c r="F25" s="98">
        <v>9.3246521950684762E-3</v>
      </c>
      <c r="G25" s="98">
        <v>8.6289999999999996</v>
      </c>
      <c r="H25" s="98">
        <v>0.13800000000000001</v>
      </c>
      <c r="I25" s="98">
        <v>49.99</v>
      </c>
      <c r="J25" s="92">
        <f t="shared" si="67"/>
        <v>4.9842151339812991E-2</v>
      </c>
      <c r="K25" s="98">
        <v>0</v>
      </c>
      <c r="L25" s="98">
        <v>0</v>
      </c>
      <c r="M25" s="98">
        <v>0.43099999999999999</v>
      </c>
      <c r="N25" s="105">
        <v>37.4</v>
      </c>
      <c r="O25" s="123">
        <v>356.21979446065683</v>
      </c>
      <c r="P25" s="11"/>
      <c r="Q25" s="100">
        <v>53.677999999999997</v>
      </c>
      <c r="R25" s="100">
        <v>6.2E-2</v>
      </c>
      <c r="S25" s="100">
        <v>2.823</v>
      </c>
      <c r="T25" s="100">
        <v>1.321</v>
      </c>
      <c r="U25" s="100">
        <v>1.972</v>
      </c>
      <c r="V25" s="100">
        <v>6.4000000000000001E-2</v>
      </c>
      <c r="W25" s="100">
        <v>16.608000000000001</v>
      </c>
      <c r="X25" s="100">
        <v>22.059000000000001</v>
      </c>
      <c r="Y25" s="100">
        <v>0.72499999999999998</v>
      </c>
      <c r="Z25" s="100">
        <v>0</v>
      </c>
      <c r="AA25" s="100">
        <v>0.11700000000000001</v>
      </c>
      <c r="AC25" s="99">
        <v>30.777500000000003</v>
      </c>
      <c r="AD25" s="99">
        <v>39.548000000000002</v>
      </c>
      <c r="AF25" s="83">
        <f t="shared" si="71"/>
        <v>0.46294389825386562</v>
      </c>
      <c r="AG25" s="22">
        <f t="shared" si="0"/>
        <v>2.2960028841803088E-4</v>
      </c>
      <c r="AH25" s="126">
        <f t="shared" si="68"/>
        <v>903.42097541360772</v>
      </c>
      <c r="AI25" s="126">
        <f t="shared" si="1"/>
        <v>903.27139328590738</v>
      </c>
      <c r="AJ25" s="126">
        <f t="shared" si="2"/>
        <v>0.14958212770034152</v>
      </c>
      <c r="AK25" s="12"/>
      <c r="AL25" s="25">
        <f t="shared" si="69"/>
        <v>0.90620810020827347</v>
      </c>
      <c r="AN25" s="4">
        <v>15.999000000000001</v>
      </c>
      <c r="AO25" s="4">
        <v>28.085000000000001</v>
      </c>
      <c r="AP25" s="4">
        <v>47.866999999999997</v>
      </c>
      <c r="AQ25" s="4">
        <v>26.9815386</v>
      </c>
      <c r="AR25" s="4">
        <v>51.996099999999998</v>
      </c>
      <c r="AS25" s="4">
        <v>55.844999999999999</v>
      </c>
      <c r="AT25" s="4">
        <v>54.938045000000002</v>
      </c>
      <c r="AU25" s="4">
        <v>24.305</v>
      </c>
      <c r="AV25" s="4">
        <v>40.078000000000003</v>
      </c>
      <c r="AW25" s="4">
        <v>22.989769280000001</v>
      </c>
      <c r="AX25" s="4">
        <v>39.098300000000002</v>
      </c>
      <c r="AY25" s="4">
        <v>58.693399999999997</v>
      </c>
      <c r="BA25" s="4">
        <f t="shared" si="96"/>
        <v>60.082999999999998</v>
      </c>
      <c r="BB25" s="4">
        <f t="shared" si="97"/>
        <v>79.864999999999995</v>
      </c>
      <c r="BC25" s="4">
        <f t="shared" si="98"/>
        <v>101.9600772</v>
      </c>
      <c r="BD25" s="4">
        <f t="shared" si="99"/>
        <v>151.98919999999998</v>
      </c>
      <c r="BE25" s="4">
        <f t="shared" si="100"/>
        <v>71.843999999999994</v>
      </c>
      <c r="BF25" s="4">
        <f t="shared" si="101"/>
        <v>70.937044999999998</v>
      </c>
      <c r="BG25" s="4">
        <f t="shared" si="102"/>
        <v>40.304000000000002</v>
      </c>
      <c r="BH25" s="4">
        <f t="shared" si="103"/>
        <v>56.077000000000005</v>
      </c>
      <c r="BI25" s="4">
        <f t="shared" si="104"/>
        <v>61.978538560000004</v>
      </c>
      <c r="BJ25" s="4">
        <f t="shared" si="105"/>
        <v>94.195599999999999</v>
      </c>
      <c r="BK25" s="4">
        <f t="shared" si="106"/>
        <v>74.692399999999992</v>
      </c>
      <c r="BM25" s="4">
        <f t="shared" si="3"/>
        <v>0.69127706672436462</v>
      </c>
      <c r="BN25" s="4">
        <f t="shared" si="4"/>
        <v>0</v>
      </c>
      <c r="BO25" s="4">
        <f t="shared" si="5"/>
        <v>6.9306762713847243E-5</v>
      </c>
      <c r="BP25" s="4">
        <f t="shared" si="6"/>
        <v>6.1350755152790316E-5</v>
      </c>
      <c r="BQ25" s="4">
        <f t="shared" si="7"/>
        <v>0.12010745504147877</v>
      </c>
      <c r="BR25" s="4">
        <f t="shared" si="8"/>
        <v>1.9453869272394982E-3</v>
      </c>
      <c r="BS25" s="4">
        <f t="shared" si="9"/>
        <v>1.2403235410877331</v>
      </c>
      <c r="BT25" s="4">
        <f t="shared" si="10"/>
        <v>8.8881629437760558E-4</v>
      </c>
      <c r="BU25" s="4">
        <f t="shared" si="11"/>
        <v>0</v>
      </c>
      <c r="BV25" s="4">
        <f t="shared" si="12"/>
        <v>0</v>
      </c>
      <c r="BW25" s="4">
        <f t="shared" si="13"/>
        <v>5.7703327246145528E-3</v>
      </c>
      <c r="BY25" s="4">
        <f t="shared" si="14"/>
        <v>0.69127706672436462</v>
      </c>
      <c r="BZ25" s="4">
        <f t="shared" si="14"/>
        <v>0</v>
      </c>
      <c r="CA25" s="4">
        <f t="shared" si="15"/>
        <v>1.3861352542769449E-4</v>
      </c>
      <c r="CB25" s="4">
        <f t="shared" si="15"/>
        <v>1.2270151030558063E-4</v>
      </c>
      <c r="CC25" s="4">
        <f t="shared" si="16"/>
        <v>0.12010745504147877</v>
      </c>
      <c r="CD25" s="4">
        <f t="shared" si="16"/>
        <v>1.9453869272394982E-3</v>
      </c>
      <c r="CE25" s="4">
        <f t="shared" si="16"/>
        <v>1.2403235410877331</v>
      </c>
      <c r="CF25" s="4">
        <f t="shared" si="16"/>
        <v>8.8881629437760558E-4</v>
      </c>
      <c r="CG25" s="4">
        <f t="shared" si="17"/>
        <v>0</v>
      </c>
      <c r="CH25" s="4">
        <f t="shared" si="17"/>
        <v>0</v>
      </c>
      <c r="CI25" s="4">
        <f t="shared" si="107"/>
        <v>5.7703327246145528E-3</v>
      </c>
      <c r="CK25" s="69">
        <f t="shared" si="18"/>
        <v>1.3825541334487292</v>
      </c>
      <c r="CL25" s="69">
        <f t="shared" si="18"/>
        <v>0</v>
      </c>
      <c r="CM25" s="69">
        <f t="shared" si="19"/>
        <v>2.0792028814154172E-4</v>
      </c>
      <c r="CN25" s="69">
        <f t="shared" si="19"/>
        <v>1.8405226545837095E-4</v>
      </c>
      <c r="CO25" s="69">
        <f t="shared" si="20"/>
        <v>0.12010745504147877</v>
      </c>
      <c r="CP25" s="69">
        <f t="shared" si="20"/>
        <v>1.9453869272394982E-3</v>
      </c>
      <c r="CQ25" s="69">
        <f t="shared" si="20"/>
        <v>1.2403235410877331</v>
      </c>
      <c r="CR25" s="69">
        <f t="shared" si="20"/>
        <v>8.8881629437760558E-4</v>
      </c>
      <c r="CS25" s="69">
        <f t="shared" si="20"/>
        <v>0</v>
      </c>
      <c r="CT25" s="69">
        <f t="shared" si="20"/>
        <v>0</v>
      </c>
      <c r="CU25" s="69">
        <f t="shared" si="20"/>
        <v>5.7703327246145528E-3</v>
      </c>
      <c r="CV25" s="69">
        <f t="shared" si="21"/>
        <v>2.7519816380777726</v>
      </c>
      <c r="CW25" s="16">
        <f t="shared" si="22"/>
        <v>1.4534980701375442</v>
      </c>
      <c r="CY25" s="23">
        <f t="shared" si="23"/>
        <v>1.0047698824142064</v>
      </c>
      <c r="CZ25" s="23">
        <f t="shared" si="24"/>
        <v>0</v>
      </c>
      <c r="DA25" s="23">
        <f t="shared" si="25"/>
        <v>2.0147449170411535E-4</v>
      </c>
      <c r="DB25" s="23">
        <f t="shared" si="26"/>
        <v>1.7834640843212343E-4</v>
      </c>
      <c r="DC25" s="23">
        <f t="shared" si="27"/>
        <v>0.17457595411192123</v>
      </c>
      <c r="DD25" s="23">
        <f t="shared" si="28"/>
        <v>2.8276161444134177E-3</v>
      </c>
      <c r="DE25" s="23">
        <f t="shared" si="29"/>
        <v>1.8028078733171851</v>
      </c>
      <c r="DF25" s="23">
        <f t="shared" si="30"/>
        <v>1.2918927685846532E-3</v>
      </c>
      <c r="DG25" s="23">
        <f t="shared" si="31"/>
        <v>0</v>
      </c>
      <c r="DH25" s="23">
        <f t="shared" si="32"/>
        <v>0</v>
      </c>
      <c r="DI25" s="23">
        <f t="shared" si="33"/>
        <v>8.3871674792787704E-3</v>
      </c>
      <c r="DJ25" s="16">
        <f t="shared" si="34"/>
        <v>0.91171367354668009</v>
      </c>
      <c r="DL25" s="4">
        <f t="shared" si="35"/>
        <v>0.8933974668375414</v>
      </c>
      <c r="DM25" s="4">
        <f t="shared" si="36"/>
        <v>7.7631002316408946E-4</v>
      </c>
      <c r="DN25" s="4">
        <f t="shared" si="37"/>
        <v>2.7687307400351791E-2</v>
      </c>
      <c r="DO25" s="4">
        <f t="shared" si="38"/>
        <v>8.6914070210251781E-3</v>
      </c>
      <c r="DP25" s="4">
        <f t="shared" si="39"/>
        <v>2.7448360336284172E-2</v>
      </c>
      <c r="DQ25" s="4">
        <f t="shared" si="40"/>
        <v>9.022084300241151E-4</v>
      </c>
      <c r="DR25" s="4">
        <f t="shared" si="41"/>
        <v>0.41206828106391424</v>
      </c>
      <c r="DS25" s="4">
        <f t="shared" si="42"/>
        <v>0.3933698307684077</v>
      </c>
      <c r="DT25" s="4">
        <f t="shared" si="43"/>
        <v>1.1697597536898099E-2</v>
      </c>
      <c r="DU25" s="4">
        <f t="shared" si="44"/>
        <v>0</v>
      </c>
      <c r="DV25" s="4">
        <f t="shared" si="45"/>
        <v>1.5664244287236723E-3</v>
      </c>
      <c r="DX25" s="69">
        <f t="shared" si="70"/>
        <v>1.7867949336750828</v>
      </c>
      <c r="DY25" s="69">
        <f t="shared" si="70"/>
        <v>1.5526200463281789E-3</v>
      </c>
      <c r="DZ25" s="69">
        <f t="shared" si="46"/>
        <v>8.3061922201055377E-2</v>
      </c>
      <c r="EA25" s="69">
        <f t="shared" si="46"/>
        <v>2.6074221063075533E-2</v>
      </c>
      <c r="EB25" s="69">
        <f t="shared" si="47"/>
        <v>2.7448360336284172E-2</v>
      </c>
      <c r="EC25" s="69">
        <f t="shared" si="47"/>
        <v>9.022084300241151E-4</v>
      </c>
      <c r="ED25" s="69">
        <f t="shared" si="47"/>
        <v>0.41206828106391424</v>
      </c>
      <c r="EE25" s="69">
        <f t="shared" si="47"/>
        <v>0.3933698307684077</v>
      </c>
      <c r="EF25" s="69">
        <f t="shared" si="47"/>
        <v>1.1697597536898099E-2</v>
      </c>
      <c r="EG25" s="69">
        <f t="shared" si="47"/>
        <v>0</v>
      </c>
      <c r="EH25" s="69">
        <f t="shared" si="47"/>
        <v>1.5664244287236723E-3</v>
      </c>
      <c r="EI25" s="69">
        <f t="shared" si="48"/>
        <v>2.7445363995497938</v>
      </c>
      <c r="EJ25" s="69">
        <f t="shared" si="49"/>
        <v>2.18616156848356</v>
      </c>
      <c r="EL25" s="23">
        <f t="shared" si="50"/>
        <v>1.9531112073807988</v>
      </c>
      <c r="EM25" s="23">
        <f t="shared" si="51"/>
        <v>1.6971391378699146E-3</v>
      </c>
      <c r="EN25" s="23">
        <f t="shared" si="52"/>
        <v>0.12105785474687911</v>
      </c>
      <c r="EO25" s="23">
        <f t="shared" si="53"/>
        <v>3.8001640010826856E-2</v>
      </c>
      <c r="EP25" s="23">
        <f t="shared" si="54"/>
        <v>6.0006550485072946E-2</v>
      </c>
      <c r="EQ25" s="23">
        <f t="shared" si="55"/>
        <v>1.9723733964806095E-3</v>
      </c>
      <c r="ER25" s="23">
        <f t="shared" si="56"/>
        <v>0.90084783965301118</v>
      </c>
      <c r="ES25" s="23">
        <f t="shared" si="57"/>
        <v>0.85997000622677477</v>
      </c>
      <c r="ET25" s="23">
        <f t="shared" si="58"/>
        <v>5.1145676357509155E-2</v>
      </c>
      <c r="EU25" s="23">
        <f t="shared" si="59"/>
        <v>0</v>
      </c>
      <c r="EV25" s="23">
        <f t="shared" si="60"/>
        <v>3.4244568860095077E-3</v>
      </c>
      <c r="EX25" s="14">
        <f t="shared" si="61"/>
        <v>-6.5007891066943531</v>
      </c>
      <c r="EY25" s="4">
        <f t="shared" si="62"/>
        <v>-0.15561497669279425</v>
      </c>
      <c r="EZ25" s="4">
        <f t="shared" si="63"/>
        <v>0.90620810020827347</v>
      </c>
      <c r="FA25" s="4">
        <f t="shared" si="64"/>
        <v>0.90620810020827347</v>
      </c>
      <c r="FC25" s="4">
        <f t="shared" si="65"/>
        <v>0.21732335618462084</v>
      </c>
    </row>
    <row r="26" spans="1:159" ht="5.25" customHeight="1" x14ac:dyDescent="0.2">
      <c r="AH26" s="109"/>
      <c r="AI26" s="109"/>
    </row>
    <row r="27" spans="1:159" s="1" customFormat="1" ht="13.5" x14ac:dyDescent="0.2">
      <c r="A27" s="5"/>
      <c r="B27" s="5"/>
      <c r="C27" s="96" t="s">
        <v>75</v>
      </c>
      <c r="D27" s="97"/>
      <c r="E27" s="94" t="s">
        <v>206</v>
      </c>
      <c r="F27" s="97"/>
      <c r="G27" s="97"/>
      <c r="H27" s="97"/>
      <c r="I27" s="97"/>
      <c r="J27" s="94" t="s">
        <v>206</v>
      </c>
      <c r="K27" s="97"/>
      <c r="L27" s="97"/>
      <c r="M27" s="97"/>
      <c r="N27" s="104" t="s">
        <v>207</v>
      </c>
      <c r="O27" s="122" t="s">
        <v>196</v>
      </c>
      <c r="Q27" s="96" t="s">
        <v>77</v>
      </c>
      <c r="R27" s="97"/>
      <c r="S27" s="97"/>
      <c r="T27" s="97"/>
      <c r="U27" s="97"/>
      <c r="V27" s="97"/>
      <c r="W27" s="97"/>
      <c r="X27" s="97"/>
      <c r="Y27" s="97"/>
      <c r="Z27" s="97"/>
      <c r="AA27" s="97"/>
      <c r="AC27" s="96" t="s">
        <v>78</v>
      </c>
      <c r="AD27" s="97"/>
      <c r="AF27" s="82"/>
      <c r="AG27" s="21"/>
      <c r="AH27" s="130"/>
      <c r="AI27" s="131" t="s">
        <v>110</v>
      </c>
      <c r="AJ27" s="125" t="s">
        <v>76</v>
      </c>
      <c r="AL27" s="50" t="s">
        <v>119</v>
      </c>
      <c r="AM27" s="6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M27" s="8" t="s">
        <v>79</v>
      </c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 t="s">
        <v>82</v>
      </c>
      <c r="BZ27" s="8"/>
      <c r="CA27" s="8"/>
      <c r="CB27" s="8"/>
      <c r="CC27" s="8"/>
      <c r="CD27" s="8"/>
      <c r="CE27" s="8"/>
      <c r="CF27" s="8"/>
      <c r="CG27" s="8"/>
      <c r="CH27" s="8"/>
      <c r="CI27" s="8"/>
      <c r="CK27" s="71" t="s">
        <v>83</v>
      </c>
      <c r="CL27" s="71"/>
      <c r="CM27" s="71"/>
      <c r="CN27" s="71"/>
      <c r="CO27" s="71"/>
      <c r="CP27" s="71"/>
      <c r="CQ27" s="71"/>
      <c r="CR27" s="71"/>
      <c r="CS27" s="71"/>
      <c r="CT27" s="71"/>
      <c r="CU27" s="71"/>
      <c r="CV27" s="71"/>
      <c r="CW27" s="20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0"/>
      <c r="DL27" s="8" t="s">
        <v>84</v>
      </c>
      <c r="DM27" s="8"/>
      <c r="DN27" s="8"/>
      <c r="DO27" s="8"/>
      <c r="DP27" s="8"/>
      <c r="DQ27" s="8"/>
      <c r="DR27" s="8"/>
      <c r="DS27" s="8"/>
      <c r="DT27" s="8"/>
      <c r="DU27" s="8"/>
      <c r="DV27" s="8"/>
      <c r="DX27" s="71" t="s">
        <v>85</v>
      </c>
      <c r="DY27" s="71"/>
      <c r="DZ27" s="71"/>
      <c r="EA27" s="71"/>
      <c r="EB27" s="71"/>
      <c r="EC27" s="71"/>
      <c r="ED27" s="71"/>
      <c r="EE27" s="71"/>
      <c r="EF27" s="71"/>
      <c r="EG27" s="71"/>
      <c r="EH27" s="71"/>
      <c r="EI27" s="71"/>
      <c r="EJ27" s="7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X27" s="19"/>
      <c r="EY27" s="17"/>
      <c r="EZ27" s="18"/>
      <c r="FA27" s="8"/>
      <c r="FB27" s="9"/>
      <c r="FC27" s="7"/>
    </row>
    <row r="28" spans="1:159" x14ac:dyDescent="0.2">
      <c r="A28" s="24" t="s">
        <v>89</v>
      </c>
      <c r="B28" s="24" t="s">
        <v>122</v>
      </c>
      <c r="C28" s="98">
        <v>40.429500000000004</v>
      </c>
      <c r="D28" s="98">
        <v>0</v>
      </c>
      <c r="E28" s="90">
        <f>N28/(26.9815*10000)*101.9601/2</f>
        <v>1.4832140262772639E-2</v>
      </c>
      <c r="F28" s="98">
        <v>5.7438688286236854E-3</v>
      </c>
      <c r="G28" s="98">
        <v>10.7225</v>
      </c>
      <c r="H28" s="98">
        <v>0.14549999999999999</v>
      </c>
      <c r="I28" s="98">
        <v>47.600499999999997</v>
      </c>
      <c r="J28" s="92">
        <f>O28/40.078*56.077/10000</f>
        <v>4.4811013273155224E-2</v>
      </c>
      <c r="K28" s="98">
        <v>0</v>
      </c>
      <c r="L28" s="98">
        <v>0</v>
      </c>
      <c r="M28" s="98">
        <v>0.38950000000000001</v>
      </c>
      <c r="N28" s="105">
        <v>78.5</v>
      </c>
      <c r="O28" s="123">
        <v>320.26245875519646</v>
      </c>
      <c r="P28" s="11"/>
      <c r="Q28" s="100">
        <v>53.548999999999999</v>
      </c>
      <c r="R28" s="100">
        <v>0.64300000000000002</v>
      </c>
      <c r="S28" s="100">
        <v>7.4009999999999998</v>
      </c>
      <c r="T28" s="100">
        <v>0.66400000000000003</v>
      </c>
      <c r="U28" s="100">
        <v>2.7509999999999999</v>
      </c>
      <c r="V28" s="100">
        <v>9.1999999999999998E-2</v>
      </c>
      <c r="W28" s="100">
        <v>13.853</v>
      </c>
      <c r="X28" s="100">
        <v>19.248999999999999</v>
      </c>
      <c r="Y28" s="100">
        <v>2.0009999999999999</v>
      </c>
      <c r="Z28" s="100">
        <v>0</v>
      </c>
      <c r="AA28" s="100">
        <v>3.2000000000000001E-2</v>
      </c>
      <c r="AC28" s="99">
        <v>60.227374999999995</v>
      </c>
      <c r="AD28" s="99">
        <v>7.9163750000000004</v>
      </c>
      <c r="AF28" s="83">
        <f>AD28/151.9892/(AD28/151.9892+AC28/101.9601)</f>
        <v>8.1030933161227975E-2</v>
      </c>
      <c r="AG28" s="22">
        <f t="shared" ref="AG28:AG39" si="108">E28/AC28</f>
        <v>2.4626908050986182E-4</v>
      </c>
      <c r="AH28" s="126">
        <f>10000/(0.575+0.884*AF28-0.897*LN(AG28))-273</f>
        <v>961.58599257214269</v>
      </c>
      <c r="AI28" s="126">
        <f t="shared" ref="AI28:AI39" si="109">(10539+79.8*AL28*10)/(15.45-LN(O28))-273</f>
        <v>961.58547172115891</v>
      </c>
      <c r="AJ28" s="126">
        <f t="shared" ref="AJ28:AJ39" si="110">AH28-AI28</f>
        <v>5.2085098377574468E-4</v>
      </c>
      <c r="AK28" s="12"/>
      <c r="AL28" s="25">
        <f t="shared" ref="AL28:AL39" si="111">FC28</f>
        <v>1.7704863016520931</v>
      </c>
      <c r="AN28" s="4">
        <v>15.999000000000001</v>
      </c>
      <c r="AO28" s="4">
        <v>28.085000000000001</v>
      </c>
      <c r="AP28" s="4">
        <v>47.866999999999997</v>
      </c>
      <c r="AQ28" s="4">
        <v>26.9815386</v>
      </c>
      <c r="AR28" s="4">
        <v>51.996099999999998</v>
      </c>
      <c r="AS28" s="4">
        <v>55.844999999999999</v>
      </c>
      <c r="AT28" s="4">
        <v>54.938045000000002</v>
      </c>
      <c r="AU28" s="4">
        <v>24.305</v>
      </c>
      <c r="AV28" s="4">
        <v>40.078000000000003</v>
      </c>
      <c r="AW28" s="4">
        <v>22.989769280000001</v>
      </c>
      <c r="AX28" s="4">
        <v>39.098300000000002</v>
      </c>
      <c r="AY28" s="4">
        <v>58.693399999999997</v>
      </c>
      <c r="BA28" s="4">
        <f>AN28*2+AO28</f>
        <v>60.082999999999998</v>
      </c>
      <c r="BB28" s="4">
        <f>AN28*2+AP28</f>
        <v>79.864999999999995</v>
      </c>
      <c r="BC28" s="4">
        <f>AQ28*2+AN28*3</f>
        <v>101.9600772</v>
      </c>
      <c r="BD28" s="4">
        <f>AR28*2+AN28*3</f>
        <v>151.98919999999998</v>
      </c>
      <c r="BE28" s="4">
        <f>AS28+AN28</f>
        <v>71.843999999999994</v>
      </c>
      <c r="BF28" s="4">
        <f>AT28+AN28</f>
        <v>70.937044999999998</v>
      </c>
      <c r="BG28" s="4">
        <f>AU28+AN28</f>
        <v>40.304000000000002</v>
      </c>
      <c r="BH28" s="4">
        <f>AV28+AN28</f>
        <v>56.077000000000005</v>
      </c>
      <c r="BI28" s="4">
        <f>AW28*2+AN28</f>
        <v>61.978538560000004</v>
      </c>
      <c r="BJ28" s="4">
        <f>AX28*2+AN28</f>
        <v>94.195599999999999</v>
      </c>
      <c r="BK28" s="4">
        <f>AY28+AN28</f>
        <v>74.692399999999992</v>
      </c>
      <c r="BM28" s="4">
        <f t="shared" ref="BM28:BM39" si="112">C28/BA28</f>
        <v>0.67289416307441385</v>
      </c>
      <c r="BN28" s="4">
        <f t="shared" ref="BN28:BN39" si="113">D28/BB28</f>
        <v>0</v>
      </c>
      <c r="BO28" s="4">
        <f t="shared" ref="BO28:BO39" si="114">E28/BC28</f>
        <v>1.4547007681917133E-4</v>
      </c>
      <c r="BP28" s="4">
        <f t="shared" ref="BP28:BP39" si="115">F28/BD28</f>
        <v>3.7791295885652965E-5</v>
      </c>
      <c r="BQ28" s="4">
        <f t="shared" ref="BQ28:BQ39" si="116">G28/BE28</f>
        <v>0.14924697956683927</v>
      </c>
      <c r="BR28" s="4">
        <f t="shared" ref="BR28:BR39" si="117">H28/BF28</f>
        <v>2.051114477632949E-3</v>
      </c>
      <c r="BS28" s="4">
        <f t="shared" ref="BS28:BS39" si="118">I28/BG28</f>
        <v>1.1810366216752679</v>
      </c>
      <c r="BT28" s="4">
        <f t="shared" ref="BT28:BT39" si="119">J28/BH28</f>
        <v>7.990979059713469E-4</v>
      </c>
      <c r="BU28" s="4">
        <f t="shared" ref="BU28:BU39" si="120">K28/BI28</f>
        <v>0</v>
      </c>
      <c r="BV28" s="4">
        <f t="shared" ref="BV28:BV39" si="121">L28/BJ28</f>
        <v>0</v>
      </c>
      <c r="BW28" s="4">
        <f t="shared" ref="BW28:BW39" si="122">M28/BK28</f>
        <v>5.2147206409219691E-3</v>
      </c>
      <c r="BY28" s="4">
        <f>BM28</f>
        <v>0.67289416307441385</v>
      </c>
      <c r="BZ28" s="4">
        <f t="shared" ref="BY28:BZ39" si="123">BN28</f>
        <v>0</v>
      </c>
      <c r="CA28" s="4">
        <f t="shared" ref="CA28:CB39" si="124">BO28*2</f>
        <v>2.9094015363834267E-4</v>
      </c>
      <c r="CB28" s="4">
        <f t="shared" si="124"/>
        <v>7.5582591771305931E-5</v>
      </c>
      <c r="CC28" s="4">
        <f t="shared" ref="CC28:CF39" si="125">BQ28</f>
        <v>0.14924697956683927</v>
      </c>
      <c r="CD28" s="4">
        <f t="shared" si="125"/>
        <v>2.051114477632949E-3</v>
      </c>
      <c r="CE28" s="4">
        <f t="shared" si="125"/>
        <v>1.1810366216752679</v>
      </c>
      <c r="CF28" s="4">
        <f t="shared" si="125"/>
        <v>7.990979059713469E-4</v>
      </c>
      <c r="CG28" s="4">
        <f t="shared" ref="CG28:CH39" si="126">BU28*2</f>
        <v>0</v>
      </c>
      <c r="CH28" s="4">
        <f t="shared" si="126"/>
        <v>0</v>
      </c>
      <c r="CI28" s="4">
        <f>BW28</f>
        <v>5.2147206409219691E-3</v>
      </c>
      <c r="CK28" s="69">
        <f t="shared" ref="CK28:CL39" si="127">BM28*2</f>
        <v>1.3457883261488277</v>
      </c>
      <c r="CL28" s="69">
        <f t="shared" si="127"/>
        <v>0</v>
      </c>
      <c r="CM28" s="69">
        <f t="shared" ref="CM28:CN39" si="128">BO28*3</f>
        <v>4.36410230457514E-4</v>
      </c>
      <c r="CN28" s="69">
        <f t="shared" si="128"/>
        <v>1.133738876569589E-4</v>
      </c>
      <c r="CO28" s="69">
        <f t="shared" ref="CO28:CU39" si="129">BQ28</f>
        <v>0.14924697956683927</v>
      </c>
      <c r="CP28" s="69">
        <f t="shared" si="129"/>
        <v>2.051114477632949E-3</v>
      </c>
      <c r="CQ28" s="69">
        <f t="shared" si="129"/>
        <v>1.1810366216752679</v>
      </c>
      <c r="CR28" s="69">
        <f t="shared" si="129"/>
        <v>7.990979059713469E-4</v>
      </c>
      <c r="CS28" s="69">
        <f t="shared" si="129"/>
        <v>0</v>
      </c>
      <c r="CT28" s="69">
        <f t="shared" si="129"/>
        <v>0</v>
      </c>
      <c r="CU28" s="69">
        <f t="shared" si="129"/>
        <v>5.2147206409219691E-3</v>
      </c>
      <c r="CV28" s="69">
        <f t="shared" ref="CV28:CV39" si="130">SUM(CK28:CU28)</f>
        <v>2.684686644533576</v>
      </c>
      <c r="CW28" s="16">
        <f t="shared" ref="CW28:CW39" si="131">4/CV28</f>
        <v>1.4899317982396936</v>
      </c>
      <c r="CY28" s="23">
        <f t="shared" ref="CY28:CY39" si="132">BY28*$CW28</f>
        <v>1.0025664104144552</v>
      </c>
      <c r="CZ28" s="23">
        <f t="shared" ref="CZ28:CZ39" si="133">BZ28*$CW28</f>
        <v>0</v>
      </c>
      <c r="DA28" s="23">
        <f t="shared" ref="DA28:DA39" si="134">CA28*$CW28</f>
        <v>4.3348098629050861E-4</v>
      </c>
      <c r="DB28" s="23">
        <f t="shared" ref="DB28:DB39" si="135">CB28*$CW28</f>
        <v>1.1261290687343851E-4</v>
      </c>
      <c r="DC28" s="23">
        <f t="shared" ref="DC28:DC39" si="136">CC28*$CW28</f>
        <v>0.22236782064786365</v>
      </c>
      <c r="DD28" s="23">
        <f t="shared" ref="DD28:DD39" si="137">CD28*$CW28</f>
        <v>3.0560206820551294E-3</v>
      </c>
      <c r="DE28" s="23">
        <f t="shared" ref="DE28:DE39" si="138">CE28*$CW28</f>
        <v>1.7596640175195646</v>
      </c>
      <c r="DF28" s="23">
        <f t="shared" ref="DF28:DF39" si="139">CF28*$CW28</f>
        <v>1.1906013800134624E-3</v>
      </c>
      <c r="DG28" s="23">
        <f t="shared" ref="DG28:DG39" si="140">CG28*$CW28</f>
        <v>0</v>
      </c>
      <c r="DH28" s="23">
        <f t="shared" ref="DH28:DH39" si="141">CH28*$CW28</f>
        <v>0</v>
      </c>
      <c r="DI28" s="23">
        <f t="shared" ref="DI28:DI39" si="142">CI28*$CW28</f>
        <v>7.7695781018465165E-3</v>
      </c>
      <c r="DJ28" s="16">
        <f t="shared" ref="DJ28:DJ39" si="143">DE28/(DE28+DC28)</f>
        <v>0.88780814900861371</v>
      </c>
      <c r="DL28" s="4">
        <f t="shared" ref="DL28:DL39" si="144">Q28/BA28</f>
        <v>0.89125043689562777</v>
      </c>
      <c r="DM28" s="4">
        <f t="shared" ref="DM28:DM39" si="145">R28/BB28</f>
        <v>8.0510862079759601E-3</v>
      </c>
      <c r="DN28" s="4">
        <f t="shared" ref="DN28:DN39" si="146">S28/BC28</f>
        <v>7.2587234172867027E-2</v>
      </c>
      <c r="DO28" s="4">
        <f t="shared" ref="DO28:DO39" si="147">T28/BD28</f>
        <v>4.3687314624986521E-3</v>
      </c>
      <c r="DP28" s="4">
        <f t="shared" ref="DP28:DP39" si="148">U28/BE28</f>
        <v>3.8291297811925841E-2</v>
      </c>
      <c r="DQ28" s="4">
        <f t="shared" ref="DQ28:DQ39" si="149">V28/BF28</f>
        <v>1.2969246181596655E-3</v>
      </c>
      <c r="DR28" s="4">
        <f t="shared" ref="DR28:DR39" si="150">W28/BG28</f>
        <v>0.34371278285033741</v>
      </c>
      <c r="DS28" s="4">
        <f t="shared" ref="DS28:DS39" si="151">X28/BH28</f>
        <v>0.34326016013695448</v>
      </c>
      <c r="DT28" s="4">
        <f t="shared" ref="DT28:DT39" si="152">Y28/BI28</f>
        <v>3.2285369201838755E-2</v>
      </c>
      <c r="DU28" s="4">
        <f t="shared" ref="DU28:DU39" si="153">Z28/BJ28</f>
        <v>0</v>
      </c>
      <c r="DV28" s="4">
        <f t="shared" ref="DV28:DV39" si="154">AA28/BK28</f>
        <v>4.2842377537741461E-4</v>
      </c>
      <c r="DX28" s="69">
        <f t="shared" ref="DX28:DY39" si="155">DL28*2</f>
        <v>1.7825008737912555</v>
      </c>
      <c r="DY28" s="69">
        <f t="shared" si="155"/>
        <v>1.610217241595192E-2</v>
      </c>
      <c r="DZ28" s="69">
        <f t="shared" ref="DZ28:EA39" si="156">DN28*3</f>
        <v>0.21776170251860108</v>
      </c>
      <c r="EA28" s="69">
        <f t="shared" si="156"/>
        <v>1.3106194387495957E-2</v>
      </c>
      <c r="EB28" s="69">
        <f t="shared" ref="EB28:EH39" si="157">DP28</f>
        <v>3.8291297811925841E-2</v>
      </c>
      <c r="EC28" s="69">
        <f t="shared" si="157"/>
        <v>1.2969246181596655E-3</v>
      </c>
      <c r="ED28" s="69">
        <f t="shared" si="157"/>
        <v>0.34371278285033741</v>
      </c>
      <c r="EE28" s="69">
        <f t="shared" si="157"/>
        <v>0.34326016013695448</v>
      </c>
      <c r="EF28" s="69">
        <f t="shared" si="157"/>
        <v>3.2285369201838755E-2</v>
      </c>
      <c r="EG28" s="69">
        <f t="shared" si="157"/>
        <v>0</v>
      </c>
      <c r="EH28" s="69">
        <f t="shared" si="157"/>
        <v>4.2842377537741461E-4</v>
      </c>
      <c r="EI28" s="69">
        <f t="shared" ref="EI28:EI39" si="158">SUM(DX28:EH28)</f>
        <v>2.7887459015078986</v>
      </c>
      <c r="EJ28" s="69">
        <f>6/EI28</f>
        <v>2.1515047307665247</v>
      </c>
      <c r="EL28" s="23">
        <f t="shared" ref="EL28:EL39" si="159">DL28*$EJ28</f>
        <v>1.9175295312786751</v>
      </c>
      <c r="EM28" s="23">
        <f t="shared" ref="EM28:EM39" si="160">DM28*$EJ28</f>
        <v>1.7321950064269398E-2</v>
      </c>
      <c r="EN28" s="23">
        <f t="shared" ref="EN28:EN39" si="161">2*DN28*$EJ28</f>
        <v>0.31234355543236192</v>
      </c>
      <c r="EO28" s="23">
        <f t="shared" ref="EO28:EO39" si="162">2*DO28*$EJ28</f>
        <v>1.8798692818028817E-2</v>
      </c>
      <c r="EP28" s="23">
        <f t="shared" ref="EP28:EP39" si="163">DP28*$EJ28</f>
        <v>8.238390838954833E-2</v>
      </c>
      <c r="EQ28" s="23">
        <f t="shared" ref="EQ28:EQ39" si="164">DQ28*$EJ28</f>
        <v>2.7903394514180889E-3</v>
      </c>
      <c r="ER28" s="23">
        <f t="shared" ref="ER28:ER39" si="165">DR28*$EJ28</f>
        <v>0.73949967832742813</v>
      </c>
      <c r="ES28" s="23">
        <f t="shared" ref="ES28:ES39" si="166">DS28*$EJ28</f>
        <v>0.7385258584183324</v>
      </c>
      <c r="ET28" s="23">
        <f t="shared" ref="ET28:ET39" si="167">2*DT28*$EJ28</f>
        <v>0.13892424914459989</v>
      </c>
      <c r="EU28" s="23">
        <f t="shared" ref="EU28:EU39" si="168">2*DU28*$EJ28</f>
        <v>0</v>
      </c>
      <c r="EV28" s="23">
        <f t="shared" ref="EV28:EV39" si="169">DV28*$EJ28</f>
        <v>9.217557794973625E-4</v>
      </c>
      <c r="EX28" s="14">
        <f t="shared" ref="EX28:EX39" si="170">LN(DF28/ES28)</f>
        <v>-6.4301975753156588</v>
      </c>
      <c r="EY28" s="4">
        <f t="shared" ref="EY28:EY39" si="171">(-(AH28+273)*EX28-11982+3.61*(AH28+273))/56.2/10</f>
        <v>0.73574250736922153</v>
      </c>
      <c r="EZ28" s="4">
        <f t="shared" ref="EZ28:EZ39" si="172">(-(AH28+273)*EX28-5792-1.25*(AH28+273))/42.5/10</f>
        <v>1.4197632123315045</v>
      </c>
      <c r="FA28" s="4">
        <f t="shared" ref="FA28:FA39" si="173">IF(AH28&gt;(1275.25-273+2.827*EY28*10), EY28, EZ28)</f>
        <v>1.4197632123315045</v>
      </c>
      <c r="FC28" s="4">
        <f t="shared" ref="FC28:FC39" si="174">(3.64-2.328*DJ28-9525/(AH28+273)-LN(DF28))/0.0334/10</f>
        <v>1.7704863016520931</v>
      </c>
    </row>
    <row r="29" spans="1:159" x14ac:dyDescent="0.2">
      <c r="A29" s="24" t="s">
        <v>91</v>
      </c>
      <c r="B29" s="24" t="s">
        <v>122</v>
      </c>
      <c r="C29" s="98">
        <v>41.015500000000003</v>
      </c>
      <c r="D29" s="98">
        <v>0</v>
      </c>
      <c r="E29" s="90">
        <f t="shared" ref="E29:E39" si="175">N29/(26.9815*10000)*101.9601/2</f>
        <v>4.8180837796267806E-3</v>
      </c>
      <c r="F29" s="98">
        <v>1.7538530774423467E-3</v>
      </c>
      <c r="G29" s="98">
        <v>10.093</v>
      </c>
      <c r="H29" s="98">
        <v>0.1545</v>
      </c>
      <c r="I29" s="98">
        <v>48.32</v>
      </c>
      <c r="J29" s="92">
        <f t="shared" ref="J29:J39" si="176">O29/40.078*56.077/10000</f>
        <v>2.0875097147346831E-2</v>
      </c>
      <c r="K29" s="98">
        <v>0</v>
      </c>
      <c r="L29" s="98">
        <v>0</v>
      </c>
      <c r="M29" s="98">
        <v>0.38100000000000001</v>
      </c>
      <c r="N29" s="105">
        <v>25.5</v>
      </c>
      <c r="O29" s="123">
        <v>149.19345604639452</v>
      </c>
      <c r="P29" s="11"/>
      <c r="Q29" s="100">
        <v>53.131999999999998</v>
      </c>
      <c r="R29" s="100">
        <v>0.50700000000000001</v>
      </c>
      <c r="S29" s="100">
        <v>6.6689999999999996</v>
      </c>
      <c r="T29" s="100">
        <v>0.78800000000000003</v>
      </c>
      <c r="U29" s="100">
        <v>2.3090000000000002</v>
      </c>
      <c r="V29" s="100">
        <v>8.3000000000000004E-2</v>
      </c>
      <c r="W29" s="100">
        <v>13.917999999999999</v>
      </c>
      <c r="X29" s="100">
        <v>20.655000000000001</v>
      </c>
      <c r="Y29" s="100">
        <v>1.746</v>
      </c>
      <c r="Z29" s="100">
        <v>0</v>
      </c>
      <c r="AA29" s="100">
        <v>0.03</v>
      </c>
      <c r="AC29" s="99">
        <v>59.251624999999997</v>
      </c>
      <c r="AD29" s="99">
        <v>9.5721250000000015</v>
      </c>
      <c r="AF29" s="83">
        <f>AD29/151.9892/(AD29/151.9892+AC29/101.9601)</f>
        <v>9.7777569881644946E-2</v>
      </c>
      <c r="AG29" s="22">
        <f t="shared" si="108"/>
        <v>8.1315639522574793E-5</v>
      </c>
      <c r="AH29" s="126">
        <f t="shared" ref="AH29:AH39" si="177">10000/(0.575+0.884*AF29-0.897*LN(AG29))-273</f>
        <v>824.85887759639559</v>
      </c>
      <c r="AI29" s="126">
        <f t="shared" si="109"/>
        <v>824.70905034031125</v>
      </c>
      <c r="AJ29" s="126">
        <f t="shared" si="110"/>
        <v>0.14982725608433611</v>
      </c>
      <c r="AK29" s="12"/>
      <c r="AL29" s="25">
        <f t="shared" si="111"/>
        <v>1.1607811782168538</v>
      </c>
      <c r="AN29" s="4">
        <v>15.999000000000001</v>
      </c>
      <c r="AO29" s="4">
        <v>28.085000000000001</v>
      </c>
      <c r="AP29" s="4">
        <v>47.866999999999997</v>
      </c>
      <c r="AQ29" s="4">
        <v>26.9815386</v>
      </c>
      <c r="AR29" s="4">
        <v>51.996099999999998</v>
      </c>
      <c r="AS29" s="4">
        <v>55.844999999999999</v>
      </c>
      <c r="AT29" s="4">
        <v>54.938045000000002</v>
      </c>
      <c r="AU29" s="4">
        <v>24.305</v>
      </c>
      <c r="AV29" s="4">
        <v>40.078000000000003</v>
      </c>
      <c r="AW29" s="4">
        <v>22.989769280000001</v>
      </c>
      <c r="AX29" s="4">
        <v>39.098300000000002</v>
      </c>
      <c r="AY29" s="4">
        <v>58.693399999999997</v>
      </c>
      <c r="BA29" s="4">
        <f>AN29*2+AO29</f>
        <v>60.082999999999998</v>
      </c>
      <c r="BB29" s="4">
        <f>AN29*2+AP29</f>
        <v>79.864999999999995</v>
      </c>
      <c r="BC29" s="4">
        <f>AQ29*2+AN29*3</f>
        <v>101.9600772</v>
      </c>
      <c r="BD29" s="4">
        <f>AR29*2+AN29*3</f>
        <v>151.98919999999998</v>
      </c>
      <c r="BE29" s="4">
        <f>AS29+AN29</f>
        <v>71.843999999999994</v>
      </c>
      <c r="BF29" s="4">
        <f>AT29+AN29</f>
        <v>70.937044999999998</v>
      </c>
      <c r="BG29" s="4">
        <f>AU29+AN29</f>
        <v>40.304000000000002</v>
      </c>
      <c r="BH29" s="4">
        <f>AV29+AN29</f>
        <v>56.077000000000005</v>
      </c>
      <c r="BI29" s="4">
        <f>AW29*2+AN29</f>
        <v>61.978538560000004</v>
      </c>
      <c r="BJ29" s="4">
        <f>AX29*2+AN29</f>
        <v>94.195599999999999</v>
      </c>
      <c r="BK29" s="4">
        <f>AY29+AN29</f>
        <v>74.692399999999992</v>
      </c>
      <c r="BM29" s="4">
        <f t="shared" si="112"/>
        <v>0.68264733784930853</v>
      </c>
      <c r="BN29" s="4">
        <f t="shared" si="113"/>
        <v>0</v>
      </c>
      <c r="BO29" s="4">
        <f t="shared" si="114"/>
        <v>4.7254610941259475E-5</v>
      </c>
      <c r="BP29" s="4">
        <f t="shared" si="115"/>
        <v>1.1539326987985639E-5</v>
      </c>
      <c r="BQ29" s="4">
        <f t="shared" si="116"/>
        <v>0.14048493959133679</v>
      </c>
      <c r="BR29" s="4">
        <f t="shared" si="117"/>
        <v>2.1779875381050902E-3</v>
      </c>
      <c r="BS29" s="4">
        <f t="shared" si="118"/>
        <v>1.1988884477967447</v>
      </c>
      <c r="BT29" s="4">
        <f t="shared" si="119"/>
        <v>3.7225773752780692E-4</v>
      </c>
      <c r="BU29" s="4">
        <f t="shared" si="120"/>
        <v>0</v>
      </c>
      <c r="BV29" s="4">
        <f t="shared" si="121"/>
        <v>0</v>
      </c>
      <c r="BW29" s="4">
        <f t="shared" si="122"/>
        <v>5.1009205755873427E-3</v>
      </c>
      <c r="BY29" s="4">
        <f t="shared" si="123"/>
        <v>0.68264733784930853</v>
      </c>
      <c r="BZ29" s="4">
        <f t="shared" si="123"/>
        <v>0</v>
      </c>
      <c r="CA29" s="4">
        <f t="shared" si="124"/>
        <v>9.4509221882518949E-5</v>
      </c>
      <c r="CB29" s="4">
        <f t="shared" si="124"/>
        <v>2.3078653975971279E-5</v>
      </c>
      <c r="CC29" s="4">
        <f t="shared" si="125"/>
        <v>0.14048493959133679</v>
      </c>
      <c r="CD29" s="4">
        <f t="shared" si="125"/>
        <v>2.1779875381050902E-3</v>
      </c>
      <c r="CE29" s="4">
        <f t="shared" si="125"/>
        <v>1.1988884477967447</v>
      </c>
      <c r="CF29" s="4">
        <f t="shared" si="125"/>
        <v>3.7225773752780692E-4</v>
      </c>
      <c r="CG29" s="4">
        <f t="shared" si="126"/>
        <v>0</v>
      </c>
      <c r="CH29" s="4">
        <f t="shared" si="126"/>
        <v>0</v>
      </c>
      <c r="CI29" s="4">
        <f>BW29</f>
        <v>5.1009205755873427E-3</v>
      </c>
      <c r="CK29" s="69">
        <f t="shared" si="127"/>
        <v>1.3652946756986171</v>
      </c>
      <c r="CL29" s="69">
        <f t="shared" si="127"/>
        <v>0</v>
      </c>
      <c r="CM29" s="69">
        <f t="shared" si="128"/>
        <v>1.4176383282377841E-4</v>
      </c>
      <c r="CN29" s="69">
        <f t="shared" si="128"/>
        <v>3.4617980963956919E-5</v>
      </c>
      <c r="CO29" s="69">
        <f t="shared" si="129"/>
        <v>0.14048493959133679</v>
      </c>
      <c r="CP29" s="69">
        <f t="shared" si="129"/>
        <v>2.1779875381050902E-3</v>
      </c>
      <c r="CQ29" s="69">
        <f t="shared" si="129"/>
        <v>1.1988884477967447</v>
      </c>
      <c r="CR29" s="69">
        <f t="shared" si="129"/>
        <v>3.7225773752780692E-4</v>
      </c>
      <c r="CS29" s="69">
        <f t="shared" si="129"/>
        <v>0</v>
      </c>
      <c r="CT29" s="69">
        <f t="shared" si="129"/>
        <v>0</v>
      </c>
      <c r="CU29" s="69">
        <f t="shared" si="129"/>
        <v>5.1009205755873427E-3</v>
      </c>
      <c r="CV29" s="69">
        <f t="shared" si="130"/>
        <v>2.7124956107517071</v>
      </c>
      <c r="CW29" s="16">
        <f t="shared" si="131"/>
        <v>1.4746567641049528</v>
      </c>
      <c r="CY29" s="23">
        <f t="shared" si="132"/>
        <v>1.0066705142577219</v>
      </c>
      <c r="CZ29" s="23">
        <f t="shared" si="133"/>
        <v>0</v>
      </c>
      <c r="DA29" s="23">
        <f t="shared" si="134"/>
        <v>1.3936866331935239E-4</v>
      </c>
      <c r="DB29" s="23">
        <f t="shared" si="135"/>
        <v>3.403309319210371E-5</v>
      </c>
      <c r="DC29" s="23">
        <f t="shared" si="136"/>
        <v>0.20716706642324048</v>
      </c>
      <c r="DD29" s="23">
        <f t="shared" si="137"/>
        <v>3.2117840552029651E-3</v>
      </c>
      <c r="DE29" s="23">
        <f t="shared" si="138"/>
        <v>1.7679489589507573</v>
      </c>
      <c r="DF29" s="23">
        <f t="shared" si="139"/>
        <v>5.4895239063578664E-4</v>
      </c>
      <c r="DG29" s="23">
        <f t="shared" si="140"/>
        <v>0</v>
      </c>
      <c r="DH29" s="23">
        <f t="shared" si="141"/>
        <v>0</v>
      </c>
      <c r="DI29" s="23">
        <f t="shared" si="142"/>
        <v>7.5221070299520045E-3</v>
      </c>
      <c r="DJ29" s="16">
        <f t="shared" si="143"/>
        <v>0.8951114447142352</v>
      </c>
      <c r="DL29" s="4">
        <f t="shared" si="144"/>
        <v>0.88431003778106954</v>
      </c>
      <c r="DM29" s="4">
        <f t="shared" si="145"/>
        <v>6.3482126087773122E-3</v>
      </c>
      <c r="DN29" s="4">
        <f t="shared" si="146"/>
        <v>6.5407953614221068E-2</v>
      </c>
      <c r="DO29" s="4">
        <f t="shared" si="147"/>
        <v>5.1845789042905691E-3</v>
      </c>
      <c r="DP29" s="4">
        <f t="shared" si="148"/>
        <v>3.2139079115862147E-2</v>
      </c>
      <c r="DQ29" s="4">
        <f t="shared" si="149"/>
        <v>1.1700515576875243E-3</v>
      </c>
      <c r="DR29" s="4">
        <f t="shared" si="150"/>
        <v>0.34532552600238187</v>
      </c>
      <c r="DS29" s="4">
        <f t="shared" si="151"/>
        <v>0.36833282807568163</v>
      </c>
      <c r="DT29" s="4">
        <f t="shared" si="152"/>
        <v>2.817104179230908E-2</v>
      </c>
      <c r="DU29" s="4">
        <f t="shared" si="153"/>
        <v>0</v>
      </c>
      <c r="DV29" s="4">
        <f t="shared" si="154"/>
        <v>4.0164728941632618E-4</v>
      </c>
      <c r="DX29" s="69">
        <f t="shared" si="155"/>
        <v>1.7686200755621391</v>
      </c>
      <c r="DY29" s="69">
        <f t="shared" si="155"/>
        <v>1.2696425217554624E-2</v>
      </c>
      <c r="DZ29" s="69">
        <f t="shared" si="156"/>
        <v>0.19622386084266319</v>
      </c>
      <c r="EA29" s="69">
        <f t="shared" si="156"/>
        <v>1.5553736712871708E-2</v>
      </c>
      <c r="EB29" s="69">
        <f t="shared" si="157"/>
        <v>3.2139079115862147E-2</v>
      </c>
      <c r="EC29" s="69">
        <f t="shared" si="157"/>
        <v>1.1700515576875243E-3</v>
      </c>
      <c r="ED29" s="69">
        <f t="shared" si="157"/>
        <v>0.34532552600238187</v>
      </c>
      <c r="EE29" s="69">
        <f t="shared" si="157"/>
        <v>0.36833282807568163</v>
      </c>
      <c r="EF29" s="69">
        <f t="shared" si="157"/>
        <v>2.817104179230908E-2</v>
      </c>
      <c r="EG29" s="69">
        <f t="shared" si="157"/>
        <v>0</v>
      </c>
      <c r="EH29" s="69">
        <f t="shared" si="157"/>
        <v>4.0164728941632618E-4</v>
      </c>
      <c r="EI29" s="69">
        <f t="shared" si="158"/>
        <v>2.7686342721685673</v>
      </c>
      <c r="EJ29" s="69">
        <f>6/EI29</f>
        <v>2.1671334709370713</v>
      </c>
      <c r="EL29" s="23">
        <f t="shared" si="159"/>
        <v>1.9164178815609818</v>
      </c>
      <c r="EM29" s="23">
        <f t="shared" si="160"/>
        <v>1.3757424025106057E-2</v>
      </c>
      <c r="EN29" s="23">
        <f t="shared" si="161"/>
        <v>0.2834955310857557</v>
      </c>
      <c r="EO29" s="23">
        <f t="shared" si="162"/>
        <v>2.2471348952404678E-2</v>
      </c>
      <c r="EP29" s="23">
        <f t="shared" si="163"/>
        <v>6.9649674077079476E-2</v>
      </c>
      <c r="EQ29" s="23">
        <f t="shared" si="164"/>
        <v>2.5356578933866912E-3</v>
      </c>
      <c r="ER29" s="23">
        <f t="shared" si="165"/>
        <v>0.74836650576871167</v>
      </c>
      <c r="ES29" s="23">
        <f t="shared" si="166"/>
        <v>0.79822640016771951</v>
      </c>
      <c r="ET29" s="23">
        <f t="shared" si="167"/>
        <v>0.12210081515856014</v>
      </c>
      <c r="EU29" s="23">
        <f t="shared" si="168"/>
        <v>0</v>
      </c>
      <c r="EV29" s="23">
        <f t="shared" si="169"/>
        <v>8.7042328440526935E-4</v>
      </c>
      <c r="EX29" s="14">
        <f t="shared" si="170"/>
        <v>-7.2821358280816515</v>
      </c>
      <c r="EY29" s="4">
        <f t="shared" si="171"/>
        <v>-4.2654777855501036E-2</v>
      </c>
      <c r="EZ29" s="4">
        <f t="shared" si="172"/>
        <v>1.9539620464158265</v>
      </c>
      <c r="FA29" s="4">
        <f t="shared" si="173"/>
        <v>1.9539620464158265</v>
      </c>
      <c r="FC29" s="4">
        <f t="shared" si="174"/>
        <v>1.1607811782168538</v>
      </c>
    </row>
    <row r="30" spans="1:159" x14ac:dyDescent="0.2">
      <c r="A30" s="24" t="s">
        <v>93</v>
      </c>
      <c r="B30" s="24" t="s">
        <v>122</v>
      </c>
      <c r="C30" s="98">
        <v>40.644500000000001</v>
      </c>
      <c r="D30" s="98">
        <v>0</v>
      </c>
      <c r="E30" s="90">
        <f t="shared" si="175"/>
        <v>4.2323559475937215E-3</v>
      </c>
      <c r="F30" s="98">
        <v>1.5784677696981122E-3</v>
      </c>
      <c r="G30" s="98">
        <v>10.081</v>
      </c>
      <c r="H30" s="98">
        <v>0.13950000000000001</v>
      </c>
      <c r="I30" s="98">
        <v>48.487499999999997</v>
      </c>
      <c r="J30" s="92">
        <f t="shared" si="176"/>
        <v>1.8983856909205558E-2</v>
      </c>
      <c r="K30" s="98">
        <v>0</v>
      </c>
      <c r="L30" s="98">
        <v>0</v>
      </c>
      <c r="M30" s="98">
        <v>0.41849999999999998</v>
      </c>
      <c r="N30" s="105">
        <v>22.4</v>
      </c>
      <c r="O30" s="123">
        <v>135.67684027446913</v>
      </c>
      <c r="P30" s="11"/>
      <c r="Q30" s="100">
        <v>53.948</v>
      </c>
      <c r="R30" s="100">
        <v>0.31</v>
      </c>
      <c r="S30" s="100">
        <v>4.8849999999999998</v>
      </c>
      <c r="T30" s="100">
        <v>0.629</v>
      </c>
      <c r="U30" s="100">
        <v>2.3570000000000002</v>
      </c>
      <c r="V30" s="100">
        <v>5.6000000000000001E-2</v>
      </c>
      <c r="W30" s="100">
        <v>14.917</v>
      </c>
      <c r="X30" s="100">
        <v>22.408999999999999</v>
      </c>
      <c r="Y30" s="100">
        <v>1.008</v>
      </c>
      <c r="Z30" s="100">
        <v>0</v>
      </c>
      <c r="AA30" s="100">
        <v>5.8999999999999997E-2</v>
      </c>
      <c r="AC30" s="99">
        <v>57.688999999999993</v>
      </c>
      <c r="AD30" s="99">
        <v>11.581</v>
      </c>
      <c r="AF30" s="83">
        <f t="shared" ref="AF30:AF39" si="178">AD30/151.9892/(AD30/151.9892+AC30/101.9601)</f>
        <v>0.11868642154189818</v>
      </c>
      <c r="AG30" s="22">
        <f t="shared" si="108"/>
        <v>7.336504268740526E-5</v>
      </c>
      <c r="AH30" s="126">
        <f t="shared" si="177"/>
        <v>811.66748407325827</v>
      </c>
      <c r="AI30" s="126">
        <f t="shared" si="109"/>
        <v>811.51740426666743</v>
      </c>
      <c r="AJ30" s="126">
        <f t="shared" si="110"/>
        <v>0.15007980659083842</v>
      </c>
      <c r="AK30" s="12"/>
      <c r="AL30" s="25">
        <f t="shared" si="111"/>
        <v>1.1171857647811878</v>
      </c>
      <c r="AN30" s="4">
        <v>15.999000000000001</v>
      </c>
      <c r="AO30" s="4">
        <v>28.085000000000001</v>
      </c>
      <c r="AP30" s="4">
        <v>47.866999999999997</v>
      </c>
      <c r="AQ30" s="4">
        <v>26.9815386</v>
      </c>
      <c r="AR30" s="4">
        <v>51.996099999999998</v>
      </c>
      <c r="AS30" s="4">
        <v>55.844999999999999</v>
      </c>
      <c r="AT30" s="4">
        <v>54.938045000000002</v>
      </c>
      <c r="AU30" s="4">
        <v>24.305</v>
      </c>
      <c r="AV30" s="4">
        <v>40.078000000000003</v>
      </c>
      <c r="AW30" s="4">
        <v>22.989769280000001</v>
      </c>
      <c r="AX30" s="4">
        <v>39.098300000000002</v>
      </c>
      <c r="AY30" s="4">
        <v>58.693399999999997</v>
      </c>
      <c r="BA30" s="4">
        <f>AN30*2+AO30</f>
        <v>60.082999999999998</v>
      </c>
      <c r="BB30" s="4">
        <f>AN30*2+AP30</f>
        <v>79.864999999999995</v>
      </c>
      <c r="BC30" s="4">
        <f>AQ30*2+AN30*3</f>
        <v>101.9600772</v>
      </c>
      <c r="BD30" s="4">
        <f>AR30*2+AN30*3</f>
        <v>151.98919999999998</v>
      </c>
      <c r="BE30" s="4">
        <f>AS30+AN30</f>
        <v>71.843999999999994</v>
      </c>
      <c r="BF30" s="4">
        <f>AT30+AN30</f>
        <v>70.937044999999998</v>
      </c>
      <c r="BG30" s="4">
        <f>AU30+AN30</f>
        <v>40.304000000000002</v>
      </c>
      <c r="BH30" s="4">
        <f>AV30+AN30</f>
        <v>56.077000000000005</v>
      </c>
      <c r="BI30" s="4">
        <f>AW30*2+AN30</f>
        <v>61.978538560000004</v>
      </c>
      <c r="BJ30" s="4">
        <f>AX30*2+AN30</f>
        <v>94.195599999999999</v>
      </c>
      <c r="BK30" s="4">
        <f>AY30+AN30</f>
        <v>74.692399999999992</v>
      </c>
      <c r="BM30" s="4">
        <f t="shared" si="112"/>
        <v>0.67647254631093656</v>
      </c>
      <c r="BN30" s="4">
        <f t="shared" si="113"/>
        <v>0</v>
      </c>
      <c r="BO30" s="4">
        <f t="shared" si="114"/>
        <v>4.1509932748400482E-5</v>
      </c>
      <c r="BP30" s="4">
        <f t="shared" si="115"/>
        <v>1.0385394289187076E-5</v>
      </c>
      <c r="BQ30" s="4">
        <f t="shared" si="116"/>
        <v>0.14031791102945271</v>
      </c>
      <c r="BR30" s="4">
        <f t="shared" si="117"/>
        <v>1.9665324373181886E-3</v>
      </c>
      <c r="BS30" s="4">
        <f t="shared" si="118"/>
        <v>1.2030443628423977</v>
      </c>
      <c r="BT30" s="4">
        <f t="shared" si="119"/>
        <v>3.3853196335762532E-4</v>
      </c>
      <c r="BU30" s="4">
        <f t="shared" si="120"/>
        <v>0</v>
      </c>
      <c r="BV30" s="4">
        <f t="shared" si="121"/>
        <v>0</v>
      </c>
      <c r="BW30" s="4">
        <f t="shared" si="122"/>
        <v>5.6029796873577507E-3</v>
      </c>
      <c r="BY30" s="4">
        <f t="shared" si="123"/>
        <v>0.67647254631093656</v>
      </c>
      <c r="BZ30" s="4">
        <f t="shared" si="123"/>
        <v>0</v>
      </c>
      <c r="CA30" s="4">
        <f t="shared" si="124"/>
        <v>8.3019865496800963E-5</v>
      </c>
      <c r="CB30" s="4">
        <f t="shared" si="124"/>
        <v>2.0770788578374152E-5</v>
      </c>
      <c r="CC30" s="4">
        <f t="shared" si="125"/>
        <v>0.14031791102945271</v>
      </c>
      <c r="CD30" s="4">
        <f t="shared" si="125"/>
        <v>1.9665324373181886E-3</v>
      </c>
      <c r="CE30" s="4">
        <f t="shared" si="125"/>
        <v>1.2030443628423977</v>
      </c>
      <c r="CF30" s="4">
        <f t="shared" si="125"/>
        <v>3.3853196335762532E-4</v>
      </c>
      <c r="CG30" s="4">
        <f t="shared" si="126"/>
        <v>0</v>
      </c>
      <c r="CH30" s="4">
        <f t="shared" si="126"/>
        <v>0</v>
      </c>
      <c r="CI30" s="4">
        <f>BW30</f>
        <v>5.6029796873577507E-3</v>
      </c>
      <c r="CK30" s="69">
        <f t="shared" si="127"/>
        <v>1.3529450926218731</v>
      </c>
      <c r="CL30" s="69">
        <f t="shared" si="127"/>
        <v>0</v>
      </c>
      <c r="CM30" s="69">
        <f t="shared" si="128"/>
        <v>1.2452979824520145E-4</v>
      </c>
      <c r="CN30" s="69">
        <f t="shared" si="128"/>
        <v>3.1156182867561227E-5</v>
      </c>
      <c r="CO30" s="69">
        <f t="shared" si="129"/>
        <v>0.14031791102945271</v>
      </c>
      <c r="CP30" s="69">
        <f t="shared" si="129"/>
        <v>1.9665324373181886E-3</v>
      </c>
      <c r="CQ30" s="69">
        <f t="shared" si="129"/>
        <v>1.2030443628423977</v>
      </c>
      <c r="CR30" s="69">
        <f t="shared" si="129"/>
        <v>3.3853196335762532E-4</v>
      </c>
      <c r="CS30" s="69">
        <f t="shared" si="129"/>
        <v>0</v>
      </c>
      <c r="CT30" s="69">
        <f t="shared" si="129"/>
        <v>0</v>
      </c>
      <c r="CU30" s="69">
        <f t="shared" si="129"/>
        <v>5.6029796873577507E-3</v>
      </c>
      <c r="CV30" s="69">
        <f t="shared" si="130"/>
        <v>2.7043710965628698</v>
      </c>
      <c r="CW30" s="16">
        <f t="shared" si="131"/>
        <v>1.4790869511524563</v>
      </c>
      <c r="CY30" s="23">
        <f t="shared" si="132"/>
        <v>1.000561716061382</v>
      </c>
      <c r="CZ30" s="23">
        <f t="shared" si="133"/>
        <v>0</v>
      </c>
      <c r="DA30" s="23">
        <f t="shared" si="134"/>
        <v>1.2279359974275034E-4</v>
      </c>
      <c r="DB30" s="23">
        <f t="shared" si="135"/>
        <v>3.0721802351419685E-5</v>
      </c>
      <c r="DC30" s="23">
        <f t="shared" si="136"/>
        <v>0.20754239121663481</v>
      </c>
      <c r="DD30" s="23">
        <f t="shared" si="137"/>
        <v>2.9086724670553685E-3</v>
      </c>
      <c r="DE30" s="23">
        <f t="shared" si="138"/>
        <v>1.7794072187377112</v>
      </c>
      <c r="DF30" s="23">
        <f t="shared" si="139"/>
        <v>5.0071820955028504E-4</v>
      </c>
      <c r="DG30" s="23">
        <f t="shared" si="140"/>
        <v>0</v>
      </c>
      <c r="DH30" s="23">
        <f t="shared" si="141"/>
        <v>0</v>
      </c>
      <c r="DI30" s="23">
        <f t="shared" si="142"/>
        <v>8.2872941431431178E-3</v>
      </c>
      <c r="DJ30" s="16">
        <f t="shared" si="143"/>
        <v>0.89554722969476641</v>
      </c>
      <c r="DL30" s="4">
        <f t="shared" si="144"/>
        <v>0.89789125043689566</v>
      </c>
      <c r="DM30" s="4">
        <f t="shared" si="145"/>
        <v>3.8815501158204471E-3</v>
      </c>
      <c r="DN30" s="4">
        <f t="shared" si="146"/>
        <v>4.7910909192603081E-2</v>
      </c>
      <c r="DO30" s="4">
        <f t="shared" si="147"/>
        <v>4.1384519426380297E-3</v>
      </c>
      <c r="DP30" s="4">
        <f t="shared" si="148"/>
        <v>3.2807193363398483E-2</v>
      </c>
      <c r="DQ30" s="4">
        <f t="shared" si="149"/>
        <v>7.8943237627110072E-4</v>
      </c>
      <c r="DR30" s="4">
        <f t="shared" si="150"/>
        <v>0.37011214767764983</v>
      </c>
      <c r="DS30" s="4">
        <f t="shared" si="151"/>
        <v>0.39961124881858867</v>
      </c>
      <c r="DT30" s="4">
        <f t="shared" si="152"/>
        <v>1.6263694230611428E-2</v>
      </c>
      <c r="DU30" s="4">
        <f t="shared" si="153"/>
        <v>0</v>
      </c>
      <c r="DV30" s="4">
        <f t="shared" si="154"/>
        <v>7.8990633585210811E-4</v>
      </c>
      <c r="DX30" s="69">
        <f t="shared" si="155"/>
        <v>1.7957825008737913</v>
      </c>
      <c r="DY30" s="69">
        <f t="shared" si="155"/>
        <v>7.7631002316408942E-3</v>
      </c>
      <c r="DZ30" s="69">
        <f t="shared" si="156"/>
        <v>0.14373272757780925</v>
      </c>
      <c r="EA30" s="69">
        <f t="shared" si="156"/>
        <v>1.2415355827914089E-2</v>
      </c>
      <c r="EB30" s="69">
        <f t="shared" si="157"/>
        <v>3.2807193363398483E-2</v>
      </c>
      <c r="EC30" s="69">
        <f t="shared" si="157"/>
        <v>7.8943237627110072E-4</v>
      </c>
      <c r="ED30" s="69">
        <f t="shared" si="157"/>
        <v>0.37011214767764983</v>
      </c>
      <c r="EE30" s="69">
        <f t="shared" si="157"/>
        <v>0.39961124881858867</v>
      </c>
      <c r="EF30" s="69">
        <f t="shared" si="157"/>
        <v>1.6263694230611428E-2</v>
      </c>
      <c r="EG30" s="69">
        <f t="shared" si="157"/>
        <v>0</v>
      </c>
      <c r="EH30" s="69">
        <f t="shared" si="157"/>
        <v>7.8990633585210811E-4</v>
      </c>
      <c r="EI30" s="69">
        <f t="shared" si="158"/>
        <v>2.7800673073135274</v>
      </c>
      <c r="EJ30" s="69">
        <f>6/EI30</f>
        <v>2.1582211280337678</v>
      </c>
      <c r="EL30" s="23">
        <f t="shared" si="159"/>
        <v>1.9378478673695672</v>
      </c>
      <c r="EM30" s="23">
        <f t="shared" si="160"/>
        <v>8.3772434694856079E-3</v>
      </c>
      <c r="EN30" s="23">
        <f t="shared" si="161"/>
        <v>0.20680467296556646</v>
      </c>
      <c r="EO30" s="23">
        <f t="shared" si="162"/>
        <v>1.7863388839907571E-2</v>
      </c>
      <c r="EP30" s="23">
        <f t="shared" si="163"/>
        <v>7.0805177868375813E-2</v>
      </c>
      <c r="EQ30" s="23">
        <f t="shared" si="164"/>
        <v>1.7037696336221929E-3</v>
      </c>
      <c r="ER30" s="23">
        <f t="shared" si="165"/>
        <v>0.79878385685985787</v>
      </c>
      <c r="ES30" s="23">
        <f t="shared" si="166"/>
        <v>0.86244944020023706</v>
      </c>
      <c r="ET30" s="23">
        <f t="shared" si="167"/>
        <v>7.0201297016772954E-2</v>
      </c>
      <c r="EU30" s="23">
        <f t="shared" si="168"/>
        <v>0</v>
      </c>
      <c r="EV30" s="23">
        <f t="shared" si="169"/>
        <v>1.704792543203757E-3</v>
      </c>
      <c r="EX30" s="14">
        <f t="shared" si="170"/>
        <v>-7.4514883192520296</v>
      </c>
      <c r="EY30" s="4">
        <f t="shared" si="171"/>
        <v>2.8535062898278618E-2</v>
      </c>
      <c r="EZ30" s="4">
        <f t="shared" si="172"/>
        <v>2.1989476064771707</v>
      </c>
      <c r="FA30" s="4">
        <f t="shared" si="173"/>
        <v>2.1989476064771707</v>
      </c>
      <c r="FC30" s="4">
        <f t="shared" si="174"/>
        <v>1.1171857647811878</v>
      </c>
    </row>
    <row r="31" spans="1:159" x14ac:dyDescent="0.2">
      <c r="A31" s="24" t="s">
        <v>94</v>
      </c>
      <c r="B31" s="24" t="s">
        <v>122</v>
      </c>
      <c r="C31" s="98">
        <v>40.668999999999997</v>
      </c>
      <c r="D31" s="98">
        <v>0</v>
      </c>
      <c r="E31" s="90">
        <f t="shared" si="175"/>
        <v>1.4737668031799565E-2</v>
      </c>
      <c r="F31" s="98">
        <v>9.6754228105569474E-3</v>
      </c>
      <c r="G31" s="98">
        <v>9.5530000000000008</v>
      </c>
      <c r="H31" s="98">
        <v>0.14099999999999999</v>
      </c>
      <c r="I31" s="98">
        <v>47.445</v>
      </c>
      <c r="J31" s="92">
        <f t="shared" si="176"/>
        <v>4.3063485956904929E-2</v>
      </c>
      <c r="K31" s="98">
        <v>0</v>
      </c>
      <c r="L31" s="98">
        <v>0</v>
      </c>
      <c r="M31" s="98">
        <v>0.374</v>
      </c>
      <c r="N31" s="105">
        <v>78</v>
      </c>
      <c r="O31" s="123">
        <v>307.77295329294293</v>
      </c>
      <c r="P31" s="11"/>
      <c r="Q31" s="100">
        <v>53.612000000000002</v>
      </c>
      <c r="R31" s="100">
        <v>0.18</v>
      </c>
      <c r="S31" s="100">
        <v>4.1390000000000002</v>
      </c>
      <c r="T31" s="100">
        <v>0.76900000000000002</v>
      </c>
      <c r="U31" s="100">
        <v>2.5289999999999999</v>
      </c>
      <c r="V31" s="100">
        <v>7.8E-2</v>
      </c>
      <c r="W31" s="100">
        <v>15.577999999999999</v>
      </c>
      <c r="X31" s="100">
        <v>21.824999999999999</v>
      </c>
      <c r="Y31" s="100">
        <v>0.72499999999999998</v>
      </c>
      <c r="Z31" s="100">
        <v>0</v>
      </c>
      <c r="AA31" s="100">
        <v>6.8000000000000005E-2</v>
      </c>
      <c r="AC31" s="99">
        <v>53.850499999999997</v>
      </c>
      <c r="AD31" s="99">
        <v>14.707999999999998</v>
      </c>
      <c r="AF31" s="83">
        <f t="shared" si="178"/>
        <v>0.15485120263410565</v>
      </c>
      <c r="AG31" s="22">
        <f t="shared" si="108"/>
        <v>2.7367745948133379E-4</v>
      </c>
      <c r="AH31" s="126">
        <f t="shared" si="177"/>
        <v>966.08335773787894</v>
      </c>
      <c r="AI31" s="126">
        <f t="shared" si="109"/>
        <v>965.93335367505165</v>
      </c>
      <c r="AJ31" s="126">
        <f t="shared" si="110"/>
        <v>0.15000406282729273</v>
      </c>
      <c r="AK31" s="12"/>
      <c r="AL31" s="25">
        <f t="shared" si="111"/>
        <v>1.8849902354758417</v>
      </c>
      <c r="AN31" s="4">
        <v>15.999000000000001</v>
      </c>
      <c r="AO31" s="4">
        <v>28.085000000000001</v>
      </c>
      <c r="AP31" s="4">
        <v>47.866999999999997</v>
      </c>
      <c r="AQ31" s="4">
        <v>26.9815386</v>
      </c>
      <c r="AR31" s="4">
        <v>51.996099999999998</v>
      </c>
      <c r="AS31" s="4">
        <v>55.844999999999999</v>
      </c>
      <c r="AT31" s="4">
        <v>54.938045000000002</v>
      </c>
      <c r="AU31" s="4">
        <v>24.305</v>
      </c>
      <c r="AV31" s="4">
        <v>40.078000000000003</v>
      </c>
      <c r="AW31" s="4">
        <v>22.989769280000001</v>
      </c>
      <c r="AX31" s="4">
        <v>39.098300000000002</v>
      </c>
      <c r="AY31" s="4">
        <v>58.693399999999997</v>
      </c>
      <c r="BA31" s="4">
        <f>AN31*2+AO31</f>
        <v>60.082999999999998</v>
      </c>
      <c r="BB31" s="4">
        <f>AN31*2+AP31</f>
        <v>79.864999999999995</v>
      </c>
      <c r="BC31" s="4">
        <f>AQ31*2+AN31*3</f>
        <v>101.9600772</v>
      </c>
      <c r="BD31" s="4">
        <f>AR31*2+AN31*3</f>
        <v>151.98919999999998</v>
      </c>
      <c r="BE31" s="4">
        <f>AS31+AN31</f>
        <v>71.843999999999994</v>
      </c>
      <c r="BF31" s="4">
        <f>AT31+AN31</f>
        <v>70.937044999999998</v>
      </c>
      <c r="BG31" s="4">
        <f>AU31+AN31</f>
        <v>40.304000000000002</v>
      </c>
      <c r="BH31" s="4">
        <f>AV31+AN31</f>
        <v>56.077000000000005</v>
      </c>
      <c r="BI31" s="4">
        <f>AW31*2+AN31</f>
        <v>61.978538560000004</v>
      </c>
      <c r="BJ31" s="4">
        <f>AX31*2+AN31</f>
        <v>94.195599999999999</v>
      </c>
      <c r="BK31" s="4">
        <f>AY31+AN31</f>
        <v>74.692399999999992</v>
      </c>
      <c r="BM31" s="4">
        <f t="shared" si="112"/>
        <v>0.6768803155634705</v>
      </c>
      <c r="BN31" s="4">
        <f t="shared" si="113"/>
        <v>0</v>
      </c>
      <c r="BO31" s="4">
        <f t="shared" si="114"/>
        <v>1.445435158203231E-4</v>
      </c>
      <c r="BP31" s="4">
        <f t="shared" si="115"/>
        <v>6.3658620550387449E-5</v>
      </c>
      <c r="BQ31" s="4">
        <f t="shared" si="116"/>
        <v>0.13296865430655311</v>
      </c>
      <c r="BR31" s="4">
        <f t="shared" si="117"/>
        <v>1.9876779473968782E-3</v>
      </c>
      <c r="BS31" s="4">
        <f t="shared" si="118"/>
        <v>1.1771784438269155</v>
      </c>
      <c r="BT31" s="4">
        <f t="shared" si="119"/>
        <v>7.6793491015754987E-4</v>
      </c>
      <c r="BU31" s="4">
        <f t="shared" si="120"/>
        <v>0</v>
      </c>
      <c r="BV31" s="4">
        <f t="shared" si="121"/>
        <v>0</v>
      </c>
      <c r="BW31" s="4">
        <f t="shared" si="122"/>
        <v>5.0072028747235337E-3</v>
      </c>
      <c r="BY31" s="4">
        <f t="shared" si="123"/>
        <v>0.6768803155634705</v>
      </c>
      <c r="BZ31" s="4">
        <f t="shared" si="123"/>
        <v>0</v>
      </c>
      <c r="CA31" s="4">
        <f t="shared" si="124"/>
        <v>2.890870316406462E-4</v>
      </c>
      <c r="CB31" s="4">
        <f t="shared" si="124"/>
        <v>1.273172411007749E-4</v>
      </c>
      <c r="CC31" s="4">
        <f t="shared" si="125"/>
        <v>0.13296865430655311</v>
      </c>
      <c r="CD31" s="4">
        <f t="shared" si="125"/>
        <v>1.9876779473968782E-3</v>
      </c>
      <c r="CE31" s="4">
        <f t="shared" si="125"/>
        <v>1.1771784438269155</v>
      </c>
      <c r="CF31" s="4">
        <f t="shared" si="125"/>
        <v>7.6793491015754987E-4</v>
      </c>
      <c r="CG31" s="4">
        <f t="shared" si="126"/>
        <v>0</v>
      </c>
      <c r="CH31" s="4">
        <f t="shared" si="126"/>
        <v>0</v>
      </c>
      <c r="CI31" s="4">
        <f>BW31</f>
        <v>5.0072028747235337E-3</v>
      </c>
      <c r="CK31" s="69">
        <f t="shared" si="127"/>
        <v>1.353760631126941</v>
      </c>
      <c r="CL31" s="69">
        <f t="shared" si="127"/>
        <v>0</v>
      </c>
      <c r="CM31" s="69">
        <f t="shared" si="128"/>
        <v>4.3363054746096931E-4</v>
      </c>
      <c r="CN31" s="69">
        <f t="shared" si="128"/>
        <v>1.9097586165116233E-4</v>
      </c>
      <c r="CO31" s="69">
        <f t="shared" si="129"/>
        <v>0.13296865430655311</v>
      </c>
      <c r="CP31" s="69">
        <f t="shared" si="129"/>
        <v>1.9876779473968782E-3</v>
      </c>
      <c r="CQ31" s="69">
        <f t="shared" si="129"/>
        <v>1.1771784438269155</v>
      </c>
      <c r="CR31" s="69">
        <f t="shared" si="129"/>
        <v>7.6793491015754987E-4</v>
      </c>
      <c r="CS31" s="69">
        <f t="shared" si="129"/>
        <v>0</v>
      </c>
      <c r="CT31" s="69">
        <f t="shared" si="129"/>
        <v>0</v>
      </c>
      <c r="CU31" s="69">
        <f t="shared" si="129"/>
        <v>5.0072028747235337E-3</v>
      </c>
      <c r="CV31" s="69">
        <f t="shared" si="130"/>
        <v>2.6722951514017996</v>
      </c>
      <c r="CW31" s="16">
        <f t="shared" si="131"/>
        <v>1.4968406457279726</v>
      </c>
      <c r="CY31" s="23">
        <f t="shared" si="132"/>
        <v>1.013181968628579</v>
      </c>
      <c r="CZ31" s="23">
        <f t="shared" si="133"/>
        <v>0</v>
      </c>
      <c r="DA31" s="23">
        <f t="shared" si="134"/>
        <v>4.3271721911256771E-4</v>
      </c>
      <c r="DB31" s="23">
        <f t="shared" si="135"/>
        <v>1.9057362138158787E-4</v>
      </c>
      <c r="DC31" s="23">
        <f t="shared" si="136"/>
        <v>0.19903288637380051</v>
      </c>
      <c r="DD31" s="23">
        <f t="shared" si="137"/>
        <v>2.9752371422807943E-3</v>
      </c>
      <c r="DE31" s="23">
        <f t="shared" si="138"/>
        <v>1.7620485419949301</v>
      </c>
      <c r="DF31" s="23">
        <f t="shared" si="139"/>
        <v>1.1494761867972797E-3</v>
      </c>
      <c r="DG31" s="23">
        <f t="shared" si="140"/>
        <v>0</v>
      </c>
      <c r="DH31" s="23">
        <f t="shared" si="141"/>
        <v>0</v>
      </c>
      <c r="DI31" s="23">
        <f t="shared" si="142"/>
        <v>7.4949847842921353E-3</v>
      </c>
      <c r="DJ31" s="16">
        <f t="shared" si="143"/>
        <v>0.89850860678469624</v>
      </c>
      <c r="DL31" s="4">
        <f t="shared" si="144"/>
        <v>0.89229898640214378</v>
      </c>
      <c r="DM31" s="4">
        <f t="shared" si="145"/>
        <v>2.2538032930570339E-3</v>
      </c>
      <c r="DN31" s="4">
        <f t="shared" si="146"/>
        <v>4.059431998939287E-2</v>
      </c>
      <c r="DO31" s="4">
        <f t="shared" si="147"/>
        <v>5.0595700220805173E-3</v>
      </c>
      <c r="DP31" s="4">
        <f t="shared" si="148"/>
        <v>3.5201269417070323E-2</v>
      </c>
      <c r="DQ31" s="4">
        <f t="shared" si="149"/>
        <v>1.0995665240918903E-3</v>
      </c>
      <c r="DR31" s="4">
        <f t="shared" si="150"/>
        <v>0.38651250496228656</v>
      </c>
      <c r="DS31" s="4">
        <f t="shared" si="151"/>
        <v>0.38919699698628668</v>
      </c>
      <c r="DT31" s="4">
        <f t="shared" si="152"/>
        <v>1.1697597536898099E-2</v>
      </c>
      <c r="DU31" s="4">
        <f t="shared" si="153"/>
        <v>0</v>
      </c>
      <c r="DV31" s="4">
        <f t="shared" si="154"/>
        <v>9.1040052267700607E-4</v>
      </c>
      <c r="DX31" s="69">
        <f t="shared" si="155"/>
        <v>1.7845979728042876</v>
      </c>
      <c r="DY31" s="69">
        <f t="shared" si="155"/>
        <v>4.5076065861140678E-3</v>
      </c>
      <c r="DZ31" s="69">
        <f t="shared" si="156"/>
        <v>0.12178295996817862</v>
      </c>
      <c r="EA31" s="69">
        <f t="shared" si="156"/>
        <v>1.5178710066241552E-2</v>
      </c>
      <c r="EB31" s="69">
        <f t="shared" si="157"/>
        <v>3.5201269417070323E-2</v>
      </c>
      <c r="EC31" s="69">
        <f t="shared" si="157"/>
        <v>1.0995665240918903E-3</v>
      </c>
      <c r="ED31" s="69">
        <f t="shared" si="157"/>
        <v>0.38651250496228656</v>
      </c>
      <c r="EE31" s="69">
        <f t="shared" si="157"/>
        <v>0.38919699698628668</v>
      </c>
      <c r="EF31" s="69">
        <f t="shared" si="157"/>
        <v>1.1697597536898099E-2</v>
      </c>
      <c r="EG31" s="69">
        <f t="shared" si="157"/>
        <v>0</v>
      </c>
      <c r="EH31" s="69">
        <f t="shared" si="157"/>
        <v>9.1040052267700607E-4</v>
      </c>
      <c r="EI31" s="69">
        <f t="shared" si="158"/>
        <v>2.7506855853741317</v>
      </c>
      <c r="EJ31" s="69">
        <f>6/EI31</f>
        <v>2.1812743818861131</v>
      </c>
      <c r="EL31" s="23">
        <f t="shared" si="159"/>
        <v>1.9463489200219415</v>
      </c>
      <c r="EM31" s="23">
        <f t="shared" si="160"/>
        <v>4.9161633849558678E-3</v>
      </c>
      <c r="EN31" s="23">
        <f t="shared" si="161"/>
        <v>0.17709470048590004</v>
      </c>
      <c r="EO31" s="23">
        <f t="shared" si="162"/>
        <v>2.2072620945046376E-2</v>
      </c>
      <c r="EP31" s="23">
        <f t="shared" si="163"/>
        <v>7.6783627189326603E-2</v>
      </c>
      <c r="EQ31" s="23">
        <f t="shared" si="164"/>
        <v>2.3984562901812E-3</v>
      </c>
      <c r="ER31" s="23">
        <f t="shared" si="165"/>
        <v>0.84308982535286481</v>
      </c>
      <c r="ES31" s="23">
        <f t="shared" si="166"/>
        <v>0.84894543903319386</v>
      </c>
      <c r="ET31" s="23">
        <f t="shared" si="167"/>
        <v>5.1031339673699841E-2</v>
      </c>
      <c r="EU31" s="23">
        <f t="shared" si="168"/>
        <v>0</v>
      </c>
      <c r="EV31" s="23">
        <f t="shared" si="169"/>
        <v>1.9858333373710805E-3</v>
      </c>
      <c r="EX31" s="14">
        <f t="shared" si="170"/>
        <v>-6.6046885704009952</v>
      </c>
      <c r="EY31" s="4">
        <f t="shared" si="171"/>
        <v>1.2008018008170804</v>
      </c>
      <c r="EZ31" s="4">
        <f t="shared" si="172"/>
        <v>1.9833070434190776</v>
      </c>
      <c r="FA31" s="4">
        <f t="shared" si="173"/>
        <v>1.9833070434190776</v>
      </c>
      <c r="FC31" s="4">
        <f t="shared" si="174"/>
        <v>1.8849902354758417</v>
      </c>
    </row>
    <row r="32" spans="1:159" x14ac:dyDescent="0.2">
      <c r="A32" s="24" t="s">
        <v>95</v>
      </c>
      <c r="B32" s="24" t="s">
        <v>122</v>
      </c>
      <c r="C32" s="98">
        <v>40.587000000000003</v>
      </c>
      <c r="D32" s="98">
        <v>0</v>
      </c>
      <c r="E32" s="90">
        <f t="shared" si="175"/>
        <v>1.347174013676037E-2</v>
      </c>
      <c r="F32" s="98">
        <v>5.071558482270787E-3</v>
      </c>
      <c r="G32" s="98">
        <v>10.077</v>
      </c>
      <c r="H32" s="98">
        <v>0.157</v>
      </c>
      <c r="I32" s="98">
        <v>47.664000000000001</v>
      </c>
      <c r="J32" s="92">
        <f t="shared" si="176"/>
        <v>4.0825077469133712E-2</v>
      </c>
      <c r="K32" s="98">
        <v>0</v>
      </c>
      <c r="L32" s="98">
        <v>0</v>
      </c>
      <c r="M32" s="98">
        <v>0.42499999999999999</v>
      </c>
      <c r="N32" s="105">
        <v>71.3</v>
      </c>
      <c r="O32" s="123">
        <v>291.77514039765703</v>
      </c>
      <c r="P32" s="11"/>
      <c r="Q32" s="100">
        <v>52.655000000000001</v>
      </c>
      <c r="R32" s="100">
        <v>0.63800000000000001</v>
      </c>
      <c r="S32" s="100">
        <v>6.7629999999999999</v>
      </c>
      <c r="T32" s="100">
        <v>0.82599999999999996</v>
      </c>
      <c r="U32" s="100">
        <v>2.6480000000000001</v>
      </c>
      <c r="V32" s="100">
        <v>7.8E-2</v>
      </c>
      <c r="W32" s="100">
        <v>14.1</v>
      </c>
      <c r="X32" s="100">
        <v>19.574999999999999</v>
      </c>
      <c r="Y32" s="100">
        <v>1.786</v>
      </c>
      <c r="Z32" s="100">
        <v>0</v>
      </c>
      <c r="AA32" s="100">
        <v>6.6000000000000003E-2</v>
      </c>
      <c r="AC32" s="99">
        <v>60.066374999999994</v>
      </c>
      <c r="AD32" s="99">
        <v>8.7909999999999986</v>
      </c>
      <c r="AF32" s="83">
        <f t="shared" si="178"/>
        <v>8.9402719492538738E-2</v>
      </c>
      <c r="AG32" s="22">
        <f t="shared" si="108"/>
        <v>2.2428089154306999E-4</v>
      </c>
      <c r="AH32" s="126">
        <f t="shared" si="177"/>
        <v>947.82616876100565</v>
      </c>
      <c r="AI32" s="126">
        <f t="shared" si="109"/>
        <v>947.67619130618687</v>
      </c>
      <c r="AJ32" s="126">
        <f t="shared" si="110"/>
        <v>0.14997745481878155</v>
      </c>
      <c r="AK32" s="12"/>
      <c r="AL32" s="25">
        <f t="shared" si="111"/>
        <v>1.7442472557345852</v>
      </c>
      <c r="AN32" s="4">
        <v>15.999000000000001</v>
      </c>
      <c r="AO32" s="4">
        <v>28.085000000000001</v>
      </c>
      <c r="AP32" s="4">
        <v>47.866999999999997</v>
      </c>
      <c r="AQ32" s="4">
        <v>26.9815386</v>
      </c>
      <c r="AR32" s="4">
        <v>51.996099999999998</v>
      </c>
      <c r="AS32" s="4">
        <v>55.844999999999999</v>
      </c>
      <c r="AT32" s="4">
        <v>54.938045000000002</v>
      </c>
      <c r="AU32" s="4">
        <v>24.305</v>
      </c>
      <c r="AV32" s="4">
        <v>40.078000000000003</v>
      </c>
      <c r="AW32" s="4">
        <v>22.989769280000001</v>
      </c>
      <c r="AX32" s="4">
        <v>39.098300000000002</v>
      </c>
      <c r="AY32" s="4">
        <v>58.693399999999997</v>
      </c>
      <c r="BA32" s="4">
        <f>AN32*2+AO32</f>
        <v>60.082999999999998</v>
      </c>
      <c r="BB32" s="4">
        <f>AN32*2+AP32</f>
        <v>79.864999999999995</v>
      </c>
      <c r="BC32" s="4">
        <f>AQ32*2+AN32*3</f>
        <v>101.9600772</v>
      </c>
      <c r="BD32" s="4">
        <f>AR32*2+AN32*3</f>
        <v>151.98919999999998</v>
      </c>
      <c r="BE32" s="4">
        <f>AS32+AN32</f>
        <v>71.843999999999994</v>
      </c>
      <c r="BF32" s="4">
        <f>AT32+AN32</f>
        <v>70.937044999999998</v>
      </c>
      <c r="BG32" s="4">
        <f>AU32+AN32</f>
        <v>40.304000000000002</v>
      </c>
      <c r="BH32" s="4">
        <f>AV32+AN32</f>
        <v>56.077000000000005</v>
      </c>
      <c r="BI32" s="4">
        <f>AW32*2+AN32</f>
        <v>61.978538560000004</v>
      </c>
      <c r="BJ32" s="4">
        <f>AX32*2+AN32</f>
        <v>94.195599999999999</v>
      </c>
      <c r="BK32" s="4">
        <f>AY32+AN32</f>
        <v>74.692399999999992</v>
      </c>
      <c r="BM32" s="4">
        <f t="shared" si="112"/>
        <v>0.67551553684070376</v>
      </c>
      <c r="BN32" s="4">
        <f t="shared" si="113"/>
        <v>0</v>
      </c>
      <c r="BO32" s="4">
        <f t="shared" si="114"/>
        <v>1.3212759843575687E-4</v>
      </c>
      <c r="BP32" s="4">
        <f t="shared" si="115"/>
        <v>3.3367887206925149E-5</v>
      </c>
      <c r="BQ32" s="4">
        <f t="shared" si="116"/>
        <v>0.14026223484215802</v>
      </c>
      <c r="BR32" s="4">
        <f t="shared" si="117"/>
        <v>2.2132300549029074E-3</v>
      </c>
      <c r="BS32" s="4">
        <f t="shared" si="118"/>
        <v>1.1826121476776499</v>
      </c>
      <c r="BT32" s="4">
        <f t="shared" si="119"/>
        <v>7.2801821547396808E-4</v>
      </c>
      <c r="BU32" s="4">
        <f t="shared" si="120"/>
        <v>0</v>
      </c>
      <c r="BV32" s="4">
        <f t="shared" si="121"/>
        <v>0</v>
      </c>
      <c r="BW32" s="4">
        <f t="shared" si="122"/>
        <v>5.690003266731288E-3</v>
      </c>
      <c r="BY32" s="4">
        <f t="shared" si="123"/>
        <v>0.67551553684070376</v>
      </c>
      <c r="BZ32" s="4">
        <f t="shared" si="123"/>
        <v>0</v>
      </c>
      <c r="CA32" s="4">
        <f t="shared" si="124"/>
        <v>2.6425519687151374E-4</v>
      </c>
      <c r="CB32" s="4">
        <f t="shared" si="124"/>
        <v>6.6735774413850297E-5</v>
      </c>
      <c r="CC32" s="4">
        <f t="shared" si="125"/>
        <v>0.14026223484215802</v>
      </c>
      <c r="CD32" s="4">
        <f t="shared" si="125"/>
        <v>2.2132300549029074E-3</v>
      </c>
      <c r="CE32" s="4">
        <f t="shared" si="125"/>
        <v>1.1826121476776499</v>
      </c>
      <c r="CF32" s="4">
        <f t="shared" si="125"/>
        <v>7.2801821547396808E-4</v>
      </c>
      <c r="CG32" s="4">
        <f t="shared" si="126"/>
        <v>0</v>
      </c>
      <c r="CH32" s="4">
        <f t="shared" si="126"/>
        <v>0</v>
      </c>
      <c r="CI32" s="4">
        <f>BW32</f>
        <v>5.690003266731288E-3</v>
      </c>
      <c r="CK32" s="69">
        <f t="shared" si="127"/>
        <v>1.3510310736814075</v>
      </c>
      <c r="CL32" s="69">
        <f t="shared" si="127"/>
        <v>0</v>
      </c>
      <c r="CM32" s="69">
        <f t="shared" si="128"/>
        <v>3.9638279530727059E-4</v>
      </c>
      <c r="CN32" s="69">
        <f t="shared" si="128"/>
        <v>1.0010366162077545E-4</v>
      </c>
      <c r="CO32" s="69">
        <f t="shared" si="129"/>
        <v>0.14026223484215802</v>
      </c>
      <c r="CP32" s="69">
        <f t="shared" si="129"/>
        <v>2.2132300549029074E-3</v>
      </c>
      <c r="CQ32" s="69">
        <f t="shared" si="129"/>
        <v>1.1826121476776499</v>
      </c>
      <c r="CR32" s="69">
        <f t="shared" si="129"/>
        <v>7.2801821547396808E-4</v>
      </c>
      <c r="CS32" s="69">
        <f t="shared" si="129"/>
        <v>0</v>
      </c>
      <c r="CT32" s="69">
        <f t="shared" si="129"/>
        <v>0</v>
      </c>
      <c r="CU32" s="69">
        <f t="shared" si="129"/>
        <v>5.690003266731288E-3</v>
      </c>
      <c r="CV32" s="69">
        <f t="shared" si="130"/>
        <v>2.6830331941952519</v>
      </c>
      <c r="CW32" s="16">
        <f t="shared" si="131"/>
        <v>1.4908499859986857</v>
      </c>
      <c r="CY32" s="23">
        <f t="shared" si="132"/>
        <v>1.0070923286408577</v>
      </c>
      <c r="CZ32" s="23">
        <f t="shared" si="133"/>
        <v>0</v>
      </c>
      <c r="DA32" s="23">
        <f t="shared" si="134"/>
        <v>3.9396485655597617E-4</v>
      </c>
      <c r="DB32" s="23">
        <f t="shared" si="135"/>
        <v>9.9493028350500161E-5</v>
      </c>
      <c r="DC32" s="23">
        <f t="shared" si="136"/>
        <v>0.20910995085057565</v>
      </c>
      <c r="DD32" s="23">
        <f t="shared" si="137"/>
        <v>3.2995939963638699E-3</v>
      </c>
      <c r="DE32" s="23">
        <f t="shared" si="138"/>
        <v>1.7630973038070998</v>
      </c>
      <c r="DF32" s="23">
        <f t="shared" si="139"/>
        <v>1.0853659463461534E-3</v>
      </c>
      <c r="DG32" s="23">
        <f t="shared" si="140"/>
        <v>0</v>
      </c>
      <c r="DH32" s="23">
        <f t="shared" si="141"/>
        <v>0</v>
      </c>
      <c r="DI32" s="23">
        <f t="shared" si="142"/>
        <v>8.482941290538816E-3</v>
      </c>
      <c r="DJ32" s="16">
        <f t="shared" si="143"/>
        <v>0.89397161461771835</v>
      </c>
      <c r="DL32" s="4">
        <f t="shared" si="144"/>
        <v>0.87637102008887713</v>
      </c>
      <c r="DM32" s="4">
        <f t="shared" si="145"/>
        <v>7.9884805609465974E-3</v>
      </c>
      <c r="DN32" s="4">
        <f t="shared" si="146"/>
        <v>6.632988308486687E-2</v>
      </c>
      <c r="DO32" s="4">
        <f t="shared" si="147"/>
        <v>5.4345966687106718E-3</v>
      </c>
      <c r="DP32" s="4">
        <f t="shared" si="148"/>
        <v>3.6857635989087471E-2</v>
      </c>
      <c r="DQ32" s="4">
        <f t="shared" si="149"/>
        <v>1.0995665240918903E-3</v>
      </c>
      <c r="DR32" s="4">
        <f t="shared" si="150"/>
        <v>0.34984120682810638</v>
      </c>
      <c r="DS32" s="4">
        <f t="shared" si="151"/>
        <v>0.3490735952351231</v>
      </c>
      <c r="DT32" s="4">
        <f t="shared" si="152"/>
        <v>2.8816426484000013E-2</v>
      </c>
      <c r="DU32" s="4">
        <f t="shared" si="153"/>
        <v>0</v>
      </c>
      <c r="DV32" s="4">
        <f t="shared" si="154"/>
        <v>8.836240367159177E-4</v>
      </c>
      <c r="DX32" s="69">
        <f t="shared" si="155"/>
        <v>1.7527420401777543</v>
      </c>
      <c r="DY32" s="69">
        <f t="shared" si="155"/>
        <v>1.5976961121893195E-2</v>
      </c>
      <c r="DZ32" s="69">
        <f t="shared" si="156"/>
        <v>0.19898964925460061</v>
      </c>
      <c r="EA32" s="69">
        <f t="shared" si="156"/>
        <v>1.6303790006132017E-2</v>
      </c>
      <c r="EB32" s="69">
        <f t="shared" si="157"/>
        <v>3.6857635989087471E-2</v>
      </c>
      <c r="EC32" s="69">
        <f t="shared" si="157"/>
        <v>1.0995665240918903E-3</v>
      </c>
      <c r="ED32" s="69">
        <f t="shared" si="157"/>
        <v>0.34984120682810638</v>
      </c>
      <c r="EE32" s="69">
        <f t="shared" si="157"/>
        <v>0.3490735952351231</v>
      </c>
      <c r="EF32" s="69">
        <f t="shared" si="157"/>
        <v>2.8816426484000013E-2</v>
      </c>
      <c r="EG32" s="69">
        <f t="shared" si="157"/>
        <v>0</v>
      </c>
      <c r="EH32" s="69">
        <f t="shared" si="157"/>
        <v>8.836240367159177E-4</v>
      </c>
      <c r="EI32" s="69">
        <f t="shared" si="158"/>
        <v>2.7505844956575052</v>
      </c>
      <c r="EJ32" s="69">
        <f>6/EI32</f>
        <v>2.1813545482687484</v>
      </c>
      <c r="EL32" s="23">
        <f t="shared" si="159"/>
        <v>1.9116759106417949</v>
      </c>
      <c r="EM32" s="23">
        <f t="shared" si="160"/>
        <v>1.7425708405377344E-2</v>
      </c>
      <c r="EN32" s="23">
        <f t="shared" si="161"/>
        <v>0.28937798430661732</v>
      </c>
      <c r="EO32" s="23">
        <f t="shared" si="162"/>
        <v>2.3709564322596424E-2</v>
      </c>
      <c r="EP32" s="23">
        <f t="shared" si="163"/>
        <v>8.0399571903229869E-2</v>
      </c>
      <c r="EQ32" s="23">
        <f t="shared" si="164"/>
        <v>2.3985444384519031E-3</v>
      </c>
      <c r="ER32" s="23">
        <f t="shared" si="165"/>
        <v>0.76312770768631777</v>
      </c>
      <c r="ES32" s="23">
        <f t="shared" si="166"/>
        <v>0.76145327464665991</v>
      </c>
      <c r="ET32" s="23">
        <f t="shared" si="167"/>
        <v>0.12571768595145089</v>
      </c>
      <c r="EU32" s="23">
        <f t="shared" si="168"/>
        <v>0</v>
      </c>
      <c r="EV32" s="23">
        <f t="shared" si="169"/>
        <v>1.9274973114498585E-3</v>
      </c>
      <c r="EX32" s="14">
        <f t="shared" si="170"/>
        <v>-6.5533116029636158</v>
      </c>
      <c r="EY32" s="4">
        <f t="shared" si="171"/>
        <v>0.75736079389741306</v>
      </c>
      <c r="EZ32" s="4">
        <f t="shared" si="172"/>
        <v>1.6056978493926088</v>
      </c>
      <c r="FA32" s="4">
        <f t="shared" si="173"/>
        <v>1.6056978493926088</v>
      </c>
      <c r="FC32" s="4">
        <f t="shared" si="174"/>
        <v>1.7442472557345852</v>
      </c>
    </row>
    <row r="33" spans="1:159" x14ac:dyDescent="0.2">
      <c r="A33" s="24" t="s">
        <v>96</v>
      </c>
      <c r="B33" s="24" t="s">
        <v>122</v>
      </c>
      <c r="C33" s="98">
        <v>41.345500000000001</v>
      </c>
      <c r="D33" s="98">
        <v>0</v>
      </c>
      <c r="E33" s="90">
        <f t="shared" si="175"/>
        <v>4.9314504567944707E-3</v>
      </c>
      <c r="F33" s="98">
        <v>2.4553943084192854E-3</v>
      </c>
      <c r="G33" s="98">
        <v>9.3030000000000008</v>
      </c>
      <c r="H33" s="98">
        <v>0.11899999999999999</v>
      </c>
      <c r="I33" s="98">
        <v>48.461500000000001</v>
      </c>
      <c r="J33" s="92">
        <f t="shared" si="176"/>
        <v>2.1127279450698158E-2</v>
      </c>
      <c r="K33" s="98">
        <v>0</v>
      </c>
      <c r="L33" s="98">
        <v>0</v>
      </c>
      <c r="M33" s="98">
        <v>0.35899999999999999</v>
      </c>
      <c r="N33" s="105">
        <v>26.1</v>
      </c>
      <c r="O33" s="123">
        <v>150.99579253973658</v>
      </c>
      <c r="P33" s="11"/>
      <c r="Q33" s="100">
        <v>52.048999999999999</v>
      </c>
      <c r="R33" s="100">
        <v>0.17399999999999999</v>
      </c>
      <c r="S33" s="100">
        <v>4.7069999999999999</v>
      </c>
      <c r="T33" s="100">
        <v>0.83199999999999996</v>
      </c>
      <c r="U33" s="100">
        <v>2.1589999999999998</v>
      </c>
      <c r="V33" s="100">
        <v>7.3999999999999996E-2</v>
      </c>
      <c r="W33" s="100">
        <v>15.047000000000001</v>
      </c>
      <c r="X33" s="100">
        <v>22.271999999999998</v>
      </c>
      <c r="Y33" s="100">
        <v>0.95799999999999996</v>
      </c>
      <c r="Z33" s="100">
        <v>0</v>
      </c>
      <c r="AA33" s="100">
        <v>4.2999999999999997E-2</v>
      </c>
      <c r="AC33" s="99">
        <v>54.285999999999994</v>
      </c>
      <c r="AD33" s="99">
        <v>14.0335</v>
      </c>
      <c r="AF33" s="83">
        <f t="shared" si="178"/>
        <v>0.14778920455429109</v>
      </c>
      <c r="AG33" s="22">
        <f t="shared" si="108"/>
        <v>9.0842030298686054E-5</v>
      </c>
      <c r="AH33" s="126">
        <f t="shared" si="177"/>
        <v>831.54811534354417</v>
      </c>
      <c r="AI33" s="126">
        <f t="shared" si="109"/>
        <v>831.39809568520741</v>
      </c>
      <c r="AJ33" s="126">
        <f t="shared" si="110"/>
        <v>0.15001965833675968</v>
      </c>
      <c r="AK33" s="12"/>
      <c r="AL33" s="25">
        <f t="shared" si="111"/>
        <v>1.2317131007371045</v>
      </c>
      <c r="AN33" s="4">
        <v>15.999000000000001</v>
      </c>
      <c r="AO33" s="4">
        <v>28.085000000000001</v>
      </c>
      <c r="AP33" s="4">
        <v>47.866999999999997</v>
      </c>
      <c r="AQ33" s="4">
        <v>26.9815386</v>
      </c>
      <c r="AR33" s="4">
        <v>51.996099999999998</v>
      </c>
      <c r="AS33" s="4">
        <v>55.844999999999999</v>
      </c>
      <c r="AT33" s="4">
        <v>54.938045000000002</v>
      </c>
      <c r="AU33" s="4">
        <v>24.305</v>
      </c>
      <c r="AV33" s="4">
        <v>40.078000000000003</v>
      </c>
      <c r="AW33" s="4">
        <v>22.989769280000001</v>
      </c>
      <c r="AX33" s="4">
        <v>39.098300000000002</v>
      </c>
      <c r="AY33" s="4">
        <v>58.693399999999997</v>
      </c>
      <c r="BA33" s="4">
        <f t="shared" ref="BA33:BA34" si="179">AN33*2+AO33</f>
        <v>60.082999999999998</v>
      </c>
      <c r="BB33" s="4">
        <f t="shared" ref="BB33:BB34" si="180">AN33*2+AP33</f>
        <v>79.864999999999995</v>
      </c>
      <c r="BC33" s="4">
        <f t="shared" ref="BC33:BC34" si="181">AQ33*2+AN33*3</f>
        <v>101.9600772</v>
      </c>
      <c r="BD33" s="4">
        <f t="shared" ref="BD33:BD34" si="182">AR33*2+AN33*3</f>
        <v>151.98919999999998</v>
      </c>
      <c r="BE33" s="4">
        <f t="shared" ref="BE33:BE34" si="183">AS33+AN33</f>
        <v>71.843999999999994</v>
      </c>
      <c r="BF33" s="4">
        <f t="shared" ref="BF33:BF34" si="184">AT33+AN33</f>
        <v>70.937044999999998</v>
      </c>
      <c r="BG33" s="4">
        <f t="shared" ref="BG33:BG34" si="185">AU33+AN33</f>
        <v>40.304000000000002</v>
      </c>
      <c r="BH33" s="4">
        <f t="shared" ref="BH33:BH34" si="186">AV33+AN33</f>
        <v>56.077000000000005</v>
      </c>
      <c r="BI33" s="4">
        <f t="shared" ref="BI33:BI34" si="187">AW33*2+AN33</f>
        <v>61.978538560000004</v>
      </c>
      <c r="BJ33" s="4">
        <f t="shared" ref="BJ33:BJ34" si="188">AX33*2+AN33</f>
        <v>94.195599999999999</v>
      </c>
      <c r="BK33" s="4">
        <f t="shared" ref="BK33:BK34" si="189">AY33+AN33</f>
        <v>74.692399999999992</v>
      </c>
      <c r="BM33" s="4">
        <f t="shared" si="112"/>
        <v>0.68813974002629696</v>
      </c>
      <c r="BN33" s="4">
        <f t="shared" si="113"/>
        <v>0</v>
      </c>
      <c r="BO33" s="4">
        <f t="shared" si="114"/>
        <v>4.8366484139877355E-5</v>
      </c>
      <c r="BP33" s="4">
        <f t="shared" si="115"/>
        <v>1.6155057783179893E-5</v>
      </c>
      <c r="BQ33" s="4">
        <f t="shared" si="116"/>
        <v>0.12948889260063473</v>
      </c>
      <c r="BR33" s="4">
        <f t="shared" si="117"/>
        <v>1.6775437995760888E-3</v>
      </c>
      <c r="BS33" s="4">
        <f t="shared" si="118"/>
        <v>1.2023992655815801</v>
      </c>
      <c r="BT33" s="4">
        <f t="shared" si="119"/>
        <v>3.7675480947087318E-4</v>
      </c>
      <c r="BU33" s="4">
        <f t="shared" si="120"/>
        <v>0</v>
      </c>
      <c r="BV33" s="4">
        <f t="shared" si="121"/>
        <v>0</v>
      </c>
      <c r="BW33" s="4">
        <f t="shared" si="122"/>
        <v>4.80637923001537E-3</v>
      </c>
      <c r="BY33" s="4">
        <f t="shared" si="123"/>
        <v>0.68813974002629696</v>
      </c>
      <c r="BZ33" s="4">
        <f t="shared" si="123"/>
        <v>0</v>
      </c>
      <c r="CA33" s="4">
        <f t="shared" si="124"/>
        <v>9.6732968279754711E-5</v>
      </c>
      <c r="CB33" s="4">
        <f t="shared" si="124"/>
        <v>3.2310115566359787E-5</v>
      </c>
      <c r="CC33" s="4">
        <f t="shared" si="125"/>
        <v>0.12948889260063473</v>
      </c>
      <c r="CD33" s="4">
        <f t="shared" si="125"/>
        <v>1.6775437995760888E-3</v>
      </c>
      <c r="CE33" s="4">
        <f t="shared" si="125"/>
        <v>1.2023992655815801</v>
      </c>
      <c r="CF33" s="4">
        <f t="shared" si="125"/>
        <v>3.7675480947087318E-4</v>
      </c>
      <c r="CG33" s="4">
        <f t="shared" si="126"/>
        <v>0</v>
      </c>
      <c r="CH33" s="4">
        <f t="shared" si="126"/>
        <v>0</v>
      </c>
      <c r="CI33" s="4">
        <f t="shared" ref="CI33:CI34" si="190">BW33</f>
        <v>4.80637923001537E-3</v>
      </c>
      <c r="CK33" s="69">
        <f t="shared" si="127"/>
        <v>1.3762794800525939</v>
      </c>
      <c r="CL33" s="69">
        <f t="shared" si="127"/>
        <v>0</v>
      </c>
      <c r="CM33" s="69">
        <f t="shared" si="128"/>
        <v>1.4509945241963207E-4</v>
      </c>
      <c r="CN33" s="69">
        <f t="shared" si="128"/>
        <v>4.8465173349539683E-5</v>
      </c>
      <c r="CO33" s="69">
        <f t="shared" si="129"/>
        <v>0.12948889260063473</v>
      </c>
      <c r="CP33" s="69">
        <f t="shared" si="129"/>
        <v>1.6775437995760888E-3</v>
      </c>
      <c r="CQ33" s="69">
        <f t="shared" si="129"/>
        <v>1.2023992655815801</v>
      </c>
      <c r="CR33" s="69">
        <f t="shared" si="129"/>
        <v>3.7675480947087318E-4</v>
      </c>
      <c r="CS33" s="69">
        <f t="shared" si="129"/>
        <v>0</v>
      </c>
      <c r="CT33" s="69">
        <f t="shared" si="129"/>
        <v>0</v>
      </c>
      <c r="CU33" s="69">
        <f t="shared" si="129"/>
        <v>4.80637923001537E-3</v>
      </c>
      <c r="CV33" s="69">
        <f t="shared" si="130"/>
        <v>2.7152218806996404</v>
      </c>
      <c r="CW33" s="16">
        <f t="shared" si="131"/>
        <v>1.4731761070551281</v>
      </c>
      <c r="CY33" s="23">
        <f t="shared" si="132"/>
        <v>1.0137510233218681</v>
      </c>
      <c r="CZ33" s="23">
        <f t="shared" si="133"/>
        <v>0</v>
      </c>
      <c r="DA33" s="23">
        <f t="shared" si="134"/>
        <v>1.4250469763425625E-4</v>
      </c>
      <c r="DB33" s="23">
        <f t="shared" si="135"/>
        <v>4.7598490268551207E-5</v>
      </c>
      <c r="DC33" s="23">
        <f t="shared" si="136"/>
        <v>0.19075994270828267</v>
      </c>
      <c r="DD33" s="23">
        <f t="shared" si="137"/>
        <v>2.4713174440739705E-3</v>
      </c>
      <c r="DE33" s="23">
        <f t="shared" si="138"/>
        <v>1.7713458691954171</v>
      </c>
      <c r="DF33" s="23">
        <f t="shared" si="139"/>
        <v>5.5502618353059743E-4</v>
      </c>
      <c r="DG33" s="23">
        <f t="shared" si="140"/>
        <v>0</v>
      </c>
      <c r="DH33" s="23">
        <f t="shared" si="141"/>
        <v>0</v>
      </c>
      <c r="DI33" s="23">
        <f t="shared" si="142"/>
        <v>7.0806430431046667E-3</v>
      </c>
      <c r="DJ33" s="16">
        <f t="shared" si="143"/>
        <v>0.90277795338509237</v>
      </c>
      <c r="DL33" s="4">
        <f t="shared" si="144"/>
        <v>0.86628497245477087</v>
      </c>
      <c r="DM33" s="4">
        <f t="shared" si="145"/>
        <v>2.1786765166217992E-3</v>
      </c>
      <c r="DN33" s="4">
        <f t="shared" si="146"/>
        <v>4.6165127854571691E-2</v>
      </c>
      <c r="DO33" s="4">
        <f t="shared" si="147"/>
        <v>5.474073157829636E-3</v>
      </c>
      <c r="DP33" s="4">
        <f t="shared" si="148"/>
        <v>3.005122209231112E-2</v>
      </c>
      <c r="DQ33" s="4">
        <f t="shared" si="149"/>
        <v>1.0431784972153831E-3</v>
      </c>
      <c r="DR33" s="4">
        <f t="shared" si="150"/>
        <v>0.3733376339817388</v>
      </c>
      <c r="DS33" s="4">
        <f t="shared" si="151"/>
        <v>0.39716817946751781</v>
      </c>
      <c r="DT33" s="4">
        <f t="shared" si="152"/>
        <v>1.5456963365997766E-2</v>
      </c>
      <c r="DU33" s="4">
        <f t="shared" si="153"/>
        <v>0</v>
      </c>
      <c r="DV33" s="4">
        <f t="shared" si="154"/>
        <v>5.7569444816340089E-4</v>
      </c>
      <c r="DX33" s="69">
        <f t="shared" si="155"/>
        <v>1.7325699449095417</v>
      </c>
      <c r="DY33" s="69">
        <f t="shared" si="155"/>
        <v>4.3573530332435984E-3</v>
      </c>
      <c r="DZ33" s="69">
        <f t="shared" si="156"/>
        <v>0.13849538356371507</v>
      </c>
      <c r="EA33" s="69">
        <f t="shared" si="156"/>
        <v>1.642221947348891E-2</v>
      </c>
      <c r="EB33" s="69">
        <f t="shared" si="157"/>
        <v>3.005122209231112E-2</v>
      </c>
      <c r="EC33" s="69">
        <f t="shared" si="157"/>
        <v>1.0431784972153831E-3</v>
      </c>
      <c r="ED33" s="69">
        <f t="shared" si="157"/>
        <v>0.3733376339817388</v>
      </c>
      <c r="EE33" s="69">
        <f t="shared" si="157"/>
        <v>0.39716817946751781</v>
      </c>
      <c r="EF33" s="69">
        <f t="shared" si="157"/>
        <v>1.5456963365997766E-2</v>
      </c>
      <c r="EG33" s="69">
        <f t="shared" si="157"/>
        <v>0</v>
      </c>
      <c r="EH33" s="69">
        <f t="shared" si="157"/>
        <v>5.7569444816340089E-4</v>
      </c>
      <c r="EI33" s="69">
        <f t="shared" si="158"/>
        <v>2.7094777728329333</v>
      </c>
      <c r="EJ33" s="69">
        <f t="shared" ref="EJ33:EJ34" si="191">6/EI33</f>
        <v>2.214448872827111</v>
      </c>
      <c r="EL33" s="23">
        <f t="shared" si="159"/>
        <v>1.9183437807995323</v>
      </c>
      <c r="EM33" s="23">
        <f t="shared" si="160"/>
        <v>4.8245677564880398E-3</v>
      </c>
      <c r="EN33" s="23">
        <f t="shared" si="161"/>
        <v>0.20446063068295151</v>
      </c>
      <c r="EO33" s="23">
        <f t="shared" si="162"/>
        <v>2.4244110268257964E-2</v>
      </c>
      <c r="EP33" s="23">
        <f t="shared" si="163"/>
        <v>6.6546894889395539E-2</v>
      </c>
      <c r="EQ33" s="23">
        <f t="shared" si="164"/>
        <v>2.3100654473160848E-3</v>
      </c>
      <c r="ER33" s="23">
        <f t="shared" si="165"/>
        <v>0.82673710275480206</v>
      </c>
      <c r="ES33" s="23">
        <f t="shared" si="166"/>
        <v>0.87950862734464053</v>
      </c>
      <c r="ET33" s="23">
        <f t="shared" si="167"/>
        <v>6.8457310206327393E-2</v>
      </c>
      <c r="EU33" s="23">
        <f t="shared" si="168"/>
        <v>0</v>
      </c>
      <c r="EV33" s="23">
        <f t="shared" si="169"/>
        <v>1.2748459218282688E-3</v>
      </c>
      <c r="EX33" s="14">
        <f t="shared" si="170"/>
        <v>-7.3681033623196566</v>
      </c>
      <c r="EY33" s="4">
        <f t="shared" si="171"/>
        <v>0.25594907277011003</v>
      </c>
      <c r="EZ33" s="4">
        <f t="shared" si="172"/>
        <v>2.2723283254757112</v>
      </c>
      <c r="FA33" s="4">
        <f t="shared" si="173"/>
        <v>2.2723283254757112</v>
      </c>
      <c r="FC33" s="4">
        <f t="shared" si="174"/>
        <v>1.2317131007371045</v>
      </c>
    </row>
    <row r="34" spans="1:159" x14ac:dyDescent="0.2">
      <c r="A34" s="24" t="s">
        <v>97</v>
      </c>
      <c r="B34" s="24" t="s">
        <v>122</v>
      </c>
      <c r="C34" s="98">
        <v>40.441000000000003</v>
      </c>
      <c r="D34" s="98">
        <v>0</v>
      </c>
      <c r="E34" s="90">
        <f t="shared" si="175"/>
        <v>1.0014056483145859E-2</v>
      </c>
      <c r="F34" s="98">
        <v>3.9607848665573001E-3</v>
      </c>
      <c r="G34" s="98">
        <v>10.3565</v>
      </c>
      <c r="H34" s="98">
        <v>0.14450000000000002</v>
      </c>
      <c r="I34" s="98">
        <v>48.108999999999995</v>
      </c>
      <c r="J34" s="92">
        <f t="shared" si="176"/>
        <v>3.4424540917863018E-2</v>
      </c>
      <c r="K34" s="98">
        <v>0</v>
      </c>
      <c r="L34" s="98">
        <v>2.5999999999999999E-2</v>
      </c>
      <c r="M34" s="98">
        <v>0.38100000000000001</v>
      </c>
      <c r="N34" s="105">
        <v>53</v>
      </c>
      <c r="O34" s="123">
        <v>246.03077035257132</v>
      </c>
      <c r="P34" s="11"/>
      <c r="Q34" s="100">
        <v>51.811999999999998</v>
      </c>
      <c r="R34" s="100">
        <v>0.64300000000000002</v>
      </c>
      <c r="S34" s="100">
        <v>7.1260000000000003</v>
      </c>
      <c r="T34" s="100">
        <v>0.73799999999999999</v>
      </c>
      <c r="U34" s="100">
        <v>2.5499999999999998</v>
      </c>
      <c r="V34" s="100">
        <v>7.6999999999999999E-2</v>
      </c>
      <c r="W34" s="100">
        <v>13.926</v>
      </c>
      <c r="X34" s="100">
        <v>19.971</v>
      </c>
      <c r="Y34" s="100">
        <v>1.853</v>
      </c>
      <c r="Z34" s="100">
        <v>0</v>
      </c>
      <c r="AA34" s="100">
        <v>2.5000000000000001E-2</v>
      </c>
      <c r="AC34" s="99">
        <v>59.662999999999997</v>
      </c>
      <c r="AD34" s="99">
        <v>8.5910000000000011</v>
      </c>
      <c r="AF34" s="83">
        <f t="shared" si="178"/>
        <v>8.8086582602500935E-2</v>
      </c>
      <c r="AG34" s="22">
        <f t="shared" si="108"/>
        <v>1.6784366329460233E-4</v>
      </c>
      <c r="AH34" s="126">
        <f t="shared" si="177"/>
        <v>910.42902070588093</v>
      </c>
      <c r="AI34" s="126">
        <f t="shared" si="109"/>
        <v>910.27897310785625</v>
      </c>
      <c r="AJ34" s="126">
        <f t="shared" si="110"/>
        <v>0.1500475980246847</v>
      </c>
      <c r="AK34" s="12"/>
      <c r="AL34" s="25">
        <f t="shared" si="111"/>
        <v>1.5390590094571379</v>
      </c>
      <c r="AN34" s="4">
        <v>15.999000000000001</v>
      </c>
      <c r="AO34" s="4">
        <v>28.085000000000001</v>
      </c>
      <c r="AP34" s="4">
        <v>47.866999999999997</v>
      </c>
      <c r="AQ34" s="4">
        <v>26.9815386</v>
      </c>
      <c r="AR34" s="4">
        <v>51.996099999999998</v>
      </c>
      <c r="AS34" s="4">
        <v>55.844999999999999</v>
      </c>
      <c r="AT34" s="4">
        <v>54.938045000000002</v>
      </c>
      <c r="AU34" s="4">
        <v>24.305</v>
      </c>
      <c r="AV34" s="4">
        <v>40.078000000000003</v>
      </c>
      <c r="AW34" s="4">
        <v>22.989769280000001</v>
      </c>
      <c r="AX34" s="4">
        <v>39.098300000000002</v>
      </c>
      <c r="AY34" s="4">
        <v>58.693399999999997</v>
      </c>
      <c r="BA34" s="4">
        <f t="shared" si="179"/>
        <v>60.082999999999998</v>
      </c>
      <c r="BB34" s="4">
        <f t="shared" si="180"/>
        <v>79.864999999999995</v>
      </c>
      <c r="BC34" s="4">
        <f t="shared" si="181"/>
        <v>101.9600772</v>
      </c>
      <c r="BD34" s="4">
        <f t="shared" si="182"/>
        <v>151.98919999999998</v>
      </c>
      <c r="BE34" s="4">
        <f t="shared" si="183"/>
        <v>71.843999999999994</v>
      </c>
      <c r="BF34" s="4">
        <f t="shared" si="184"/>
        <v>70.937044999999998</v>
      </c>
      <c r="BG34" s="4">
        <f t="shared" si="185"/>
        <v>40.304000000000002</v>
      </c>
      <c r="BH34" s="4">
        <f t="shared" si="186"/>
        <v>56.077000000000005</v>
      </c>
      <c r="BI34" s="4">
        <f t="shared" si="187"/>
        <v>61.978538560000004</v>
      </c>
      <c r="BJ34" s="4">
        <f t="shared" si="188"/>
        <v>94.195599999999999</v>
      </c>
      <c r="BK34" s="4">
        <f t="shared" si="189"/>
        <v>74.692399999999992</v>
      </c>
      <c r="BM34" s="4">
        <f t="shared" si="112"/>
        <v>0.67308556496846039</v>
      </c>
      <c r="BN34" s="4">
        <f t="shared" si="113"/>
        <v>0</v>
      </c>
      <c r="BO34" s="4">
        <f t="shared" si="114"/>
        <v>9.8215465877911858E-5</v>
      </c>
      <c r="BP34" s="4">
        <f t="shared" si="115"/>
        <v>2.6059646781200906E-5</v>
      </c>
      <c r="BQ34" s="4">
        <f t="shared" si="116"/>
        <v>0.14415260842937477</v>
      </c>
      <c r="BR34" s="4">
        <f t="shared" si="117"/>
        <v>2.0370174709138226E-3</v>
      </c>
      <c r="BS34" s="4">
        <f t="shared" si="118"/>
        <v>1.1936532354108771</v>
      </c>
      <c r="BT34" s="4">
        <f t="shared" si="119"/>
        <v>6.1387986015412762E-4</v>
      </c>
      <c r="BU34" s="4">
        <f t="shared" si="120"/>
        <v>0</v>
      </c>
      <c r="BV34" s="4">
        <f t="shared" si="121"/>
        <v>2.760213852876355E-4</v>
      </c>
      <c r="BW34" s="4">
        <f t="shared" si="122"/>
        <v>5.1009205755873427E-3</v>
      </c>
      <c r="BY34" s="4">
        <f t="shared" si="123"/>
        <v>0.67308556496846039</v>
      </c>
      <c r="BZ34" s="4">
        <f t="shared" si="123"/>
        <v>0</v>
      </c>
      <c r="CA34" s="4">
        <f t="shared" si="124"/>
        <v>1.9643093175582372E-4</v>
      </c>
      <c r="CB34" s="4">
        <f t="shared" si="124"/>
        <v>5.2119293562401811E-5</v>
      </c>
      <c r="CC34" s="4">
        <f t="shared" si="125"/>
        <v>0.14415260842937477</v>
      </c>
      <c r="CD34" s="4">
        <f t="shared" si="125"/>
        <v>2.0370174709138226E-3</v>
      </c>
      <c r="CE34" s="4">
        <f t="shared" si="125"/>
        <v>1.1936532354108771</v>
      </c>
      <c r="CF34" s="4">
        <f t="shared" si="125"/>
        <v>6.1387986015412762E-4</v>
      </c>
      <c r="CG34" s="4">
        <f t="shared" si="126"/>
        <v>0</v>
      </c>
      <c r="CH34" s="4">
        <f t="shared" si="126"/>
        <v>5.52042770575271E-4</v>
      </c>
      <c r="CI34" s="4">
        <f t="shared" si="190"/>
        <v>5.1009205755873427E-3</v>
      </c>
      <c r="CK34" s="69">
        <f t="shared" si="127"/>
        <v>1.3461711299369208</v>
      </c>
      <c r="CL34" s="69">
        <f t="shared" si="127"/>
        <v>0</v>
      </c>
      <c r="CM34" s="69">
        <f t="shared" si="128"/>
        <v>2.9464639763373559E-4</v>
      </c>
      <c r="CN34" s="69">
        <f t="shared" si="128"/>
        <v>7.8178940343602717E-5</v>
      </c>
      <c r="CO34" s="69">
        <f t="shared" si="129"/>
        <v>0.14415260842937477</v>
      </c>
      <c r="CP34" s="69">
        <f t="shared" si="129"/>
        <v>2.0370174709138226E-3</v>
      </c>
      <c r="CQ34" s="69">
        <f t="shared" si="129"/>
        <v>1.1936532354108771</v>
      </c>
      <c r="CR34" s="69">
        <f t="shared" si="129"/>
        <v>6.1387986015412762E-4</v>
      </c>
      <c r="CS34" s="69">
        <f t="shared" si="129"/>
        <v>0</v>
      </c>
      <c r="CT34" s="69">
        <f t="shared" si="129"/>
        <v>2.760213852876355E-4</v>
      </c>
      <c r="CU34" s="69">
        <f t="shared" si="129"/>
        <v>5.1009205755873427E-3</v>
      </c>
      <c r="CV34" s="69">
        <f t="shared" si="130"/>
        <v>2.692377638407093</v>
      </c>
      <c r="CW34" s="16">
        <f t="shared" si="131"/>
        <v>1.4856756878899586</v>
      </c>
      <c r="CY34" s="23">
        <f t="shared" si="132"/>
        <v>0.9999868597433188</v>
      </c>
      <c r="CZ34" s="23">
        <f t="shared" si="133"/>
        <v>0</v>
      </c>
      <c r="DA34" s="23">
        <f t="shared" si="134"/>
        <v>2.9183265965919891E-4</v>
      </c>
      <c r="DB34" s="23">
        <f t="shared" si="135"/>
        <v>7.7432367315659998E-5</v>
      </c>
      <c r="DC34" s="23">
        <f t="shared" si="136"/>
        <v>0.2141640256894432</v>
      </c>
      <c r="DD34" s="23">
        <f t="shared" si="137"/>
        <v>3.0263473323437571E-3</v>
      </c>
      <c r="DE34" s="23">
        <f t="shared" si="138"/>
        <v>1.7733815916211295</v>
      </c>
      <c r="DF34" s="23">
        <f t="shared" si="139"/>
        <v>9.1202638351627519E-4</v>
      </c>
      <c r="DG34" s="23">
        <f t="shared" si="140"/>
        <v>0</v>
      </c>
      <c r="DH34" s="23">
        <f t="shared" si="141"/>
        <v>8.2015652291909436E-4</v>
      </c>
      <c r="DI34" s="23">
        <f t="shared" si="142"/>
        <v>7.578313685007769E-3</v>
      </c>
      <c r="DJ34" s="16">
        <f t="shared" si="143"/>
        <v>0.89224698853491613</v>
      </c>
      <c r="DL34" s="4">
        <f t="shared" si="144"/>
        <v>0.86234042907311548</v>
      </c>
      <c r="DM34" s="4">
        <f t="shared" si="145"/>
        <v>8.0510862079759601E-3</v>
      </c>
      <c r="DN34" s="4">
        <f t="shared" si="146"/>
        <v>6.9890100083211781E-2</v>
      </c>
      <c r="DO34" s="4">
        <f t="shared" si="147"/>
        <v>4.8556081616325372E-3</v>
      </c>
      <c r="DP34" s="4">
        <f t="shared" si="148"/>
        <v>3.5493569400367464E-2</v>
      </c>
      <c r="DQ34" s="4">
        <f t="shared" si="149"/>
        <v>1.0854695173727635E-3</v>
      </c>
      <c r="DR34" s="4">
        <f t="shared" si="150"/>
        <v>0.34552401746724887</v>
      </c>
      <c r="DS34" s="4">
        <f t="shared" si="151"/>
        <v>0.35613531394332787</v>
      </c>
      <c r="DT34" s="4">
        <f t="shared" si="152"/>
        <v>2.9897445842582318E-2</v>
      </c>
      <c r="DU34" s="4">
        <f t="shared" si="153"/>
        <v>0</v>
      </c>
      <c r="DV34" s="4">
        <f t="shared" si="154"/>
        <v>3.3470607451360518E-4</v>
      </c>
      <c r="DX34" s="69">
        <f t="shared" si="155"/>
        <v>1.724680858146231</v>
      </c>
      <c r="DY34" s="69">
        <f t="shared" si="155"/>
        <v>1.610217241595192E-2</v>
      </c>
      <c r="DZ34" s="69">
        <f t="shared" si="156"/>
        <v>0.20967030024963534</v>
      </c>
      <c r="EA34" s="69">
        <f t="shared" si="156"/>
        <v>1.4566824484897611E-2</v>
      </c>
      <c r="EB34" s="69">
        <f t="shared" si="157"/>
        <v>3.5493569400367464E-2</v>
      </c>
      <c r="EC34" s="69">
        <f t="shared" si="157"/>
        <v>1.0854695173727635E-3</v>
      </c>
      <c r="ED34" s="69">
        <f t="shared" si="157"/>
        <v>0.34552401746724887</v>
      </c>
      <c r="EE34" s="69">
        <f t="shared" si="157"/>
        <v>0.35613531394332787</v>
      </c>
      <c r="EF34" s="69">
        <f t="shared" si="157"/>
        <v>2.9897445842582318E-2</v>
      </c>
      <c r="EG34" s="69">
        <f t="shared" si="157"/>
        <v>0</v>
      </c>
      <c r="EH34" s="69">
        <f t="shared" si="157"/>
        <v>3.3470607451360518E-4</v>
      </c>
      <c r="EI34" s="69">
        <f t="shared" si="158"/>
        <v>2.7334906775421288</v>
      </c>
      <c r="EJ34" s="69">
        <f t="shared" si="191"/>
        <v>2.1949955963980154</v>
      </c>
      <c r="EL34" s="23">
        <f t="shared" si="159"/>
        <v>1.8928334444114636</v>
      </c>
      <c r="EM34" s="23">
        <f t="shared" si="160"/>
        <v>1.7672098772728028E-2</v>
      </c>
      <c r="EN34" s="23">
        <f t="shared" si="161"/>
        <v>0.30681692382893289</v>
      </c>
      <c r="EO34" s="23">
        <f t="shared" si="162"/>
        <v>2.1316077065235365E-2</v>
      </c>
      <c r="EP34" s="23">
        <f t="shared" si="163"/>
        <v>7.7908228534253929E-2</v>
      </c>
      <c r="EQ34" s="23">
        <f t="shared" si="164"/>
        <v>2.382600810657495E-3</v>
      </c>
      <c r="ER34" s="23">
        <f t="shared" si="165"/>
        <v>0.75842369679036226</v>
      </c>
      <c r="ES34" s="23">
        <f t="shared" si="166"/>
        <v>0.78171544582742947</v>
      </c>
      <c r="ET34" s="23">
        <f t="shared" si="167"/>
        <v>0.13124952393603267</v>
      </c>
      <c r="EU34" s="23">
        <f t="shared" si="168"/>
        <v>0</v>
      </c>
      <c r="EV34" s="23">
        <f t="shared" si="169"/>
        <v>7.3467835964502936E-4</v>
      </c>
      <c r="EX34" s="14">
        <f t="shared" si="170"/>
        <v>-6.7535771543409266</v>
      </c>
      <c r="EY34" s="4">
        <f t="shared" si="171"/>
        <v>0.50277217575003985</v>
      </c>
      <c r="EZ34" s="4">
        <f t="shared" si="172"/>
        <v>1.6966892285669211</v>
      </c>
      <c r="FA34" s="4">
        <f t="shared" si="173"/>
        <v>1.6966892285669211</v>
      </c>
      <c r="FC34" s="4">
        <f t="shared" si="174"/>
        <v>1.5390590094571379</v>
      </c>
    </row>
    <row r="35" spans="1:159" x14ac:dyDescent="0.2">
      <c r="A35" s="24" t="s">
        <v>98</v>
      </c>
      <c r="B35" s="24" t="s">
        <v>122</v>
      </c>
      <c r="C35" s="98">
        <v>40.387500000000003</v>
      </c>
      <c r="D35" s="98">
        <v>0</v>
      </c>
      <c r="E35" s="90">
        <f t="shared" si="175"/>
        <v>8.5780785723551314E-3</v>
      </c>
      <c r="F35" s="98">
        <v>3.6392451356928694E-3</v>
      </c>
      <c r="G35" s="98">
        <v>10.42</v>
      </c>
      <c r="H35" s="98">
        <v>0.14400000000000002</v>
      </c>
      <c r="I35" s="98">
        <v>48.1905</v>
      </c>
      <c r="J35" s="92">
        <f t="shared" si="176"/>
        <v>3.1470798903077343E-2</v>
      </c>
      <c r="K35" s="98">
        <v>0</v>
      </c>
      <c r="L35" s="98">
        <v>0</v>
      </c>
      <c r="M35" s="98">
        <v>0.38500000000000001</v>
      </c>
      <c r="N35" s="105">
        <v>45.4</v>
      </c>
      <c r="O35" s="123">
        <v>224.92049832151039</v>
      </c>
      <c r="P35" s="11"/>
      <c r="Q35" s="100">
        <v>51.743000000000002</v>
      </c>
      <c r="R35" s="100">
        <v>0.41499999999999998</v>
      </c>
      <c r="S35" s="100">
        <v>6.4740000000000002</v>
      </c>
      <c r="T35" s="100">
        <v>0.76500000000000001</v>
      </c>
      <c r="U35" s="100">
        <v>2.61</v>
      </c>
      <c r="V35" s="100">
        <v>9.4E-2</v>
      </c>
      <c r="W35" s="100">
        <v>14.135</v>
      </c>
      <c r="X35" s="100">
        <v>20.399000000000001</v>
      </c>
      <c r="Y35" s="100">
        <v>1.776</v>
      </c>
      <c r="Z35" s="100">
        <v>0</v>
      </c>
      <c r="AA35" s="100">
        <v>0.105</v>
      </c>
      <c r="AC35" s="99">
        <v>57.797333333333341</v>
      </c>
      <c r="AD35" s="99">
        <v>10.059000000000001</v>
      </c>
      <c r="AF35" s="83">
        <f t="shared" si="178"/>
        <v>0.1045460841166954</v>
      </c>
      <c r="AG35" s="22">
        <f t="shared" si="108"/>
        <v>1.4841651124080344E-4</v>
      </c>
      <c r="AH35" s="126">
        <f t="shared" si="177"/>
        <v>893.1928008839418</v>
      </c>
      <c r="AI35" s="126">
        <f t="shared" si="109"/>
        <v>893.04197940031963</v>
      </c>
      <c r="AJ35" s="126">
        <f t="shared" si="110"/>
        <v>0.15082148362216685</v>
      </c>
      <c r="AK35" s="12"/>
      <c r="AL35" s="25">
        <f t="shared" si="111"/>
        <v>1.4553386354922198</v>
      </c>
      <c r="AN35" s="4">
        <v>15.999000000000001</v>
      </c>
      <c r="AO35" s="4">
        <v>28.085000000000001</v>
      </c>
      <c r="AP35" s="4">
        <v>47.866999999999997</v>
      </c>
      <c r="AQ35" s="4">
        <v>26.9815386</v>
      </c>
      <c r="AR35" s="4">
        <v>51.996099999999998</v>
      </c>
      <c r="AS35" s="4">
        <v>55.844999999999999</v>
      </c>
      <c r="AT35" s="4">
        <v>54.938045000000002</v>
      </c>
      <c r="AU35" s="4">
        <v>24.305</v>
      </c>
      <c r="AV35" s="4">
        <v>40.078000000000003</v>
      </c>
      <c r="AW35" s="4">
        <v>22.989769280000001</v>
      </c>
      <c r="AX35" s="4">
        <v>39.098300000000002</v>
      </c>
      <c r="AY35" s="4">
        <v>58.693399999999997</v>
      </c>
      <c r="BA35" s="4">
        <f>AN35*2+AO35</f>
        <v>60.082999999999998</v>
      </c>
      <c r="BB35" s="4">
        <f>AN35*2+AP35</f>
        <v>79.864999999999995</v>
      </c>
      <c r="BC35" s="4">
        <f>AQ35*2+AN35*3</f>
        <v>101.9600772</v>
      </c>
      <c r="BD35" s="4">
        <f>AR35*2+AN35*3</f>
        <v>151.98919999999998</v>
      </c>
      <c r="BE35" s="4">
        <f>AS35+AN35</f>
        <v>71.843999999999994</v>
      </c>
      <c r="BF35" s="4">
        <f>AT35+AN35</f>
        <v>70.937044999999998</v>
      </c>
      <c r="BG35" s="4">
        <f>AU35+AN35</f>
        <v>40.304000000000002</v>
      </c>
      <c r="BH35" s="4">
        <f>AV35+AN35</f>
        <v>56.077000000000005</v>
      </c>
      <c r="BI35" s="4">
        <f>AW35*2+AN35</f>
        <v>61.978538560000004</v>
      </c>
      <c r="BJ35" s="4">
        <f>AX35*2+AN35</f>
        <v>94.195599999999999</v>
      </c>
      <c r="BK35" s="4">
        <f>AY35+AN35</f>
        <v>74.692399999999992</v>
      </c>
      <c r="BM35" s="4">
        <f t="shared" si="112"/>
        <v>0.67219513007006981</v>
      </c>
      <c r="BN35" s="4">
        <f t="shared" si="113"/>
        <v>0</v>
      </c>
      <c r="BO35" s="4">
        <f t="shared" si="114"/>
        <v>8.4131738695418837E-5</v>
      </c>
      <c r="BP35" s="4">
        <f t="shared" si="115"/>
        <v>2.3944103500070202E-5</v>
      </c>
      <c r="BQ35" s="4">
        <f t="shared" si="116"/>
        <v>0.14503646790267805</v>
      </c>
      <c r="BR35" s="4">
        <f t="shared" si="117"/>
        <v>2.029968967554259E-3</v>
      </c>
      <c r="BS35" s="4">
        <f t="shared" si="118"/>
        <v>1.19567536720921</v>
      </c>
      <c r="BT35" s="4">
        <f t="shared" si="119"/>
        <v>5.6120689236366676E-4</v>
      </c>
      <c r="BU35" s="4">
        <f t="shared" si="120"/>
        <v>0</v>
      </c>
      <c r="BV35" s="4">
        <f t="shared" si="121"/>
        <v>0</v>
      </c>
      <c r="BW35" s="4">
        <f t="shared" si="122"/>
        <v>5.1544735475095201E-3</v>
      </c>
      <c r="BY35" s="4">
        <f t="shared" si="123"/>
        <v>0.67219513007006981</v>
      </c>
      <c r="BZ35" s="4">
        <f t="shared" si="123"/>
        <v>0</v>
      </c>
      <c r="CA35" s="4">
        <f t="shared" si="124"/>
        <v>1.6826347739083767E-4</v>
      </c>
      <c r="CB35" s="4">
        <f t="shared" si="124"/>
        <v>4.7888207000140403E-5</v>
      </c>
      <c r="CC35" s="4">
        <f t="shared" si="125"/>
        <v>0.14503646790267805</v>
      </c>
      <c r="CD35" s="4">
        <f t="shared" si="125"/>
        <v>2.029968967554259E-3</v>
      </c>
      <c r="CE35" s="4">
        <f t="shared" si="125"/>
        <v>1.19567536720921</v>
      </c>
      <c r="CF35" s="4">
        <f t="shared" si="125"/>
        <v>5.6120689236366676E-4</v>
      </c>
      <c r="CG35" s="4">
        <f t="shared" si="126"/>
        <v>0</v>
      </c>
      <c r="CH35" s="4">
        <f t="shared" si="126"/>
        <v>0</v>
      </c>
      <c r="CI35" s="4">
        <f>BW35</f>
        <v>5.1544735475095201E-3</v>
      </c>
      <c r="CK35" s="69">
        <f t="shared" si="127"/>
        <v>1.3443902601401396</v>
      </c>
      <c r="CL35" s="69">
        <f t="shared" si="127"/>
        <v>0</v>
      </c>
      <c r="CM35" s="69">
        <f t="shared" si="128"/>
        <v>2.5239521608625651E-4</v>
      </c>
      <c r="CN35" s="69">
        <f t="shared" si="128"/>
        <v>7.1832310500210612E-5</v>
      </c>
      <c r="CO35" s="69">
        <f t="shared" si="129"/>
        <v>0.14503646790267805</v>
      </c>
      <c r="CP35" s="69">
        <f t="shared" si="129"/>
        <v>2.029968967554259E-3</v>
      </c>
      <c r="CQ35" s="69">
        <f t="shared" si="129"/>
        <v>1.19567536720921</v>
      </c>
      <c r="CR35" s="69">
        <f t="shared" si="129"/>
        <v>5.6120689236366676E-4</v>
      </c>
      <c r="CS35" s="69">
        <f t="shared" si="129"/>
        <v>0</v>
      </c>
      <c r="CT35" s="69">
        <f t="shared" si="129"/>
        <v>0</v>
      </c>
      <c r="CU35" s="69">
        <f t="shared" si="129"/>
        <v>5.1544735475095201E-3</v>
      </c>
      <c r="CV35" s="69">
        <f t="shared" si="130"/>
        <v>2.6931719721860414</v>
      </c>
      <c r="CW35" s="16">
        <f t="shared" si="131"/>
        <v>1.4852374973861062</v>
      </c>
      <c r="CY35" s="23">
        <f t="shared" si="132"/>
        <v>0.9983694127403987</v>
      </c>
      <c r="CZ35" s="23">
        <f t="shared" si="133"/>
        <v>0</v>
      </c>
      <c r="DA35" s="23">
        <f t="shared" si="134"/>
        <v>2.4991122606145142E-4</v>
      </c>
      <c r="DB35" s="23">
        <f t="shared" si="135"/>
        <v>7.1125360719196342E-5</v>
      </c>
      <c r="DC35" s="23">
        <f t="shared" si="136"/>
        <v>0.21541360061749387</v>
      </c>
      <c r="DD35" s="23">
        <f t="shared" si="137"/>
        <v>3.0149860291417453E-3</v>
      </c>
      <c r="DE35" s="23">
        <f t="shared" si="138"/>
        <v>1.7758618900800205</v>
      </c>
      <c r="DF35" s="23">
        <f t="shared" si="139"/>
        <v>8.335255203300463E-4</v>
      </c>
      <c r="DG35" s="23">
        <f t="shared" si="140"/>
        <v>0</v>
      </c>
      <c r="DH35" s="23">
        <f t="shared" si="141"/>
        <v>0</v>
      </c>
      <c r="DI35" s="23">
        <f t="shared" si="142"/>
        <v>7.6556173920459243E-3</v>
      </c>
      <c r="DJ35" s="16">
        <f t="shared" si="143"/>
        <v>0.89182129663935272</v>
      </c>
      <c r="DL35" s="4">
        <f t="shared" si="144"/>
        <v>0.86119201770883613</v>
      </c>
      <c r="DM35" s="4">
        <f t="shared" si="145"/>
        <v>5.1962687034370503E-3</v>
      </c>
      <c r="DN35" s="4">
        <f t="shared" si="146"/>
        <v>6.3495440350647359E-2</v>
      </c>
      <c r="DO35" s="4">
        <f t="shared" si="147"/>
        <v>5.0332523626678742E-3</v>
      </c>
      <c r="DP35" s="4">
        <f t="shared" si="148"/>
        <v>3.6328712209787874E-2</v>
      </c>
      <c r="DQ35" s="4">
        <f t="shared" si="149"/>
        <v>1.3251186315979191E-3</v>
      </c>
      <c r="DR35" s="4">
        <f t="shared" si="150"/>
        <v>0.35070960698689951</v>
      </c>
      <c r="DS35" s="4">
        <f t="shared" si="151"/>
        <v>0.36376767658754927</v>
      </c>
      <c r="DT35" s="4">
        <f t="shared" si="152"/>
        <v>2.8655080311077278E-2</v>
      </c>
      <c r="DU35" s="4">
        <f t="shared" si="153"/>
        <v>0</v>
      </c>
      <c r="DV35" s="4">
        <f t="shared" si="154"/>
        <v>1.4057655129571416E-3</v>
      </c>
      <c r="DX35" s="69">
        <f t="shared" si="155"/>
        <v>1.7223840354176723</v>
      </c>
      <c r="DY35" s="69">
        <f t="shared" si="155"/>
        <v>1.0392537406874101E-2</v>
      </c>
      <c r="DZ35" s="69">
        <f t="shared" si="156"/>
        <v>0.19048632105194208</v>
      </c>
      <c r="EA35" s="69">
        <f t="shared" si="156"/>
        <v>1.5099757088003624E-2</v>
      </c>
      <c r="EB35" s="69">
        <f t="shared" si="157"/>
        <v>3.6328712209787874E-2</v>
      </c>
      <c r="EC35" s="69">
        <f t="shared" si="157"/>
        <v>1.3251186315979191E-3</v>
      </c>
      <c r="ED35" s="69">
        <f t="shared" si="157"/>
        <v>0.35070960698689951</v>
      </c>
      <c r="EE35" s="69">
        <f t="shared" si="157"/>
        <v>0.36376767658754927</v>
      </c>
      <c r="EF35" s="69">
        <f t="shared" si="157"/>
        <v>2.8655080311077278E-2</v>
      </c>
      <c r="EG35" s="69">
        <f t="shared" si="157"/>
        <v>0</v>
      </c>
      <c r="EH35" s="69">
        <f t="shared" si="157"/>
        <v>1.4057655129571416E-3</v>
      </c>
      <c r="EI35" s="69">
        <f t="shared" si="158"/>
        <v>2.7205546112043613</v>
      </c>
      <c r="EJ35" s="69">
        <f>6/EI35</f>
        <v>2.2054326626231049</v>
      </c>
      <c r="EL35" s="23">
        <f t="shared" si="159"/>
        <v>1.8993010046453627</v>
      </c>
      <c r="EM35" s="23">
        <f t="shared" si="160"/>
        <v>1.1460020722326283E-2</v>
      </c>
      <c r="EN35" s="23">
        <f t="shared" si="161"/>
        <v>0.28006983615390946</v>
      </c>
      <c r="EO35" s="23">
        <f t="shared" si="162"/>
        <v>2.2200998319705286E-2</v>
      </c>
      <c r="EP35" s="23">
        <f t="shared" si="163"/>
        <v>8.0120528498500973E-2</v>
      </c>
      <c r="EQ35" s="23">
        <f t="shared" si="164"/>
        <v>2.922459911976484E-3</v>
      </c>
      <c r="ER35" s="23">
        <f t="shared" si="165"/>
        <v>0.77346642234462049</v>
      </c>
      <c r="ES35" s="23">
        <f t="shared" si="166"/>
        <v>0.8022651155526993</v>
      </c>
      <c r="ET35" s="23">
        <f t="shared" si="167"/>
        <v>0.12639370013627613</v>
      </c>
      <c r="EU35" s="23">
        <f t="shared" si="168"/>
        <v>0</v>
      </c>
      <c r="EV35" s="23">
        <f t="shared" si="169"/>
        <v>3.1003211782648036E-3</v>
      </c>
      <c r="EX35" s="14">
        <f t="shared" si="170"/>
        <v>-6.8695300802493833</v>
      </c>
      <c r="EY35" s="4">
        <f t="shared" si="171"/>
        <v>0.42553832070026143</v>
      </c>
      <c r="EZ35" s="4">
        <f t="shared" si="172"/>
        <v>1.7916600563237413</v>
      </c>
      <c r="FA35" s="4">
        <f t="shared" si="173"/>
        <v>1.7916600563237413</v>
      </c>
      <c r="FC35" s="4">
        <f t="shared" si="174"/>
        <v>1.4553386354922198</v>
      </c>
    </row>
    <row r="36" spans="1:159" x14ac:dyDescent="0.2">
      <c r="A36" s="24" t="s">
        <v>99</v>
      </c>
      <c r="B36" s="24" t="s">
        <v>123</v>
      </c>
      <c r="C36" s="98">
        <v>40.594000000000001</v>
      </c>
      <c r="D36" s="98">
        <v>0</v>
      </c>
      <c r="E36" s="90">
        <f t="shared" si="175"/>
        <v>1.231917891888887E-2</v>
      </c>
      <c r="F36" s="98">
        <v>2.1923163468029336E-2</v>
      </c>
      <c r="G36" s="98">
        <v>9.6720000000000006</v>
      </c>
      <c r="H36" s="98">
        <v>0.11</v>
      </c>
      <c r="I36" s="98">
        <v>48.75</v>
      </c>
      <c r="J36" s="92">
        <f t="shared" si="176"/>
        <v>4.9936501921645025E-2</v>
      </c>
      <c r="K36" s="98">
        <v>0</v>
      </c>
      <c r="L36" s="98">
        <v>0</v>
      </c>
      <c r="M36" s="98">
        <v>0.34799999999999998</v>
      </c>
      <c r="N36" s="105">
        <v>65.2</v>
      </c>
      <c r="O36" s="123">
        <v>356.89411416725028</v>
      </c>
      <c r="P36" s="11"/>
      <c r="Q36" s="100">
        <v>52.762</v>
      </c>
      <c r="R36" s="100">
        <v>8.2000000000000003E-2</v>
      </c>
      <c r="S36" s="100">
        <v>3.266</v>
      </c>
      <c r="T36" s="100">
        <v>3.3410000000000002</v>
      </c>
      <c r="U36" s="100">
        <v>3.1080000000000001</v>
      </c>
      <c r="V36" s="100">
        <v>0.14000000000000001</v>
      </c>
      <c r="W36" s="100">
        <v>15.923999999999999</v>
      </c>
      <c r="X36" s="100">
        <v>18.401</v>
      </c>
      <c r="Y36" s="100">
        <v>1.597</v>
      </c>
      <c r="Z36" s="100">
        <v>0</v>
      </c>
      <c r="AA36" s="100">
        <v>3.3000000000000002E-2</v>
      </c>
      <c r="AC36" s="99">
        <v>24.631</v>
      </c>
      <c r="AD36" s="99">
        <v>44.146500000000003</v>
      </c>
      <c r="AF36" s="83">
        <f t="shared" si="178"/>
        <v>0.54594004943029917</v>
      </c>
      <c r="AG36" s="22">
        <f t="shared" si="108"/>
        <v>5.0014936132876733E-4</v>
      </c>
      <c r="AH36" s="126">
        <f t="shared" si="177"/>
        <v>996.7844164419173</v>
      </c>
      <c r="AI36" s="126">
        <f t="shared" si="109"/>
        <v>996.63465180176036</v>
      </c>
      <c r="AJ36" s="126">
        <f t="shared" si="110"/>
        <v>0.14976464015694546</v>
      </c>
      <c r="AK36" s="12"/>
      <c r="AL36" s="25">
        <f t="shared" si="111"/>
        <v>2.0233771627103012</v>
      </c>
      <c r="AN36" s="4">
        <v>15.999000000000001</v>
      </c>
      <c r="AO36" s="4">
        <v>28.085000000000001</v>
      </c>
      <c r="AP36" s="4">
        <v>47.866999999999997</v>
      </c>
      <c r="AQ36" s="4">
        <v>26.9815386</v>
      </c>
      <c r="AR36" s="4">
        <v>51.996099999999998</v>
      </c>
      <c r="AS36" s="4">
        <v>55.844999999999999</v>
      </c>
      <c r="AT36" s="4">
        <v>54.938045000000002</v>
      </c>
      <c r="AU36" s="4">
        <v>24.305</v>
      </c>
      <c r="AV36" s="4">
        <v>40.078000000000003</v>
      </c>
      <c r="AW36" s="4">
        <v>22.989769280000001</v>
      </c>
      <c r="AX36" s="4">
        <v>39.098300000000002</v>
      </c>
      <c r="AY36" s="4">
        <v>58.693399999999997</v>
      </c>
      <c r="BA36" s="4">
        <f t="shared" ref="BA36" si="192">AN36*2+AO36</f>
        <v>60.082999999999998</v>
      </c>
      <c r="BB36" s="4">
        <f t="shared" ref="BB36" si="193">AN36*2+AP36</f>
        <v>79.864999999999995</v>
      </c>
      <c r="BC36" s="4">
        <f t="shared" ref="BC36" si="194">AQ36*2+AN36*3</f>
        <v>101.9600772</v>
      </c>
      <c r="BD36" s="4">
        <f t="shared" ref="BD36" si="195">AR36*2+AN36*3</f>
        <v>151.98919999999998</v>
      </c>
      <c r="BE36" s="4">
        <f t="shared" ref="BE36" si="196">AS36+AN36</f>
        <v>71.843999999999994</v>
      </c>
      <c r="BF36" s="4">
        <f t="shared" ref="BF36" si="197">AT36+AN36</f>
        <v>70.937044999999998</v>
      </c>
      <c r="BG36" s="4">
        <f t="shared" ref="BG36" si="198">AU36+AN36</f>
        <v>40.304000000000002</v>
      </c>
      <c r="BH36" s="4">
        <f t="shared" ref="BH36" si="199">AV36+AN36</f>
        <v>56.077000000000005</v>
      </c>
      <c r="BI36" s="4">
        <f t="shared" ref="BI36" si="200">AW36*2+AN36</f>
        <v>61.978538560000004</v>
      </c>
      <c r="BJ36" s="4">
        <f t="shared" ref="BJ36" si="201">AX36*2+AN36</f>
        <v>94.195599999999999</v>
      </c>
      <c r="BK36" s="4">
        <f t="shared" ref="BK36" si="202">AY36+AN36</f>
        <v>74.692399999999992</v>
      </c>
      <c r="BM36" s="4">
        <f t="shared" si="112"/>
        <v>0.67563204234142771</v>
      </c>
      <c r="BN36" s="4">
        <f t="shared" si="113"/>
        <v>0</v>
      </c>
      <c r="BO36" s="4">
        <f t="shared" si="114"/>
        <v>1.2082355424980857E-4</v>
      </c>
      <c r="BP36" s="4">
        <f t="shared" si="115"/>
        <v>1.442415873498205E-4</v>
      </c>
      <c r="BQ36" s="4">
        <f t="shared" si="116"/>
        <v>0.13462502087857026</v>
      </c>
      <c r="BR36" s="4">
        <f t="shared" si="117"/>
        <v>1.5506707391039478E-3</v>
      </c>
      <c r="BS36" s="4">
        <f t="shared" si="118"/>
        <v>1.2095573640333466</v>
      </c>
      <c r="BT36" s="4">
        <f t="shared" si="119"/>
        <v>8.9049881273329569E-4</v>
      </c>
      <c r="BU36" s="4">
        <f t="shared" si="120"/>
        <v>0</v>
      </c>
      <c r="BV36" s="4">
        <f t="shared" si="121"/>
        <v>0</v>
      </c>
      <c r="BW36" s="4">
        <f t="shared" si="122"/>
        <v>4.6591085572293836E-3</v>
      </c>
      <c r="BY36" s="4">
        <f t="shared" si="123"/>
        <v>0.67563204234142771</v>
      </c>
      <c r="BZ36" s="4">
        <f t="shared" si="123"/>
        <v>0</v>
      </c>
      <c r="CA36" s="4">
        <f t="shared" si="124"/>
        <v>2.4164710849961714E-4</v>
      </c>
      <c r="CB36" s="4">
        <f t="shared" si="124"/>
        <v>2.8848317469964101E-4</v>
      </c>
      <c r="CC36" s="4">
        <f t="shared" si="125"/>
        <v>0.13462502087857026</v>
      </c>
      <c r="CD36" s="4">
        <f t="shared" si="125"/>
        <v>1.5506707391039478E-3</v>
      </c>
      <c r="CE36" s="4">
        <f t="shared" si="125"/>
        <v>1.2095573640333466</v>
      </c>
      <c r="CF36" s="4">
        <f t="shared" si="125"/>
        <v>8.9049881273329569E-4</v>
      </c>
      <c r="CG36" s="4">
        <f t="shared" si="126"/>
        <v>0</v>
      </c>
      <c r="CH36" s="4">
        <f t="shared" si="126"/>
        <v>0</v>
      </c>
      <c r="CI36" s="4">
        <f t="shared" ref="CI36" si="203">BW36</f>
        <v>4.6591085572293836E-3</v>
      </c>
      <c r="CK36" s="69">
        <f t="shared" si="127"/>
        <v>1.3512640846828554</v>
      </c>
      <c r="CL36" s="69">
        <f t="shared" si="127"/>
        <v>0</v>
      </c>
      <c r="CM36" s="69">
        <f t="shared" si="128"/>
        <v>3.624706627494257E-4</v>
      </c>
      <c r="CN36" s="69">
        <f t="shared" si="128"/>
        <v>4.3272476204946151E-4</v>
      </c>
      <c r="CO36" s="69">
        <f t="shared" si="129"/>
        <v>0.13462502087857026</v>
      </c>
      <c r="CP36" s="69">
        <f t="shared" si="129"/>
        <v>1.5506707391039478E-3</v>
      </c>
      <c r="CQ36" s="69">
        <f t="shared" si="129"/>
        <v>1.2095573640333466</v>
      </c>
      <c r="CR36" s="69">
        <f t="shared" si="129"/>
        <v>8.9049881273329569E-4</v>
      </c>
      <c r="CS36" s="69">
        <f t="shared" si="129"/>
        <v>0</v>
      </c>
      <c r="CT36" s="69">
        <f t="shared" si="129"/>
        <v>0</v>
      </c>
      <c r="CU36" s="69">
        <f t="shared" si="129"/>
        <v>4.6591085572293836E-3</v>
      </c>
      <c r="CV36" s="69">
        <f t="shared" si="130"/>
        <v>2.7033419431286374</v>
      </c>
      <c r="CW36" s="16">
        <f t="shared" si="131"/>
        <v>1.4796500347161823</v>
      </c>
      <c r="CY36" s="23">
        <f t="shared" si="132"/>
        <v>0.99969897490585868</v>
      </c>
      <c r="CZ36" s="23">
        <f t="shared" si="133"/>
        <v>0</v>
      </c>
      <c r="DA36" s="23">
        <f t="shared" si="134"/>
        <v>3.5755315248052358E-4</v>
      </c>
      <c r="DB36" s="23">
        <f t="shared" si="135"/>
        <v>4.2685413945935829E-4</v>
      </c>
      <c r="DC36" s="23">
        <f t="shared" si="136"/>
        <v>0.19919791681664326</v>
      </c>
      <c r="DD36" s="23">
        <f t="shared" si="137"/>
        <v>2.2944500129485246E-3</v>
      </c>
      <c r="DE36" s="23">
        <f t="shared" si="138"/>
        <v>1.7897215956831551</v>
      </c>
      <c r="DF36" s="23">
        <f t="shared" si="139"/>
        <v>1.31762659917554E-3</v>
      </c>
      <c r="DG36" s="23">
        <f t="shared" si="140"/>
        <v>0</v>
      </c>
      <c r="DH36" s="23">
        <f t="shared" si="141"/>
        <v>0</v>
      </c>
      <c r="DI36" s="23">
        <f t="shared" si="142"/>
        <v>6.8938501384509191E-3</v>
      </c>
      <c r="DJ36" s="16">
        <f t="shared" si="143"/>
        <v>0.89984616493289915</v>
      </c>
      <c r="DL36" s="4">
        <f t="shared" si="144"/>
        <v>0.87815188988565818</v>
      </c>
      <c r="DM36" s="4">
        <f t="shared" si="145"/>
        <v>1.0267326112815378E-3</v>
      </c>
      <c r="DN36" s="4">
        <f t="shared" si="146"/>
        <v>3.2032145224778236E-2</v>
      </c>
      <c r="DO36" s="4">
        <f t="shared" si="147"/>
        <v>2.1981825024409634E-2</v>
      </c>
      <c r="DP36" s="4">
        <f t="shared" si="148"/>
        <v>4.3260397527977286E-2</v>
      </c>
      <c r="DQ36" s="4">
        <f t="shared" si="149"/>
        <v>1.9735809406777518E-3</v>
      </c>
      <c r="DR36" s="4">
        <f t="shared" si="150"/>
        <v>0.39509726081778479</v>
      </c>
      <c r="DS36" s="4">
        <f t="shared" si="151"/>
        <v>0.32813809583251596</v>
      </c>
      <c r="DT36" s="4">
        <f t="shared" si="152"/>
        <v>2.5766983815760366E-2</v>
      </c>
      <c r="DU36" s="4">
        <f t="shared" si="153"/>
        <v>0</v>
      </c>
      <c r="DV36" s="4">
        <f t="shared" si="154"/>
        <v>4.4181201835795885E-4</v>
      </c>
      <c r="DX36" s="69">
        <f t="shared" si="155"/>
        <v>1.7563037797713164</v>
      </c>
      <c r="DY36" s="69">
        <f t="shared" si="155"/>
        <v>2.0534652225630756E-3</v>
      </c>
      <c r="DZ36" s="69">
        <f t="shared" si="156"/>
        <v>9.6096435674334707E-2</v>
      </c>
      <c r="EA36" s="69">
        <f t="shared" si="156"/>
        <v>6.5945475073228899E-2</v>
      </c>
      <c r="EB36" s="69">
        <f t="shared" si="157"/>
        <v>4.3260397527977286E-2</v>
      </c>
      <c r="EC36" s="69">
        <f t="shared" si="157"/>
        <v>1.9735809406777518E-3</v>
      </c>
      <c r="ED36" s="69">
        <f t="shared" si="157"/>
        <v>0.39509726081778479</v>
      </c>
      <c r="EE36" s="69">
        <f t="shared" si="157"/>
        <v>0.32813809583251596</v>
      </c>
      <c r="EF36" s="69">
        <f t="shared" si="157"/>
        <v>2.5766983815760366E-2</v>
      </c>
      <c r="EG36" s="69">
        <f t="shared" si="157"/>
        <v>0</v>
      </c>
      <c r="EH36" s="69">
        <f t="shared" si="157"/>
        <v>4.4181201835795885E-4</v>
      </c>
      <c r="EI36" s="69">
        <f t="shared" si="158"/>
        <v>2.715077286694517</v>
      </c>
      <c r="EJ36" s="69">
        <f t="shared" ref="EJ36" si="204">6/EI36</f>
        <v>2.2098818436600483</v>
      </c>
      <c r="EL36" s="23">
        <f t="shared" si="159"/>
        <v>1.9406119174340739</v>
      </c>
      <c r="EM36" s="23">
        <f t="shared" si="160"/>
        <v>2.2689577559647403E-3</v>
      </c>
      <c r="EN36" s="23">
        <f t="shared" si="161"/>
        <v>0.14157451229143866</v>
      </c>
      <c r="EO36" s="23">
        <f t="shared" si="162"/>
        <v>9.7154472023909894E-2</v>
      </c>
      <c r="EP36" s="23">
        <f t="shared" si="163"/>
        <v>9.5600367046593041E-2</v>
      </c>
      <c r="EQ36" s="23">
        <f t="shared" si="164"/>
        <v>4.3613806877972824E-3</v>
      </c>
      <c r="ER36" s="23">
        <f t="shared" si="165"/>
        <v>0.87311826316104124</v>
      </c>
      <c r="ES36" s="23">
        <f t="shared" si="166"/>
        <v>0.72514642019345799</v>
      </c>
      <c r="ET36" s="23">
        <f t="shared" si="167"/>
        <v>0.11388397940066228</v>
      </c>
      <c r="EU36" s="23">
        <f t="shared" si="168"/>
        <v>0</v>
      </c>
      <c r="EV36" s="23">
        <f t="shared" si="169"/>
        <v>9.7635235768005321E-4</v>
      </c>
      <c r="EX36" s="14">
        <f t="shared" si="170"/>
        <v>-6.3105415060784464</v>
      </c>
      <c r="EY36" s="4">
        <f t="shared" si="171"/>
        <v>1.0942153150954432</v>
      </c>
      <c r="EZ36" s="4">
        <f t="shared" si="172"/>
        <v>1.4912864545315792</v>
      </c>
      <c r="FA36" s="4">
        <f t="shared" si="173"/>
        <v>1.4912864545315792</v>
      </c>
      <c r="FC36" s="4">
        <f t="shared" si="174"/>
        <v>2.0233771627103012</v>
      </c>
    </row>
    <row r="37" spans="1:159" x14ac:dyDescent="0.2">
      <c r="A37" s="24" t="s">
        <v>100</v>
      </c>
      <c r="B37" s="24" t="s">
        <v>123</v>
      </c>
      <c r="C37" s="98">
        <v>40.826000000000001</v>
      </c>
      <c r="D37" s="98">
        <v>0</v>
      </c>
      <c r="E37" s="90">
        <f t="shared" si="175"/>
        <v>1.2338073365083482E-2</v>
      </c>
      <c r="F37" s="98">
        <v>2.30923988529909E-2</v>
      </c>
      <c r="G37" s="98">
        <v>10.183</v>
      </c>
      <c r="H37" s="98">
        <v>0.14899999999999999</v>
      </c>
      <c r="I37" s="98">
        <v>48.817</v>
      </c>
      <c r="J37" s="92">
        <f t="shared" si="176"/>
        <v>5.197381798577351E-2</v>
      </c>
      <c r="K37" s="98">
        <v>0</v>
      </c>
      <c r="L37" s="98">
        <v>0</v>
      </c>
      <c r="M37" s="98">
        <v>0.379</v>
      </c>
      <c r="N37" s="105">
        <v>65.3</v>
      </c>
      <c r="O37" s="123">
        <v>371.45472782670805</v>
      </c>
      <c r="P37" s="11"/>
      <c r="Q37" s="100">
        <v>52.606000000000002</v>
      </c>
      <c r="R37" s="100">
        <v>6.7000000000000004E-2</v>
      </c>
      <c r="S37" s="100">
        <v>3.0009999999999999</v>
      </c>
      <c r="T37" s="100">
        <v>3.6949999999999998</v>
      </c>
      <c r="U37" s="100">
        <v>2.4689999999999999</v>
      </c>
      <c r="V37" s="100">
        <v>0.113</v>
      </c>
      <c r="W37" s="100">
        <v>15.279</v>
      </c>
      <c r="X37" s="100">
        <v>19.649999999999999</v>
      </c>
      <c r="Y37" s="100">
        <v>1.4830000000000001</v>
      </c>
      <c r="Z37" s="100">
        <v>0</v>
      </c>
      <c r="AA37" s="100"/>
      <c r="AC37" s="99">
        <v>24.324249999999999</v>
      </c>
      <c r="AD37" s="99">
        <v>45.135750000000002</v>
      </c>
      <c r="AF37" s="83">
        <f t="shared" si="178"/>
        <v>0.55452553162158713</v>
      </c>
      <c r="AG37" s="22">
        <f t="shared" si="108"/>
        <v>5.0723345488898862E-4</v>
      </c>
      <c r="AH37" s="126">
        <f t="shared" si="177"/>
        <v>997.59536137656528</v>
      </c>
      <c r="AI37" s="126">
        <f t="shared" si="109"/>
        <v>997.44584292234322</v>
      </c>
      <c r="AJ37" s="126">
        <f t="shared" si="110"/>
        <v>0.14951845422206134</v>
      </c>
      <c r="AK37" s="12"/>
      <c r="AL37" s="25">
        <f t="shared" si="111"/>
        <v>1.9694458000028974</v>
      </c>
      <c r="AN37" s="4">
        <v>15.999000000000001</v>
      </c>
      <c r="AO37" s="4">
        <v>28.085000000000001</v>
      </c>
      <c r="AP37" s="4">
        <v>47.866999999999997</v>
      </c>
      <c r="AQ37" s="4">
        <v>26.9815386</v>
      </c>
      <c r="AR37" s="4">
        <v>51.996099999999998</v>
      </c>
      <c r="AS37" s="4">
        <v>55.844999999999999</v>
      </c>
      <c r="AT37" s="4">
        <v>54.938045000000002</v>
      </c>
      <c r="AU37" s="4">
        <v>24.305</v>
      </c>
      <c r="AV37" s="4">
        <v>40.078000000000003</v>
      </c>
      <c r="AW37" s="4">
        <v>22.989769280000001</v>
      </c>
      <c r="AX37" s="4">
        <v>39.098300000000002</v>
      </c>
      <c r="AY37" s="4">
        <v>58.693399999999997</v>
      </c>
      <c r="BA37" s="4">
        <f>AN37*2+AO37</f>
        <v>60.082999999999998</v>
      </c>
      <c r="BB37" s="4">
        <f>AN37*2+AP37</f>
        <v>79.864999999999995</v>
      </c>
      <c r="BC37" s="4">
        <f>AQ37*2+AN37*3</f>
        <v>101.9600772</v>
      </c>
      <c r="BD37" s="4">
        <f>AR37*2+AN37*3</f>
        <v>151.98919999999998</v>
      </c>
      <c r="BE37" s="4">
        <f>AS37+AN37</f>
        <v>71.843999999999994</v>
      </c>
      <c r="BF37" s="4">
        <f>AT37+AN37</f>
        <v>70.937044999999998</v>
      </c>
      <c r="BG37" s="4">
        <f>AU37+AN37</f>
        <v>40.304000000000002</v>
      </c>
      <c r="BH37" s="4">
        <f>AV37+AN37</f>
        <v>56.077000000000005</v>
      </c>
      <c r="BI37" s="4">
        <f>AW37*2+AN37</f>
        <v>61.978538560000004</v>
      </c>
      <c r="BJ37" s="4">
        <f>AX37*2+AN37</f>
        <v>94.195599999999999</v>
      </c>
      <c r="BK37" s="4">
        <f>AY37+AN37</f>
        <v>74.692399999999992</v>
      </c>
      <c r="BM37" s="4">
        <f t="shared" si="112"/>
        <v>0.67949336750828027</v>
      </c>
      <c r="BN37" s="4">
        <f t="shared" si="113"/>
        <v>0</v>
      </c>
      <c r="BO37" s="4">
        <f t="shared" si="114"/>
        <v>1.2100886644957819E-4</v>
      </c>
      <c r="BP37" s="4">
        <f t="shared" si="115"/>
        <v>1.519344720084776E-4</v>
      </c>
      <c r="BQ37" s="4">
        <f t="shared" si="116"/>
        <v>0.14173765380546741</v>
      </c>
      <c r="BR37" s="4">
        <f t="shared" si="117"/>
        <v>2.100454001149893E-3</v>
      </c>
      <c r="BS37" s="4">
        <f t="shared" si="118"/>
        <v>1.2112197300516077</v>
      </c>
      <c r="BT37" s="4">
        <f t="shared" si="119"/>
        <v>9.2682950203779632E-4</v>
      </c>
      <c r="BU37" s="4">
        <f t="shared" si="120"/>
        <v>0</v>
      </c>
      <c r="BV37" s="4">
        <f t="shared" si="121"/>
        <v>0</v>
      </c>
      <c r="BW37" s="4">
        <f t="shared" si="122"/>
        <v>5.0741440896262544E-3</v>
      </c>
      <c r="BY37" s="4">
        <f t="shared" si="123"/>
        <v>0.67949336750828027</v>
      </c>
      <c r="BZ37" s="4">
        <f t="shared" si="123"/>
        <v>0</v>
      </c>
      <c r="CA37" s="4">
        <f t="shared" si="124"/>
        <v>2.4201773289915637E-4</v>
      </c>
      <c r="CB37" s="4">
        <f t="shared" si="124"/>
        <v>3.0386894401695521E-4</v>
      </c>
      <c r="CC37" s="4">
        <f t="shared" si="125"/>
        <v>0.14173765380546741</v>
      </c>
      <c r="CD37" s="4">
        <f t="shared" si="125"/>
        <v>2.100454001149893E-3</v>
      </c>
      <c r="CE37" s="4">
        <f t="shared" si="125"/>
        <v>1.2112197300516077</v>
      </c>
      <c r="CF37" s="4">
        <f t="shared" si="125"/>
        <v>9.2682950203779632E-4</v>
      </c>
      <c r="CG37" s="4">
        <f t="shared" si="126"/>
        <v>0</v>
      </c>
      <c r="CH37" s="4">
        <f t="shared" si="126"/>
        <v>0</v>
      </c>
      <c r="CI37" s="4">
        <f>BW37</f>
        <v>5.0741440896262544E-3</v>
      </c>
      <c r="CK37" s="69">
        <f t="shared" si="127"/>
        <v>1.3589867350165605</v>
      </c>
      <c r="CL37" s="69">
        <f t="shared" si="127"/>
        <v>0</v>
      </c>
      <c r="CM37" s="69">
        <f t="shared" si="128"/>
        <v>3.6302659934873456E-4</v>
      </c>
      <c r="CN37" s="69">
        <f t="shared" si="128"/>
        <v>4.5580341602543281E-4</v>
      </c>
      <c r="CO37" s="69">
        <f t="shared" si="129"/>
        <v>0.14173765380546741</v>
      </c>
      <c r="CP37" s="69">
        <f t="shared" si="129"/>
        <v>2.100454001149893E-3</v>
      </c>
      <c r="CQ37" s="69">
        <f t="shared" si="129"/>
        <v>1.2112197300516077</v>
      </c>
      <c r="CR37" s="69">
        <f t="shared" si="129"/>
        <v>9.2682950203779632E-4</v>
      </c>
      <c r="CS37" s="69">
        <f t="shared" si="129"/>
        <v>0</v>
      </c>
      <c r="CT37" s="69">
        <f t="shared" si="129"/>
        <v>0</v>
      </c>
      <c r="CU37" s="69">
        <f t="shared" si="129"/>
        <v>5.0741440896262544E-3</v>
      </c>
      <c r="CV37" s="69">
        <f t="shared" si="130"/>
        <v>2.7208643764818241</v>
      </c>
      <c r="CW37" s="16">
        <f t="shared" si="131"/>
        <v>1.4701210521827421</v>
      </c>
      <c r="CY37" s="23">
        <f t="shared" si="132"/>
        <v>0.99893750439246765</v>
      </c>
      <c r="CZ37" s="23">
        <f t="shared" si="133"/>
        <v>0</v>
      </c>
      <c r="DA37" s="23">
        <f t="shared" si="134"/>
        <v>3.5579536413658959E-4</v>
      </c>
      <c r="DB37" s="23">
        <f t="shared" si="135"/>
        <v>4.4672413170386495E-4</v>
      </c>
      <c r="DC37" s="23">
        <f t="shared" si="136"/>
        <v>0.20837150874640697</v>
      </c>
      <c r="DD37" s="23">
        <f t="shared" si="137"/>
        <v>3.0879216462319312E-3</v>
      </c>
      <c r="DE37" s="23">
        <f t="shared" si="138"/>
        <v>1.7806396239679663</v>
      </c>
      <c r="DF37" s="23">
        <f t="shared" si="139"/>
        <v>1.362551562729812E-3</v>
      </c>
      <c r="DG37" s="23">
        <f t="shared" si="140"/>
        <v>0</v>
      </c>
      <c r="DH37" s="23">
        <f t="shared" si="141"/>
        <v>0</v>
      </c>
      <c r="DI37" s="23">
        <f t="shared" si="142"/>
        <v>7.4596060479681916E-3</v>
      </c>
      <c r="DJ37" s="16">
        <f t="shared" si="143"/>
        <v>0.8952386412930502</v>
      </c>
      <c r="DL37" s="4">
        <f t="shared" si="144"/>
        <v>0.87555548158380914</v>
      </c>
      <c r="DM37" s="4">
        <f t="shared" si="145"/>
        <v>8.389156701934516E-4</v>
      </c>
      <c r="DN37" s="4">
        <f t="shared" si="146"/>
        <v>2.9433088738383181E-2</v>
      </c>
      <c r="DO37" s="4">
        <f t="shared" si="147"/>
        <v>2.4310937882428489E-2</v>
      </c>
      <c r="DP37" s="4">
        <f t="shared" si="148"/>
        <v>3.4366126607649906E-2</v>
      </c>
      <c r="DQ37" s="4">
        <f t="shared" si="149"/>
        <v>1.5929617592613282E-3</v>
      </c>
      <c r="DR37" s="4">
        <f t="shared" si="150"/>
        <v>0.37909388646288206</v>
      </c>
      <c r="DS37" s="4">
        <f t="shared" si="151"/>
        <v>0.35041104196016187</v>
      </c>
      <c r="DT37" s="4">
        <f t="shared" si="152"/>
        <v>2.3927637444441218E-2</v>
      </c>
      <c r="DU37" s="4">
        <f t="shared" si="153"/>
        <v>0</v>
      </c>
      <c r="DV37" s="4">
        <f t="shared" si="154"/>
        <v>0</v>
      </c>
      <c r="DX37" s="69">
        <f t="shared" si="155"/>
        <v>1.7511109631676183</v>
      </c>
      <c r="DY37" s="69">
        <f t="shared" si="155"/>
        <v>1.6778313403869032E-3</v>
      </c>
      <c r="DZ37" s="69">
        <f t="shared" si="156"/>
        <v>8.8299266215149538E-2</v>
      </c>
      <c r="EA37" s="69">
        <f t="shared" si="156"/>
        <v>7.293281364728546E-2</v>
      </c>
      <c r="EB37" s="69">
        <f t="shared" si="157"/>
        <v>3.4366126607649906E-2</v>
      </c>
      <c r="EC37" s="69">
        <f t="shared" si="157"/>
        <v>1.5929617592613282E-3</v>
      </c>
      <c r="ED37" s="69">
        <f t="shared" si="157"/>
        <v>0.37909388646288206</v>
      </c>
      <c r="EE37" s="69">
        <f t="shared" si="157"/>
        <v>0.35041104196016187</v>
      </c>
      <c r="EF37" s="69">
        <f t="shared" si="157"/>
        <v>2.3927637444441218E-2</v>
      </c>
      <c r="EG37" s="69">
        <f t="shared" si="157"/>
        <v>0</v>
      </c>
      <c r="EH37" s="69">
        <f t="shared" si="157"/>
        <v>0</v>
      </c>
      <c r="EI37" s="69">
        <f t="shared" si="158"/>
        <v>2.7034125286048365</v>
      </c>
      <c r="EJ37" s="69">
        <f>6/EI37</f>
        <v>2.2194171020937192</v>
      </c>
      <c r="EL37" s="23">
        <f t="shared" si="159"/>
        <v>1.9432228096590085</v>
      </c>
      <c r="EM37" s="23">
        <f t="shared" si="160"/>
        <v>1.8619037856417607E-3</v>
      </c>
      <c r="EN37" s="23">
        <f t="shared" si="161"/>
        <v>0.13064860102681936</v>
      </c>
      <c r="EO37" s="23">
        <f t="shared" si="162"/>
        <v>0.10791222260839971</v>
      </c>
      <c r="EP37" s="23">
        <f t="shared" si="163"/>
        <v>7.6272769125736217E-2</v>
      </c>
      <c r="EQ37" s="23">
        <f t="shared" si="164"/>
        <v>3.5354465714858901E-3</v>
      </c>
      <c r="ER37" s="23">
        <f t="shared" si="165"/>
        <v>0.84136745491489506</v>
      </c>
      <c r="ES37" s="23">
        <f t="shared" si="166"/>
        <v>0.77770825928886311</v>
      </c>
      <c r="ET37" s="23">
        <f t="shared" si="167"/>
        <v>0.10621081551378178</v>
      </c>
      <c r="EU37" s="23">
        <f t="shared" si="168"/>
        <v>0</v>
      </c>
      <c r="EV37" s="23">
        <f t="shared" si="169"/>
        <v>0</v>
      </c>
      <c r="EX37" s="14">
        <f t="shared" si="170"/>
        <v>-6.3469923747476455</v>
      </c>
      <c r="EY37" s="4">
        <f t="shared" si="171"/>
        <v>1.1909400793882376</v>
      </c>
      <c r="EZ37" s="4">
        <f t="shared" si="172"/>
        <v>1.6099173372378406</v>
      </c>
      <c r="FA37" s="4">
        <f t="shared" si="173"/>
        <v>1.6099173372378406</v>
      </c>
      <c r="FC37" s="4">
        <f t="shared" si="174"/>
        <v>1.9694458000028974</v>
      </c>
    </row>
    <row r="38" spans="1:159" x14ac:dyDescent="0.2">
      <c r="A38" s="24" t="s">
        <v>101</v>
      </c>
      <c r="B38" s="24" t="s">
        <v>123</v>
      </c>
      <c r="C38" s="98">
        <v>41.207000000000001</v>
      </c>
      <c r="D38" s="98">
        <v>0</v>
      </c>
      <c r="E38" s="90">
        <f t="shared" si="175"/>
        <v>1.048641763801123E-2</v>
      </c>
      <c r="F38" s="98">
        <v>1.97308471212264E-2</v>
      </c>
      <c r="G38" s="98">
        <v>8.9090000000000007</v>
      </c>
      <c r="H38" s="98">
        <v>0.128</v>
      </c>
      <c r="I38" s="98">
        <v>49.338999999999999</v>
      </c>
      <c r="J38" s="92">
        <f t="shared" si="176"/>
        <v>4.2659640654097102E-2</v>
      </c>
      <c r="K38" s="98">
        <v>0</v>
      </c>
      <c r="L38" s="98">
        <v>0</v>
      </c>
      <c r="M38" s="98">
        <v>0.41599999999999998</v>
      </c>
      <c r="N38" s="105">
        <v>55.5</v>
      </c>
      <c r="O38" s="123">
        <v>304.88668761433456</v>
      </c>
      <c r="P38" s="11"/>
      <c r="Q38" s="100">
        <v>54.438000000000002</v>
      </c>
      <c r="R38" s="100">
        <v>7.8E-2</v>
      </c>
      <c r="S38" s="100">
        <v>1.95</v>
      </c>
      <c r="T38" s="100">
        <v>1.905</v>
      </c>
      <c r="U38" s="100">
        <v>2.4830000000000001</v>
      </c>
      <c r="V38" s="100">
        <v>0.08</v>
      </c>
      <c r="W38" s="100">
        <v>17.327999999999999</v>
      </c>
      <c r="X38" s="100">
        <v>19.564</v>
      </c>
      <c r="Y38" s="100">
        <v>1.2230000000000001</v>
      </c>
      <c r="Z38" s="100">
        <v>0</v>
      </c>
      <c r="AA38" s="100">
        <v>4.3999999999999997E-2</v>
      </c>
      <c r="AC38" s="99">
        <v>27.329000000000001</v>
      </c>
      <c r="AD38" s="99">
        <v>42.2395</v>
      </c>
      <c r="AF38" s="83">
        <f t="shared" si="178"/>
        <v>0.50904388535756373</v>
      </c>
      <c r="AG38" s="22">
        <f t="shared" si="108"/>
        <v>3.8371025789495517E-4</v>
      </c>
      <c r="AH38" s="126">
        <f>10000/(0.575+0.884*AF38-0.897*LN(AG38))-273</f>
        <v>964.55354187309035</v>
      </c>
      <c r="AI38" s="126">
        <f t="shared" si="109"/>
        <v>964.40356366549986</v>
      </c>
      <c r="AJ38" s="126">
        <f t="shared" si="110"/>
        <v>0.14997820759049318</v>
      </c>
      <c r="AK38" s="12"/>
      <c r="AL38" s="25">
        <f t="shared" si="111"/>
        <v>1.8809657664693287</v>
      </c>
      <c r="AN38" s="4">
        <v>15.999000000000001</v>
      </c>
      <c r="AO38" s="4">
        <v>28.085000000000001</v>
      </c>
      <c r="AP38" s="4">
        <v>47.866999999999997</v>
      </c>
      <c r="AQ38" s="4">
        <v>26.9815386</v>
      </c>
      <c r="AR38" s="4">
        <v>51.996099999999998</v>
      </c>
      <c r="AS38" s="4">
        <v>55.844999999999999</v>
      </c>
      <c r="AT38" s="4">
        <v>54.938045000000002</v>
      </c>
      <c r="AU38" s="4">
        <v>24.305</v>
      </c>
      <c r="AV38" s="4">
        <v>40.078000000000003</v>
      </c>
      <c r="AW38" s="4">
        <v>22.989769280000001</v>
      </c>
      <c r="AX38" s="4">
        <v>39.098300000000002</v>
      </c>
      <c r="AY38" s="4">
        <v>58.693399999999997</v>
      </c>
      <c r="BA38" s="4">
        <f t="shared" ref="BA38:BA39" si="205">AN38*2+AO38</f>
        <v>60.082999999999998</v>
      </c>
      <c r="BB38" s="4">
        <f t="shared" ref="BB38:BB39" si="206">AN38*2+AP38</f>
        <v>79.864999999999995</v>
      </c>
      <c r="BC38" s="4">
        <f t="shared" ref="BC38:BC39" si="207">AQ38*2+AN38*3</f>
        <v>101.9600772</v>
      </c>
      <c r="BD38" s="4">
        <f t="shared" ref="BD38:BD39" si="208">AR38*2+AN38*3</f>
        <v>151.98919999999998</v>
      </c>
      <c r="BE38" s="4">
        <f t="shared" ref="BE38:BE39" si="209">AS38+AN38</f>
        <v>71.843999999999994</v>
      </c>
      <c r="BF38" s="4">
        <f t="shared" ref="BF38:BF39" si="210">AT38+AN38</f>
        <v>70.937044999999998</v>
      </c>
      <c r="BG38" s="4">
        <f t="shared" ref="BG38:BG39" si="211">AU38+AN38</f>
        <v>40.304000000000002</v>
      </c>
      <c r="BH38" s="4">
        <f t="shared" ref="BH38:BH39" si="212">AV38+AN38</f>
        <v>56.077000000000005</v>
      </c>
      <c r="BI38" s="4">
        <f t="shared" ref="BI38:BI39" si="213">AW38*2+AN38</f>
        <v>61.978538560000004</v>
      </c>
      <c r="BJ38" s="4">
        <f t="shared" ref="BJ38:BJ39" si="214">AX38*2+AN38</f>
        <v>94.195599999999999</v>
      </c>
      <c r="BK38" s="4">
        <f t="shared" ref="BK38:BK39" si="215">AY38+AN38</f>
        <v>74.692399999999992</v>
      </c>
      <c r="BM38" s="4">
        <f t="shared" si="112"/>
        <v>0.68583459547625791</v>
      </c>
      <c r="BN38" s="4">
        <f t="shared" si="113"/>
        <v>0</v>
      </c>
      <c r="BO38" s="4">
        <f t="shared" si="114"/>
        <v>1.0284827087215298E-4</v>
      </c>
      <c r="BP38" s="4">
        <f t="shared" si="115"/>
        <v>1.2981742861483843E-4</v>
      </c>
      <c r="BQ38" s="4">
        <f t="shared" si="116"/>
        <v>0.12400478815210736</v>
      </c>
      <c r="BR38" s="4">
        <f t="shared" si="117"/>
        <v>1.8044168600482302E-3</v>
      </c>
      <c r="BS38" s="4">
        <f t="shared" si="118"/>
        <v>1.2241712981341801</v>
      </c>
      <c r="BT38" s="4">
        <f t="shared" si="119"/>
        <v>7.6073328912204822E-4</v>
      </c>
      <c r="BU38" s="4">
        <f t="shared" si="120"/>
        <v>0</v>
      </c>
      <c r="BV38" s="4">
        <f t="shared" si="121"/>
        <v>0</v>
      </c>
      <c r="BW38" s="4">
        <f t="shared" si="122"/>
        <v>5.5695090799063899E-3</v>
      </c>
      <c r="BY38" s="4">
        <f t="shared" si="123"/>
        <v>0.68583459547625791</v>
      </c>
      <c r="BZ38" s="4">
        <f t="shared" si="123"/>
        <v>0</v>
      </c>
      <c r="CA38" s="4">
        <f t="shared" si="124"/>
        <v>2.0569654174430597E-4</v>
      </c>
      <c r="CB38" s="4">
        <f t="shared" si="124"/>
        <v>2.5963485722967685E-4</v>
      </c>
      <c r="CC38" s="4">
        <f t="shared" si="125"/>
        <v>0.12400478815210736</v>
      </c>
      <c r="CD38" s="4">
        <f t="shared" si="125"/>
        <v>1.8044168600482302E-3</v>
      </c>
      <c r="CE38" s="4">
        <f t="shared" si="125"/>
        <v>1.2241712981341801</v>
      </c>
      <c r="CF38" s="4">
        <f t="shared" si="125"/>
        <v>7.6073328912204822E-4</v>
      </c>
      <c r="CG38" s="4">
        <f t="shared" si="126"/>
        <v>0</v>
      </c>
      <c r="CH38" s="4">
        <f t="shared" si="126"/>
        <v>0</v>
      </c>
      <c r="CI38" s="4">
        <f t="shared" ref="CI38:CI39" si="216">BW38</f>
        <v>5.5695090799063899E-3</v>
      </c>
      <c r="CK38" s="69">
        <f t="shared" si="127"/>
        <v>1.3716691909525158</v>
      </c>
      <c r="CL38" s="69">
        <f t="shared" si="127"/>
        <v>0</v>
      </c>
      <c r="CM38" s="69">
        <f t="shared" si="128"/>
        <v>3.0854481261645894E-4</v>
      </c>
      <c r="CN38" s="69">
        <f t="shared" si="128"/>
        <v>3.8945228584451525E-4</v>
      </c>
      <c r="CO38" s="69">
        <f t="shared" si="129"/>
        <v>0.12400478815210736</v>
      </c>
      <c r="CP38" s="69">
        <f t="shared" si="129"/>
        <v>1.8044168600482302E-3</v>
      </c>
      <c r="CQ38" s="69">
        <f t="shared" si="129"/>
        <v>1.2241712981341801</v>
      </c>
      <c r="CR38" s="69">
        <f t="shared" si="129"/>
        <v>7.6073328912204822E-4</v>
      </c>
      <c r="CS38" s="69">
        <f t="shared" si="129"/>
        <v>0</v>
      </c>
      <c r="CT38" s="69">
        <f t="shared" si="129"/>
        <v>0</v>
      </c>
      <c r="CU38" s="69">
        <f t="shared" si="129"/>
        <v>5.5695090799063899E-3</v>
      </c>
      <c r="CV38" s="69">
        <f t="shared" si="130"/>
        <v>2.7286779335663414</v>
      </c>
      <c r="CW38" s="16">
        <f t="shared" si="131"/>
        <v>1.4659113671110535</v>
      </c>
      <c r="CY38" s="23">
        <f t="shared" si="132"/>
        <v>1.0053727294666577</v>
      </c>
      <c r="CZ38" s="23">
        <f t="shared" si="133"/>
        <v>0</v>
      </c>
      <c r="DA38" s="23">
        <f t="shared" si="134"/>
        <v>3.0153289871841146E-4</v>
      </c>
      <c r="DB38" s="23">
        <f t="shared" si="135"/>
        <v>3.806016885112388E-4</v>
      </c>
      <c r="DC38" s="23">
        <f t="shared" si="136"/>
        <v>0.18178002852837227</v>
      </c>
      <c r="DD38" s="23">
        <f t="shared" si="137"/>
        <v>2.6451151861515356E-3</v>
      </c>
      <c r="DE38" s="23">
        <f t="shared" si="138"/>
        <v>1.7945266212259892</v>
      </c>
      <c r="DF38" s="23">
        <f t="shared" si="139"/>
        <v>1.1151675758637901E-3</v>
      </c>
      <c r="DG38" s="23">
        <f t="shared" si="140"/>
        <v>0</v>
      </c>
      <c r="DH38" s="23">
        <f t="shared" si="141"/>
        <v>0</v>
      </c>
      <c r="DI38" s="23">
        <f t="shared" si="142"/>
        <v>8.1644066694630014E-3</v>
      </c>
      <c r="DJ38" s="16">
        <f t="shared" si="143"/>
        <v>0.90802033249700087</v>
      </c>
      <c r="DL38" s="4">
        <f t="shared" si="144"/>
        <v>0.90604663548757558</v>
      </c>
      <c r="DM38" s="4">
        <f t="shared" si="145"/>
        <v>9.76648093658048E-4</v>
      </c>
      <c r="DN38" s="4">
        <f t="shared" si="146"/>
        <v>1.9125132635737157E-2</v>
      </c>
      <c r="DO38" s="4">
        <f t="shared" si="147"/>
        <v>1.2533785295270982E-2</v>
      </c>
      <c r="DP38" s="4">
        <f t="shared" si="148"/>
        <v>3.4560993263181343E-2</v>
      </c>
      <c r="DQ38" s="4">
        <f t="shared" si="149"/>
        <v>1.1277605375301439E-3</v>
      </c>
      <c r="DR38" s="4">
        <f t="shared" si="150"/>
        <v>0.42993251290194517</v>
      </c>
      <c r="DS38" s="4">
        <f t="shared" si="151"/>
        <v>0.34887743638211743</v>
      </c>
      <c r="DT38" s="4">
        <f t="shared" si="152"/>
        <v>1.9732636948450177E-2</v>
      </c>
      <c r="DU38" s="4">
        <f t="shared" si="153"/>
        <v>0</v>
      </c>
      <c r="DV38" s="4">
        <f t="shared" si="154"/>
        <v>5.8908269114394502E-4</v>
      </c>
      <c r="DX38" s="69">
        <f t="shared" si="155"/>
        <v>1.8120932709751512</v>
      </c>
      <c r="DY38" s="69">
        <f t="shared" si="155"/>
        <v>1.953296187316096E-3</v>
      </c>
      <c r="DZ38" s="69">
        <f t="shared" si="156"/>
        <v>5.7375397907211467E-2</v>
      </c>
      <c r="EA38" s="69">
        <f t="shared" si="156"/>
        <v>3.7601355885812947E-2</v>
      </c>
      <c r="EB38" s="69">
        <f t="shared" si="157"/>
        <v>3.4560993263181343E-2</v>
      </c>
      <c r="EC38" s="69">
        <f t="shared" si="157"/>
        <v>1.1277605375301439E-3</v>
      </c>
      <c r="ED38" s="69">
        <f t="shared" si="157"/>
        <v>0.42993251290194517</v>
      </c>
      <c r="EE38" s="69">
        <f t="shared" si="157"/>
        <v>0.34887743638211743</v>
      </c>
      <c r="EF38" s="69">
        <f t="shared" si="157"/>
        <v>1.9732636948450177E-2</v>
      </c>
      <c r="EG38" s="69">
        <f t="shared" si="157"/>
        <v>0</v>
      </c>
      <c r="EH38" s="69">
        <f t="shared" si="157"/>
        <v>5.8908269114394502E-4</v>
      </c>
      <c r="EI38" s="69">
        <f t="shared" si="158"/>
        <v>2.7438437436798599</v>
      </c>
      <c r="EJ38" s="69">
        <f t="shared" ref="EJ38:EJ39" si="217">6/EI38</f>
        <v>2.186713443074277</v>
      </c>
      <c r="EL38" s="23">
        <f t="shared" si="159"/>
        <v>1.9812643578729008</v>
      </c>
      <c r="EM38" s="23">
        <f t="shared" si="160"/>
        <v>2.1356495155549189E-3</v>
      </c>
      <c r="EN38" s="23">
        <f t="shared" si="161"/>
        <v>8.3642369270290035E-2</v>
      </c>
      <c r="EO38" s="23">
        <f t="shared" si="162"/>
        <v>5.48155935955515E-2</v>
      </c>
      <c r="EP38" s="23">
        <f t="shared" si="163"/>
        <v>7.557498857459817E-2</v>
      </c>
      <c r="EQ38" s="23">
        <f t="shared" si="164"/>
        <v>2.4660891279858384E-3</v>
      </c>
      <c r="ER38" s="23">
        <f t="shared" si="165"/>
        <v>0.9401392055773885</v>
      </c>
      <c r="ES38" s="23">
        <f t="shared" si="166"/>
        <v>0.76289498012206702</v>
      </c>
      <c r="ET38" s="23">
        <f t="shared" si="167"/>
        <v>8.6299244964960359E-2</v>
      </c>
      <c r="EU38" s="23">
        <f t="shared" si="168"/>
        <v>0</v>
      </c>
      <c r="EV38" s="23">
        <f t="shared" si="169"/>
        <v>1.2881550398068369E-3</v>
      </c>
      <c r="EX38" s="14">
        <f t="shared" si="170"/>
        <v>-6.5281156952060133</v>
      </c>
      <c r="EY38" s="4">
        <f t="shared" si="171"/>
        <v>1.004378979575391</v>
      </c>
      <c r="EZ38" s="4">
        <f t="shared" si="172"/>
        <v>1.7410606423956483</v>
      </c>
      <c r="FA38" s="4">
        <f t="shared" si="173"/>
        <v>1.7410606423956483</v>
      </c>
      <c r="FC38" s="4">
        <f t="shared" si="174"/>
        <v>1.8809657664693287</v>
      </c>
    </row>
    <row r="39" spans="1:159" x14ac:dyDescent="0.2">
      <c r="A39" s="40" t="s">
        <v>102</v>
      </c>
      <c r="B39" s="40" t="s">
        <v>123</v>
      </c>
      <c r="C39" s="101">
        <v>41.533999999999999</v>
      </c>
      <c r="D39" s="101">
        <v>0</v>
      </c>
      <c r="E39" s="91">
        <f t="shared" si="175"/>
        <v>7.0665228767859464E-3</v>
      </c>
      <c r="F39" s="101">
        <v>9.3246521950684762E-3</v>
      </c>
      <c r="G39" s="101">
        <v>8.6289999999999996</v>
      </c>
      <c r="H39" s="101">
        <v>0.13800000000000001</v>
      </c>
      <c r="I39" s="101">
        <v>49.99</v>
      </c>
      <c r="J39" s="91">
        <f t="shared" si="176"/>
        <v>3.1671505077428316E-2</v>
      </c>
      <c r="K39" s="101">
        <v>0</v>
      </c>
      <c r="L39" s="101">
        <v>0</v>
      </c>
      <c r="M39" s="101">
        <v>0.43099999999999999</v>
      </c>
      <c r="N39" s="107">
        <v>37.4</v>
      </c>
      <c r="O39" s="124">
        <v>226.35493704962323</v>
      </c>
      <c r="P39" s="41"/>
      <c r="Q39" s="102">
        <v>53.677999999999997</v>
      </c>
      <c r="R39" s="102">
        <v>6.2E-2</v>
      </c>
      <c r="S39" s="102">
        <v>2.823</v>
      </c>
      <c r="T39" s="102">
        <v>1.321</v>
      </c>
      <c r="U39" s="102">
        <v>1.972</v>
      </c>
      <c r="V39" s="102">
        <v>6.4000000000000001E-2</v>
      </c>
      <c r="W39" s="102">
        <v>16.608000000000001</v>
      </c>
      <c r="X39" s="102">
        <v>22.059000000000001</v>
      </c>
      <c r="Y39" s="102">
        <v>0.72499999999999998</v>
      </c>
      <c r="Z39" s="102">
        <v>0</v>
      </c>
      <c r="AA39" s="102">
        <v>0.11700000000000001</v>
      </c>
      <c r="AB39" s="27"/>
      <c r="AC39" s="102">
        <v>30.777500000000003</v>
      </c>
      <c r="AD39" s="102">
        <v>39.548000000000002</v>
      </c>
      <c r="AE39" s="27"/>
      <c r="AF39" s="84">
        <f t="shared" si="178"/>
        <v>0.46294389825386562</v>
      </c>
      <c r="AG39" s="42">
        <f t="shared" si="108"/>
        <v>2.2960028841803088E-4</v>
      </c>
      <c r="AH39" s="127">
        <f t="shared" si="177"/>
        <v>903.42097541360772</v>
      </c>
      <c r="AI39" s="127">
        <f t="shared" si="109"/>
        <v>903.27071480266318</v>
      </c>
      <c r="AJ39" s="127">
        <f t="shared" si="110"/>
        <v>0.15026061094454235</v>
      </c>
      <c r="AK39" s="43"/>
      <c r="AL39" s="44">
        <f t="shared" si="111"/>
        <v>1.5745865418469405</v>
      </c>
      <c r="AM39" s="27"/>
      <c r="AN39" s="26">
        <v>15.999000000000001</v>
      </c>
      <c r="AO39" s="26">
        <v>28.085000000000001</v>
      </c>
      <c r="AP39" s="26">
        <v>47.866999999999997</v>
      </c>
      <c r="AQ39" s="26">
        <v>26.9815386</v>
      </c>
      <c r="AR39" s="26">
        <v>51.996099999999998</v>
      </c>
      <c r="AS39" s="26">
        <v>55.844999999999999</v>
      </c>
      <c r="AT39" s="26">
        <v>54.938045000000002</v>
      </c>
      <c r="AU39" s="26">
        <v>24.305</v>
      </c>
      <c r="AV39" s="26">
        <v>40.078000000000003</v>
      </c>
      <c r="AW39" s="26">
        <v>22.989769280000001</v>
      </c>
      <c r="AX39" s="26">
        <v>39.098300000000002</v>
      </c>
      <c r="AY39" s="26">
        <v>58.693399999999997</v>
      </c>
      <c r="AZ39" s="27"/>
      <c r="BA39" s="26">
        <f t="shared" si="205"/>
        <v>60.082999999999998</v>
      </c>
      <c r="BB39" s="26">
        <f t="shared" si="206"/>
        <v>79.864999999999995</v>
      </c>
      <c r="BC39" s="26">
        <f t="shared" si="207"/>
        <v>101.9600772</v>
      </c>
      <c r="BD39" s="26">
        <f t="shared" si="208"/>
        <v>151.98919999999998</v>
      </c>
      <c r="BE39" s="26">
        <f t="shared" si="209"/>
        <v>71.843999999999994</v>
      </c>
      <c r="BF39" s="26">
        <f t="shared" si="210"/>
        <v>70.937044999999998</v>
      </c>
      <c r="BG39" s="26">
        <f t="shared" si="211"/>
        <v>40.304000000000002</v>
      </c>
      <c r="BH39" s="26">
        <f t="shared" si="212"/>
        <v>56.077000000000005</v>
      </c>
      <c r="BI39" s="26">
        <f t="shared" si="213"/>
        <v>61.978538560000004</v>
      </c>
      <c r="BJ39" s="26">
        <f t="shared" si="214"/>
        <v>94.195599999999999</v>
      </c>
      <c r="BK39" s="26">
        <f t="shared" si="215"/>
        <v>74.692399999999992</v>
      </c>
      <c r="BL39" s="27"/>
      <c r="BM39" s="26">
        <f t="shared" si="112"/>
        <v>0.69127706672436462</v>
      </c>
      <c r="BN39" s="26">
        <f t="shared" si="113"/>
        <v>0</v>
      </c>
      <c r="BO39" s="26">
        <f t="shared" si="114"/>
        <v>6.9306762713847243E-5</v>
      </c>
      <c r="BP39" s="26">
        <f t="shared" si="115"/>
        <v>6.1350755152790316E-5</v>
      </c>
      <c r="BQ39" s="26">
        <f t="shared" si="116"/>
        <v>0.12010745504147877</v>
      </c>
      <c r="BR39" s="26">
        <f t="shared" si="117"/>
        <v>1.9453869272394982E-3</v>
      </c>
      <c r="BS39" s="26">
        <f t="shared" si="118"/>
        <v>1.2403235410877331</v>
      </c>
      <c r="BT39" s="26">
        <f t="shared" si="119"/>
        <v>5.6478600990474376E-4</v>
      </c>
      <c r="BU39" s="26">
        <f t="shared" si="120"/>
        <v>0</v>
      </c>
      <c r="BV39" s="26">
        <f t="shared" si="121"/>
        <v>0</v>
      </c>
      <c r="BW39" s="26">
        <f t="shared" si="122"/>
        <v>5.7703327246145528E-3</v>
      </c>
      <c r="BX39" s="27"/>
      <c r="BY39" s="26">
        <f t="shared" si="123"/>
        <v>0.69127706672436462</v>
      </c>
      <c r="BZ39" s="26">
        <f t="shared" si="123"/>
        <v>0</v>
      </c>
      <c r="CA39" s="26">
        <f t="shared" si="124"/>
        <v>1.3861352542769449E-4</v>
      </c>
      <c r="CB39" s="26">
        <f t="shared" si="124"/>
        <v>1.2270151030558063E-4</v>
      </c>
      <c r="CC39" s="26">
        <f t="shared" si="125"/>
        <v>0.12010745504147877</v>
      </c>
      <c r="CD39" s="26">
        <f t="shared" si="125"/>
        <v>1.9453869272394982E-3</v>
      </c>
      <c r="CE39" s="26">
        <f t="shared" si="125"/>
        <v>1.2403235410877331</v>
      </c>
      <c r="CF39" s="26">
        <f t="shared" si="125"/>
        <v>5.6478600990474376E-4</v>
      </c>
      <c r="CG39" s="26">
        <f t="shared" si="126"/>
        <v>0</v>
      </c>
      <c r="CH39" s="26">
        <f t="shared" si="126"/>
        <v>0</v>
      </c>
      <c r="CI39" s="26">
        <f t="shared" si="216"/>
        <v>5.7703327246145528E-3</v>
      </c>
      <c r="CJ39" s="27"/>
      <c r="CK39" s="76">
        <f t="shared" si="127"/>
        <v>1.3825541334487292</v>
      </c>
      <c r="CL39" s="76">
        <f t="shared" si="127"/>
        <v>0</v>
      </c>
      <c r="CM39" s="76">
        <f t="shared" si="128"/>
        <v>2.0792028814154172E-4</v>
      </c>
      <c r="CN39" s="76">
        <f t="shared" si="128"/>
        <v>1.8405226545837095E-4</v>
      </c>
      <c r="CO39" s="76">
        <f t="shared" si="129"/>
        <v>0.12010745504147877</v>
      </c>
      <c r="CP39" s="76">
        <f t="shared" si="129"/>
        <v>1.9453869272394982E-3</v>
      </c>
      <c r="CQ39" s="76">
        <f t="shared" si="129"/>
        <v>1.2403235410877331</v>
      </c>
      <c r="CR39" s="76">
        <f t="shared" si="129"/>
        <v>5.6478600990474376E-4</v>
      </c>
      <c r="CS39" s="76">
        <f t="shared" si="129"/>
        <v>0</v>
      </c>
      <c r="CT39" s="76">
        <f t="shared" si="129"/>
        <v>0</v>
      </c>
      <c r="CU39" s="76">
        <f t="shared" si="129"/>
        <v>5.7703327246145528E-3</v>
      </c>
      <c r="CV39" s="76">
        <f t="shared" si="130"/>
        <v>2.7516576077932999</v>
      </c>
      <c r="CW39" s="29">
        <f t="shared" si="131"/>
        <v>1.4536692314738286</v>
      </c>
      <c r="CX39" s="27"/>
      <c r="CY39" s="79">
        <f t="shared" si="132"/>
        <v>1.0048882023206898</v>
      </c>
      <c r="CZ39" s="79">
        <f t="shared" si="133"/>
        <v>0</v>
      </c>
      <c r="DA39" s="79">
        <f t="shared" si="134"/>
        <v>2.0149821698035465E-4</v>
      </c>
      <c r="DB39" s="79">
        <f t="shared" si="135"/>
        <v>1.7836741018659148E-4</v>
      </c>
      <c r="DC39" s="79">
        <f t="shared" si="136"/>
        <v>0.17459651186442388</v>
      </c>
      <c r="DD39" s="79">
        <f t="shared" si="137"/>
        <v>2.8279491194394745E-3</v>
      </c>
      <c r="DE39" s="79">
        <f t="shared" si="138"/>
        <v>1.8030201687519027</v>
      </c>
      <c r="DF39" s="79">
        <f t="shared" si="139"/>
        <v>8.21012044965399E-4</v>
      </c>
      <c r="DG39" s="79">
        <f t="shared" si="140"/>
        <v>0</v>
      </c>
      <c r="DH39" s="79">
        <f t="shared" si="141"/>
        <v>0</v>
      </c>
      <c r="DI39" s="79">
        <f t="shared" si="142"/>
        <v>8.3881551371387201E-3</v>
      </c>
      <c r="DJ39" s="29">
        <f t="shared" si="143"/>
        <v>0.91171367354668009</v>
      </c>
      <c r="DK39" s="27"/>
      <c r="DL39" s="26">
        <f t="shared" si="144"/>
        <v>0.8933974668375414</v>
      </c>
      <c r="DM39" s="26">
        <f t="shared" si="145"/>
        <v>7.7631002316408946E-4</v>
      </c>
      <c r="DN39" s="26">
        <f t="shared" si="146"/>
        <v>2.7687307400351791E-2</v>
      </c>
      <c r="DO39" s="26">
        <f t="shared" si="147"/>
        <v>8.6914070210251781E-3</v>
      </c>
      <c r="DP39" s="26">
        <f t="shared" si="148"/>
        <v>2.7448360336284172E-2</v>
      </c>
      <c r="DQ39" s="26">
        <f t="shared" si="149"/>
        <v>9.022084300241151E-4</v>
      </c>
      <c r="DR39" s="26">
        <f t="shared" si="150"/>
        <v>0.41206828106391424</v>
      </c>
      <c r="DS39" s="26">
        <f t="shared" si="151"/>
        <v>0.3933698307684077</v>
      </c>
      <c r="DT39" s="26">
        <f t="shared" si="152"/>
        <v>1.1697597536898099E-2</v>
      </c>
      <c r="DU39" s="26">
        <f t="shared" si="153"/>
        <v>0</v>
      </c>
      <c r="DV39" s="26">
        <f t="shared" si="154"/>
        <v>1.5664244287236723E-3</v>
      </c>
      <c r="DW39" s="27"/>
      <c r="DX39" s="76">
        <f t="shared" si="155"/>
        <v>1.7867949336750828</v>
      </c>
      <c r="DY39" s="76">
        <f t="shared" si="155"/>
        <v>1.5526200463281789E-3</v>
      </c>
      <c r="DZ39" s="76">
        <f t="shared" si="156"/>
        <v>8.3061922201055377E-2</v>
      </c>
      <c r="EA39" s="76">
        <f t="shared" si="156"/>
        <v>2.6074221063075533E-2</v>
      </c>
      <c r="EB39" s="76">
        <f t="shared" si="157"/>
        <v>2.7448360336284172E-2</v>
      </c>
      <c r="EC39" s="76">
        <f t="shared" si="157"/>
        <v>9.022084300241151E-4</v>
      </c>
      <c r="ED39" s="76">
        <f t="shared" si="157"/>
        <v>0.41206828106391424</v>
      </c>
      <c r="EE39" s="76">
        <f t="shared" si="157"/>
        <v>0.3933698307684077</v>
      </c>
      <c r="EF39" s="76">
        <f t="shared" si="157"/>
        <v>1.1697597536898099E-2</v>
      </c>
      <c r="EG39" s="76">
        <f t="shared" si="157"/>
        <v>0</v>
      </c>
      <c r="EH39" s="76">
        <f t="shared" si="157"/>
        <v>1.5664244287236723E-3</v>
      </c>
      <c r="EI39" s="76">
        <f t="shared" si="158"/>
        <v>2.7445363995497938</v>
      </c>
      <c r="EJ39" s="76">
        <f t="shared" si="217"/>
        <v>2.18616156848356</v>
      </c>
      <c r="EK39" s="27"/>
      <c r="EL39" s="79">
        <f t="shared" si="159"/>
        <v>1.9531112073807988</v>
      </c>
      <c r="EM39" s="79">
        <f t="shared" si="160"/>
        <v>1.6971391378699146E-3</v>
      </c>
      <c r="EN39" s="79">
        <f t="shared" si="161"/>
        <v>0.12105785474687911</v>
      </c>
      <c r="EO39" s="79">
        <f t="shared" si="162"/>
        <v>3.8001640010826856E-2</v>
      </c>
      <c r="EP39" s="79">
        <f t="shared" si="163"/>
        <v>6.0006550485072946E-2</v>
      </c>
      <c r="EQ39" s="79">
        <f t="shared" si="164"/>
        <v>1.9723733964806095E-3</v>
      </c>
      <c r="ER39" s="79">
        <f t="shared" si="165"/>
        <v>0.90084783965301118</v>
      </c>
      <c r="ES39" s="79">
        <f t="shared" si="166"/>
        <v>0.85997000622677477</v>
      </c>
      <c r="ET39" s="79">
        <f t="shared" si="167"/>
        <v>5.1145676357509155E-2</v>
      </c>
      <c r="EU39" s="79">
        <f t="shared" si="168"/>
        <v>0</v>
      </c>
      <c r="EV39" s="79">
        <f t="shared" si="169"/>
        <v>3.4244568860095077E-3</v>
      </c>
      <c r="EW39" s="27"/>
      <c r="EX39" s="30">
        <f t="shared" si="170"/>
        <v>-6.9541150107055687</v>
      </c>
      <c r="EY39" s="26">
        <f t="shared" si="171"/>
        <v>0.79332114817754396</v>
      </c>
      <c r="EZ39" s="26">
        <f t="shared" si="172"/>
        <v>2.1610365759191681</v>
      </c>
      <c r="FA39" s="26">
        <f t="shared" si="173"/>
        <v>2.1610365759191681</v>
      </c>
      <c r="FB39" s="27"/>
      <c r="FC39" s="26">
        <f t="shared" si="174"/>
        <v>1.5745865418469405</v>
      </c>
    </row>
    <row r="40" spans="1:159" x14ac:dyDescent="0.2">
      <c r="A40" s="1" t="s">
        <v>124</v>
      </c>
      <c r="B40" s="24"/>
      <c r="C40" s="72"/>
      <c r="D40" s="72"/>
      <c r="E40" s="74"/>
      <c r="F40" s="72"/>
      <c r="G40" s="72"/>
      <c r="H40" s="72"/>
      <c r="I40" s="72"/>
      <c r="J40" s="75"/>
      <c r="K40" s="72"/>
      <c r="L40" s="72"/>
      <c r="M40" s="72"/>
      <c r="N40" s="10"/>
      <c r="P40" s="52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C40" s="75"/>
      <c r="AD40" s="75"/>
      <c r="AF40" s="85"/>
      <c r="AG40" s="54"/>
      <c r="AH40" s="53"/>
      <c r="AI40" s="153" t="s">
        <v>199</v>
      </c>
      <c r="AJ40" s="53"/>
      <c r="AK40" s="55"/>
      <c r="AL40" s="13"/>
      <c r="FC40" s="4"/>
    </row>
    <row r="41" spans="1:159" x14ac:dyDescent="0.2">
      <c r="A41" s="1" t="s">
        <v>86</v>
      </c>
      <c r="B41" s="1"/>
    </row>
    <row r="42" spans="1:159" ht="14.25" x14ac:dyDescent="0.2">
      <c r="A42" s="151" t="s">
        <v>113</v>
      </c>
      <c r="B42" s="151"/>
      <c r="C42" s="152"/>
      <c r="D42" s="152"/>
      <c r="E42" s="152"/>
      <c r="F42" s="152"/>
      <c r="G42" s="152"/>
      <c r="O42" s="88"/>
    </row>
    <row r="43" spans="1:159" ht="14.25" x14ac:dyDescent="0.2">
      <c r="A43" s="1" t="s">
        <v>114</v>
      </c>
      <c r="B43" s="1"/>
    </row>
    <row r="44" spans="1:159" ht="14.25" x14ac:dyDescent="0.2">
      <c r="A44" s="1" t="s">
        <v>115</v>
      </c>
      <c r="B44" s="1"/>
    </row>
    <row r="45" spans="1:159" ht="14.25" x14ac:dyDescent="0.2">
      <c r="A45" s="1" t="s">
        <v>194</v>
      </c>
      <c r="B45" s="1"/>
    </row>
    <row r="46" spans="1:159" x14ac:dyDescent="0.2">
      <c r="B46" s="1"/>
    </row>
    <row r="47" spans="1:159" x14ac:dyDescent="0.2">
      <c r="A47" s="47" t="s">
        <v>112</v>
      </c>
      <c r="B47" s="51"/>
    </row>
    <row r="48" spans="1:159" x14ac:dyDescent="0.2">
      <c r="A48" s="1" t="s">
        <v>116</v>
      </c>
      <c r="B48" s="1"/>
    </row>
    <row r="49" spans="1:14" x14ac:dyDescent="0.2">
      <c r="A49" s="1" t="s">
        <v>111</v>
      </c>
      <c r="B49" s="1"/>
    </row>
    <row r="50" spans="1:14" x14ac:dyDescent="0.2">
      <c r="A50" s="48" t="s">
        <v>117</v>
      </c>
      <c r="B50" s="48"/>
    </row>
    <row r="51" spans="1:14" x14ac:dyDescent="0.2">
      <c r="A51" s="1" t="s">
        <v>118</v>
      </c>
      <c r="B51" s="1"/>
    </row>
    <row r="56" spans="1:14" x14ac:dyDescent="0.2">
      <c r="N56" s="3"/>
    </row>
  </sheetData>
  <mergeCells count="1">
    <mergeCell ref="A3:AD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H55"/>
  <sheetViews>
    <sheetView workbookViewId="0"/>
  </sheetViews>
  <sheetFormatPr defaultRowHeight="12.75" x14ac:dyDescent="0.2"/>
  <cols>
    <col min="1" max="1" width="7.875" style="3" customWidth="1"/>
    <col min="2" max="2" width="8.625" style="3" customWidth="1"/>
    <col min="3" max="13" width="5.375" style="69" customWidth="1"/>
    <col min="14" max="14" width="7.375" style="2" customWidth="1"/>
    <col min="15" max="15" width="6.5" style="15" customWidth="1"/>
    <col min="16" max="16" width="1.625" style="3" customWidth="1"/>
    <col min="17" max="27" width="5.375" style="69" customWidth="1"/>
    <col min="28" max="28" width="1.625" style="3" customWidth="1"/>
    <col min="29" max="30" width="5.375" style="69" customWidth="1"/>
    <col min="31" max="31" width="1.625" style="3" customWidth="1"/>
    <col min="32" max="32" width="5.375" style="80" customWidth="1"/>
    <col min="33" max="33" width="6.625" style="23" customWidth="1"/>
    <col min="34" max="34" width="6.375" style="3" customWidth="1"/>
    <col min="35" max="35" width="12" style="2" customWidth="1"/>
    <col min="36" max="36" width="5" style="2" customWidth="1"/>
    <col min="37" max="37" width="1.625" style="3" customWidth="1"/>
    <col min="38" max="38" width="5.625" style="3" customWidth="1"/>
    <col min="39" max="39" width="1.625" style="3" customWidth="1"/>
    <col min="40" max="51" width="5.125" style="4" customWidth="1"/>
    <col min="52" max="52" width="1.625" style="3" customWidth="1"/>
    <col min="53" max="63" width="5.375" style="4" customWidth="1"/>
    <col min="64" max="64" width="1.625" style="3" customWidth="1"/>
    <col min="65" max="75" width="5.125" style="4" customWidth="1"/>
    <col min="76" max="76" width="1.625" style="3" customWidth="1"/>
    <col min="77" max="87" width="5.125" style="4" customWidth="1"/>
    <col min="88" max="88" width="1.625" style="3" customWidth="1"/>
    <col min="89" max="100" width="5.125" style="69" customWidth="1"/>
    <col min="101" max="101" width="5.625" style="16" customWidth="1"/>
    <col min="102" max="102" width="1.625" style="3" customWidth="1"/>
    <col min="103" max="113" width="7.25" style="23" customWidth="1"/>
    <col min="114" max="114" width="7.25" style="16" customWidth="1"/>
    <col min="115" max="115" width="1.625" style="3" customWidth="1"/>
    <col min="116" max="126" width="5.125" style="4" customWidth="1"/>
    <col min="127" max="127" width="1.625" style="3" customWidth="1"/>
    <col min="128" max="140" width="5.125" style="69" customWidth="1"/>
    <col min="141" max="141" width="1.625" style="3" customWidth="1"/>
    <col min="142" max="152" width="7.25" style="23" customWidth="1"/>
    <col min="153" max="153" width="1.625" style="3" customWidth="1"/>
    <col min="154" max="154" width="6.75" style="14" customWidth="1"/>
    <col min="155" max="155" width="5.125" style="4" customWidth="1"/>
    <col min="156" max="156" width="5.25" style="4" customWidth="1"/>
    <col min="157" max="157" width="8" style="4" customWidth="1"/>
    <col min="158" max="158" width="1.625" style="3" customWidth="1"/>
    <col min="159" max="159" width="8" style="3" customWidth="1"/>
    <col min="160" max="16384" width="9" style="3"/>
  </cols>
  <sheetData>
    <row r="1" spans="1:242" ht="15.75" x14ac:dyDescent="0.2">
      <c r="A1" s="110" t="s">
        <v>217</v>
      </c>
      <c r="B1" s="1"/>
    </row>
    <row r="2" spans="1:242" ht="5.25" customHeight="1" x14ac:dyDescent="0.2">
      <c r="A2" s="1"/>
      <c r="B2" s="1"/>
    </row>
    <row r="3" spans="1:242" ht="33.950000000000003" customHeight="1" x14ac:dyDescent="0.2">
      <c r="A3" s="154" t="s">
        <v>219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I3" s="120"/>
      <c r="AJ3" s="120"/>
    </row>
    <row r="4" spans="1:242" ht="5.25" customHeight="1" x14ac:dyDescent="0.2">
      <c r="A4" s="1"/>
      <c r="B4" s="1"/>
    </row>
    <row r="5" spans="1:242" ht="15.75" x14ac:dyDescent="0.2">
      <c r="A5" s="110" t="s">
        <v>212</v>
      </c>
      <c r="B5" s="1"/>
    </row>
    <row r="6" spans="1:242" ht="15.75" x14ac:dyDescent="0.2">
      <c r="A6" s="110" t="s">
        <v>213</v>
      </c>
      <c r="B6" s="1"/>
    </row>
    <row r="7" spans="1:242" ht="15.75" x14ac:dyDescent="0.2">
      <c r="A7" s="110" t="s">
        <v>214</v>
      </c>
      <c r="B7" s="1"/>
    </row>
    <row r="8" spans="1:242" ht="15.75" x14ac:dyDescent="0.2">
      <c r="A8" s="110" t="s">
        <v>215</v>
      </c>
      <c r="B8" s="1"/>
    </row>
    <row r="9" spans="1:242" ht="18.75" x14ac:dyDescent="0.2">
      <c r="A9" s="155" t="s">
        <v>220</v>
      </c>
      <c r="B9" s="1"/>
    </row>
    <row r="10" spans="1:242" x14ac:dyDescent="0.2">
      <c r="A10" s="1"/>
      <c r="B10" s="1"/>
    </row>
    <row r="11" spans="1:242" ht="13.5" x14ac:dyDescent="0.2">
      <c r="A11" s="1"/>
      <c r="B11" s="1"/>
      <c r="C11" s="108" t="s">
        <v>208</v>
      </c>
      <c r="D11" s="71"/>
      <c r="E11" s="71"/>
      <c r="F11" s="71"/>
      <c r="O11" s="128"/>
      <c r="Q11" s="108" t="s">
        <v>209</v>
      </c>
      <c r="AC11" s="108" t="s">
        <v>210</v>
      </c>
    </row>
    <row r="12" spans="1:242" ht="24.75" x14ac:dyDescent="0.25">
      <c r="A12" s="31" t="s">
        <v>0</v>
      </c>
      <c r="B12" s="31" t="s">
        <v>121</v>
      </c>
      <c r="C12" s="95" t="s">
        <v>1</v>
      </c>
      <c r="D12" s="95" t="s">
        <v>2</v>
      </c>
      <c r="E12" s="89" t="s">
        <v>3</v>
      </c>
      <c r="F12" s="95" t="s">
        <v>4</v>
      </c>
      <c r="G12" s="95" t="s">
        <v>5</v>
      </c>
      <c r="H12" s="95" t="s">
        <v>6</v>
      </c>
      <c r="I12" s="95" t="s">
        <v>7</v>
      </c>
      <c r="J12" s="89" t="s">
        <v>8</v>
      </c>
      <c r="K12" s="95" t="s">
        <v>9</v>
      </c>
      <c r="L12" s="95" t="s">
        <v>10</v>
      </c>
      <c r="M12" s="95" t="s">
        <v>11</v>
      </c>
      <c r="N12" s="103" t="s">
        <v>201</v>
      </c>
      <c r="O12" s="121" t="s">
        <v>202</v>
      </c>
      <c r="P12" s="33"/>
      <c r="Q12" s="95" t="s">
        <v>1</v>
      </c>
      <c r="R12" s="95" t="s">
        <v>14</v>
      </c>
      <c r="S12" s="95" t="s">
        <v>15</v>
      </c>
      <c r="T12" s="95" t="s">
        <v>4</v>
      </c>
      <c r="U12" s="95" t="s">
        <v>5</v>
      </c>
      <c r="V12" s="95" t="s">
        <v>6</v>
      </c>
      <c r="W12" s="95" t="s">
        <v>7</v>
      </c>
      <c r="X12" s="95" t="s">
        <v>8</v>
      </c>
      <c r="Y12" s="95" t="s">
        <v>9</v>
      </c>
      <c r="Z12" s="95" t="s">
        <v>16</v>
      </c>
      <c r="AA12" s="95" t="s">
        <v>17</v>
      </c>
      <c r="AB12" s="33"/>
      <c r="AC12" s="95" t="s">
        <v>18</v>
      </c>
      <c r="AD12" s="95" t="s">
        <v>4</v>
      </c>
      <c r="AE12" s="33"/>
      <c r="AF12" s="81" t="s">
        <v>19</v>
      </c>
      <c r="AG12" s="34" t="s">
        <v>20</v>
      </c>
      <c r="AH12" s="129" t="s">
        <v>105</v>
      </c>
      <c r="AI12" s="129" t="s">
        <v>104</v>
      </c>
      <c r="AJ12" s="93" t="s">
        <v>13</v>
      </c>
      <c r="AK12" s="35"/>
      <c r="AL12" s="49" t="s">
        <v>103</v>
      </c>
      <c r="AM12" s="36"/>
      <c r="AN12" s="32" t="s">
        <v>22</v>
      </c>
      <c r="AO12" s="32" t="s">
        <v>23</v>
      </c>
      <c r="AP12" s="32" t="s">
        <v>24</v>
      </c>
      <c r="AQ12" s="32" t="s">
        <v>12</v>
      </c>
      <c r="AR12" s="32" t="s">
        <v>25</v>
      </c>
      <c r="AS12" s="32" t="s">
        <v>26</v>
      </c>
      <c r="AT12" s="32" t="s">
        <v>27</v>
      </c>
      <c r="AU12" s="32" t="s">
        <v>28</v>
      </c>
      <c r="AV12" s="32" t="s">
        <v>29</v>
      </c>
      <c r="AW12" s="32" t="s">
        <v>30</v>
      </c>
      <c r="AX12" s="32" t="s">
        <v>31</v>
      </c>
      <c r="AY12" s="32" t="s">
        <v>32</v>
      </c>
      <c r="AZ12" s="33"/>
      <c r="BA12" s="32" t="s">
        <v>33</v>
      </c>
      <c r="BB12" s="32" t="s">
        <v>2</v>
      </c>
      <c r="BC12" s="32" t="s">
        <v>3</v>
      </c>
      <c r="BD12" s="32" t="s">
        <v>34</v>
      </c>
      <c r="BE12" s="32" t="s">
        <v>5</v>
      </c>
      <c r="BF12" s="32" t="s">
        <v>6</v>
      </c>
      <c r="BG12" s="32" t="s">
        <v>7</v>
      </c>
      <c r="BH12" s="32" t="s">
        <v>8</v>
      </c>
      <c r="BI12" s="32" t="s">
        <v>35</v>
      </c>
      <c r="BJ12" s="32" t="s">
        <v>36</v>
      </c>
      <c r="BK12" s="32" t="s">
        <v>11</v>
      </c>
      <c r="BL12" s="33"/>
      <c r="BM12" s="32" t="s">
        <v>38</v>
      </c>
      <c r="BN12" s="32" t="s">
        <v>39</v>
      </c>
      <c r="BO12" s="32" t="s">
        <v>40</v>
      </c>
      <c r="BP12" s="32" t="s">
        <v>41</v>
      </c>
      <c r="BQ12" s="32" t="s">
        <v>5</v>
      </c>
      <c r="BR12" s="32" t="s">
        <v>6</v>
      </c>
      <c r="BS12" s="32" t="s">
        <v>7</v>
      </c>
      <c r="BT12" s="32" t="s">
        <v>8</v>
      </c>
      <c r="BU12" s="32" t="s">
        <v>42</v>
      </c>
      <c r="BV12" s="32" t="s">
        <v>36</v>
      </c>
      <c r="BW12" s="32" t="s">
        <v>11</v>
      </c>
      <c r="BX12" s="32"/>
      <c r="BY12" s="32" t="s">
        <v>33</v>
      </c>
      <c r="BZ12" s="32" t="s">
        <v>39</v>
      </c>
      <c r="CA12" s="32" t="s">
        <v>40</v>
      </c>
      <c r="CB12" s="32" t="s">
        <v>43</v>
      </c>
      <c r="CC12" s="32" t="s">
        <v>5</v>
      </c>
      <c r="CD12" s="32" t="s">
        <v>6</v>
      </c>
      <c r="CE12" s="32" t="s">
        <v>7</v>
      </c>
      <c r="CF12" s="32" t="s">
        <v>8</v>
      </c>
      <c r="CG12" s="32" t="s">
        <v>9</v>
      </c>
      <c r="CH12" s="32" t="s">
        <v>36</v>
      </c>
      <c r="CI12" s="32" t="s">
        <v>21</v>
      </c>
      <c r="CJ12" s="32"/>
      <c r="CK12" s="70" t="s">
        <v>38</v>
      </c>
      <c r="CL12" s="70" t="s">
        <v>39</v>
      </c>
      <c r="CM12" s="70" t="s">
        <v>44</v>
      </c>
      <c r="CN12" s="70" t="s">
        <v>43</v>
      </c>
      <c r="CO12" s="70" t="s">
        <v>5</v>
      </c>
      <c r="CP12" s="70" t="s">
        <v>6</v>
      </c>
      <c r="CQ12" s="70" t="s">
        <v>7</v>
      </c>
      <c r="CR12" s="70" t="s">
        <v>8</v>
      </c>
      <c r="CS12" s="70" t="s">
        <v>42</v>
      </c>
      <c r="CT12" s="70" t="s">
        <v>10</v>
      </c>
      <c r="CU12" s="70" t="s">
        <v>21</v>
      </c>
      <c r="CV12" s="70" t="s">
        <v>193</v>
      </c>
      <c r="CW12" s="37" t="s">
        <v>192</v>
      </c>
      <c r="CX12" s="33"/>
      <c r="CY12" s="78" t="s" ph="1">
        <v>45</v>
      </c>
      <c r="CZ12" s="78" t="s" ph="1">
        <v>46</v>
      </c>
      <c r="DA12" s="78" t="s" ph="1">
        <v>47</v>
      </c>
      <c r="DB12" s="78" t="s" ph="1">
        <v>48</v>
      </c>
      <c r="DC12" s="78" t="s" ph="1">
        <v>49</v>
      </c>
      <c r="DD12" s="78" t="s" ph="1">
        <v>50</v>
      </c>
      <c r="DE12" s="78" t="s" ph="1">
        <v>51</v>
      </c>
      <c r="DF12" s="78" t="s" ph="1">
        <v>52</v>
      </c>
      <c r="DG12" s="78" t="s" ph="1">
        <v>53</v>
      </c>
      <c r="DH12" s="78" t="s" ph="1">
        <v>54</v>
      </c>
      <c r="DI12" s="78" t="s" ph="1">
        <v>55</v>
      </c>
      <c r="DJ12" s="37" t="s">
        <v>56</v>
      </c>
      <c r="DK12" s="33"/>
      <c r="DL12" s="32" t="s">
        <v>57</v>
      </c>
      <c r="DM12" s="32" t="s">
        <v>58</v>
      </c>
      <c r="DN12" s="32" t="s">
        <v>59</v>
      </c>
      <c r="DO12" s="32" t="s">
        <v>60</v>
      </c>
      <c r="DP12" s="32" t="s">
        <v>5</v>
      </c>
      <c r="DQ12" s="32" t="s">
        <v>6</v>
      </c>
      <c r="DR12" s="32" t="s">
        <v>7</v>
      </c>
      <c r="DS12" s="32" t="s">
        <v>8</v>
      </c>
      <c r="DT12" s="32" t="s">
        <v>61</v>
      </c>
      <c r="DU12" s="32" t="s">
        <v>62</v>
      </c>
      <c r="DV12" s="32" t="s">
        <v>11</v>
      </c>
      <c r="DW12" s="33"/>
      <c r="DX12" s="70" t="s">
        <v>57</v>
      </c>
      <c r="DY12" s="70" t="s">
        <v>64</v>
      </c>
      <c r="DZ12" s="70" t="s">
        <v>59</v>
      </c>
      <c r="EA12" s="70" t="s">
        <v>43</v>
      </c>
      <c r="EB12" s="70" t="s">
        <v>5</v>
      </c>
      <c r="EC12" s="70" t="s">
        <v>6</v>
      </c>
      <c r="ED12" s="70" t="s">
        <v>7</v>
      </c>
      <c r="EE12" s="70" t="s">
        <v>8</v>
      </c>
      <c r="EF12" s="70" t="s">
        <v>42</v>
      </c>
      <c r="EG12" s="70" t="s">
        <v>62</v>
      </c>
      <c r="EH12" s="70" t="s">
        <v>63</v>
      </c>
      <c r="EI12" s="77" t="s">
        <v>193</v>
      </c>
      <c r="EJ12" s="70" t="s">
        <v>81</v>
      </c>
      <c r="EK12" s="33"/>
      <c r="EL12" s="78" t="s" ph="1">
        <v>87</v>
      </c>
      <c r="EM12" s="78" t="s" ph="1">
        <v>88</v>
      </c>
      <c r="EN12" s="78" t="s" ph="1">
        <v>65</v>
      </c>
      <c r="EO12" s="78" t="s" ph="1">
        <v>66</v>
      </c>
      <c r="EP12" s="78" t="s" ph="1">
        <v>67</v>
      </c>
      <c r="EQ12" s="78" t="s" ph="1">
        <v>68</v>
      </c>
      <c r="ER12" s="78" t="s" ph="1">
        <v>69</v>
      </c>
      <c r="ES12" s="78" t="s" ph="1">
        <v>70</v>
      </c>
      <c r="ET12" s="78" t="s" ph="1">
        <v>71</v>
      </c>
      <c r="EU12" s="78" t="s" ph="1">
        <v>72</v>
      </c>
      <c r="EV12" s="78" t="s" ph="1">
        <v>73</v>
      </c>
      <c r="EW12" s="33"/>
      <c r="EX12" s="39" t="s">
        <v>74</v>
      </c>
      <c r="EY12" s="45" t="s">
        <v>108</v>
      </c>
      <c r="EZ12" s="46" t="s">
        <v>109</v>
      </c>
      <c r="FA12" s="32" t="s">
        <v>106</v>
      </c>
      <c r="FB12" s="33"/>
      <c r="FC12" s="33" t="s">
        <v>107</v>
      </c>
      <c r="FD12" s="3" ph="1"/>
      <c r="FI12" s="3" ph="1"/>
      <c r="FJ12" s="3" ph="1"/>
      <c r="FK12" s="3" ph="1"/>
      <c r="FL12" s="3" ph="1"/>
      <c r="FM12" s="3" ph="1"/>
      <c r="FN12" s="3" ph="1"/>
      <c r="FO12" s="3" ph="1"/>
      <c r="FP12" s="3" ph="1"/>
      <c r="FQ12" s="3" ph="1"/>
      <c r="FR12" s="3" ph="1"/>
      <c r="FS12" s="3" ph="1"/>
      <c r="FT12" s="3" ph="1"/>
      <c r="GC12" s="3" ph="1"/>
      <c r="GH12" s="3" ph="1"/>
      <c r="GI12" s="3" ph="1"/>
      <c r="GJ12" s="3" ph="1"/>
      <c r="GK12" s="3" ph="1"/>
      <c r="GL12" s="3" ph="1"/>
      <c r="GM12" s="3" ph="1"/>
      <c r="GN12" s="3" ph="1"/>
      <c r="GO12" s="3" ph="1"/>
      <c r="GP12" s="3" ph="1"/>
      <c r="GU12" s="3" ph="1"/>
      <c r="GV12" s="3" ph="1"/>
      <c r="GW12" s="3" ph="1"/>
      <c r="GX12" s="3" ph="1"/>
      <c r="GY12" s="3" ph="1"/>
      <c r="GZ12" s="3" ph="1"/>
      <c r="HA12" s="3" ph="1"/>
      <c r="HB12" s="3" ph="1"/>
      <c r="HC12" s="3" ph="1"/>
      <c r="HD12" s="3" ph="1"/>
      <c r="HH12" s="3" ph="1"/>
      <c r="HI12" s="3" ph="1"/>
      <c r="HJ12" s="3" ph="1"/>
      <c r="HK12" s="3" ph="1"/>
      <c r="HL12" s="3" ph="1"/>
      <c r="HM12" s="3" ph="1"/>
      <c r="HN12" s="3" ph="1"/>
      <c r="HO12" s="3" ph="1"/>
      <c r="HP12" s="3" ph="1"/>
      <c r="HQ12" s="3" ph="1"/>
      <c r="HR12" s="3" ph="1"/>
      <c r="HS12" s="3" ph="1"/>
      <c r="HT12" s="3" ph="1"/>
      <c r="HU12" s="3" ph="1"/>
      <c r="HV12" s="3" ph="1"/>
      <c r="HW12" s="3" ph="1"/>
      <c r="HX12" s="3" ph="1"/>
      <c r="HY12" s="3" ph="1"/>
      <c r="HZ12" s="3" ph="1"/>
      <c r="IA12" s="3" ph="1"/>
      <c r="IB12" s="3" ph="1"/>
      <c r="IC12" s="3" ph="1"/>
      <c r="ID12" s="3" ph="1"/>
      <c r="IE12" s="3" ph="1"/>
      <c r="IF12" s="3" ph="1"/>
      <c r="IG12" s="3" ph="1"/>
      <c r="IH12" s="3" ph="1"/>
    </row>
    <row r="13" spans="1:242" s="1" customFormat="1" ht="13.5" x14ac:dyDescent="0.2">
      <c r="A13" s="5"/>
      <c r="B13" s="5"/>
      <c r="C13" s="96" t="s">
        <v>75</v>
      </c>
      <c r="D13" s="97"/>
      <c r="E13" s="94" t="s">
        <v>206</v>
      </c>
      <c r="F13" s="97"/>
      <c r="G13" s="97"/>
      <c r="H13" s="97"/>
      <c r="I13" s="97"/>
      <c r="J13" s="94" t="s">
        <v>206</v>
      </c>
      <c r="K13" s="97"/>
      <c r="L13" s="97"/>
      <c r="M13" s="97"/>
      <c r="N13" s="104" t="s">
        <v>207</v>
      </c>
      <c r="O13" s="122" t="s">
        <v>196</v>
      </c>
      <c r="Q13" s="96" t="s">
        <v>77</v>
      </c>
      <c r="R13" s="97"/>
      <c r="S13" s="97"/>
      <c r="T13" s="97"/>
      <c r="U13" s="97"/>
      <c r="V13" s="97"/>
      <c r="W13" s="97"/>
      <c r="X13" s="97"/>
      <c r="Y13" s="97"/>
      <c r="Z13" s="97"/>
      <c r="AA13" s="97"/>
      <c r="AC13" s="96" t="s">
        <v>78</v>
      </c>
      <c r="AD13" s="97"/>
      <c r="AF13" s="82"/>
      <c r="AG13" s="21"/>
      <c r="AH13" s="130"/>
      <c r="AI13" s="131" t="s">
        <v>125</v>
      </c>
      <c r="AJ13" s="125" t="s">
        <v>76</v>
      </c>
      <c r="AL13" s="50" t="s">
        <v>120</v>
      </c>
      <c r="AM13" s="6"/>
      <c r="AN13" s="8" t="s">
        <v>191</v>
      </c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BA13" s="8" t="s">
        <v>190</v>
      </c>
      <c r="BB13" s="8"/>
      <c r="BC13" s="8"/>
      <c r="BD13" s="8"/>
      <c r="BE13" s="8"/>
      <c r="BF13" s="8"/>
      <c r="BG13" s="8"/>
      <c r="BH13" s="8"/>
      <c r="BI13" s="8"/>
      <c r="BJ13" s="8"/>
      <c r="BK13" s="8"/>
      <c r="BM13" s="8" t="s">
        <v>79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 t="s">
        <v>188</v>
      </c>
      <c r="BZ13" s="8"/>
      <c r="CA13" s="8"/>
      <c r="CB13" s="8"/>
      <c r="CC13" s="8"/>
      <c r="CD13" s="8"/>
      <c r="CE13" s="8"/>
      <c r="CF13" s="8"/>
      <c r="CG13" s="8"/>
      <c r="CH13" s="8"/>
      <c r="CI13" s="8"/>
      <c r="CK13" s="71" t="s">
        <v>189</v>
      </c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20"/>
      <c r="CY13" s="21" t="s">
        <v>195</v>
      </c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0"/>
      <c r="DL13" s="8" t="s">
        <v>84</v>
      </c>
      <c r="DM13" s="8"/>
      <c r="DN13" s="8"/>
      <c r="DO13" s="8"/>
      <c r="DP13" s="8"/>
      <c r="DQ13" s="8"/>
      <c r="DR13" s="8"/>
      <c r="DS13" s="8"/>
      <c r="DT13" s="8"/>
      <c r="DU13" s="8"/>
      <c r="DV13" s="8"/>
      <c r="DX13" s="71" t="s">
        <v>85</v>
      </c>
      <c r="DY13" s="71"/>
      <c r="DZ13" s="71"/>
      <c r="EA13" s="71"/>
      <c r="EB13" s="71"/>
      <c r="EC13" s="71"/>
      <c r="ED13" s="71"/>
      <c r="EE13" s="71"/>
      <c r="EF13" s="71"/>
      <c r="EG13" s="71"/>
      <c r="EH13" s="71"/>
      <c r="EI13" s="71"/>
      <c r="EJ13" s="71"/>
      <c r="EL13" s="21" t="s">
        <v>195</v>
      </c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X13" s="19"/>
      <c r="EY13" s="17"/>
      <c r="EZ13" s="18"/>
      <c r="FA13" s="8"/>
      <c r="FB13" s="9"/>
      <c r="FC13" s="7"/>
    </row>
    <row r="14" spans="1:242" x14ac:dyDescent="0.2">
      <c r="A14" s="24" t="s">
        <v>90</v>
      </c>
      <c r="B14" s="24" t="s">
        <v>122</v>
      </c>
      <c r="C14" s="98">
        <v>40.429500000000004</v>
      </c>
      <c r="D14" s="98">
        <v>0</v>
      </c>
      <c r="E14" s="90">
        <f>N14/(26.9815*10000)*101.9601/2</f>
        <v>1.4832140262772639E-2</v>
      </c>
      <c r="F14" s="98">
        <v>5.7438688286236854E-3</v>
      </c>
      <c r="G14" s="98">
        <v>10.7225</v>
      </c>
      <c r="H14" s="98">
        <v>0.14549999999999999</v>
      </c>
      <c r="I14" s="98">
        <v>47.600499999999997</v>
      </c>
      <c r="J14" s="92">
        <f>O14/40.078*56.077/10000</f>
        <v>0.16421149683283953</v>
      </c>
      <c r="K14" s="98">
        <v>0</v>
      </c>
      <c r="L14" s="98">
        <v>0</v>
      </c>
      <c r="M14" s="98">
        <v>0.38950000000000001</v>
      </c>
      <c r="N14" s="105">
        <v>78.5</v>
      </c>
      <c r="O14" s="123">
        <v>1173.6127770862463</v>
      </c>
      <c r="P14" s="11"/>
      <c r="Q14" s="100">
        <v>53.548999999999999</v>
      </c>
      <c r="R14" s="100">
        <v>0.64300000000000002</v>
      </c>
      <c r="S14" s="100">
        <v>7.4009999999999998</v>
      </c>
      <c r="T14" s="100">
        <v>0.66400000000000003</v>
      </c>
      <c r="U14" s="100">
        <v>2.7509999999999999</v>
      </c>
      <c r="V14" s="100">
        <v>9.1999999999999998E-2</v>
      </c>
      <c r="W14" s="100">
        <v>13.853</v>
      </c>
      <c r="X14" s="100">
        <v>19.248999999999999</v>
      </c>
      <c r="Y14" s="100">
        <v>2.0009999999999999</v>
      </c>
      <c r="Z14" s="100">
        <v>0</v>
      </c>
      <c r="AA14" s="100">
        <v>3.2000000000000001E-2</v>
      </c>
      <c r="AC14" s="99">
        <v>60.227374999999995</v>
      </c>
      <c r="AD14" s="99">
        <v>7.9163750000000004</v>
      </c>
      <c r="AF14" s="83">
        <f>AD14/151.9892/(AD14/151.9892+AC14/101.9601)</f>
        <v>8.1030933161227975E-2</v>
      </c>
      <c r="AG14" s="22">
        <f t="shared" ref="AG14:AG25" si="0">E14/AC14</f>
        <v>2.4626908050986182E-4</v>
      </c>
      <c r="AH14" s="126">
        <f>10000/(0.575+0.884*AF14-0.897*LN(AG14))-273</f>
        <v>961.58599257214269</v>
      </c>
      <c r="AI14" s="126">
        <f t="shared" ref="AI14:AI25" si="1">9525/(3.64-2.328*DJ14-0.0334*AL14*10-LN(DF14))-273</f>
        <v>961.58601601370447</v>
      </c>
      <c r="AJ14" s="126">
        <f t="shared" ref="AJ14:AJ25" si="2">AH14-AI14</f>
        <v>-2.3441561779691256E-5</v>
      </c>
      <c r="AK14" s="12"/>
      <c r="AL14" s="25">
        <f>FA14</f>
        <v>-2.1154668088344719</v>
      </c>
      <c r="AN14" s="4">
        <v>15.999000000000001</v>
      </c>
      <c r="AO14" s="4">
        <v>28.085000000000001</v>
      </c>
      <c r="AP14" s="4">
        <v>47.866999999999997</v>
      </c>
      <c r="AQ14" s="4">
        <v>26.9815386</v>
      </c>
      <c r="AR14" s="4">
        <v>51.996099999999998</v>
      </c>
      <c r="AS14" s="4">
        <v>55.844999999999999</v>
      </c>
      <c r="AT14" s="4">
        <v>54.938045000000002</v>
      </c>
      <c r="AU14" s="4">
        <v>24.305</v>
      </c>
      <c r="AV14" s="4">
        <v>40.078000000000003</v>
      </c>
      <c r="AW14" s="4">
        <v>22.989769280000001</v>
      </c>
      <c r="AX14" s="4">
        <v>39.098300000000002</v>
      </c>
      <c r="AY14" s="4">
        <v>58.693399999999997</v>
      </c>
      <c r="BA14" s="4">
        <f>AN14*2+AO14</f>
        <v>60.082999999999998</v>
      </c>
      <c r="BB14" s="4">
        <f>AN14*2+AP14</f>
        <v>79.864999999999995</v>
      </c>
      <c r="BC14" s="4">
        <f>AQ14*2+AN14*3</f>
        <v>101.9600772</v>
      </c>
      <c r="BD14" s="4">
        <f>AR14*2+AN14*3</f>
        <v>151.98919999999998</v>
      </c>
      <c r="BE14" s="4">
        <f>AS14+AN14</f>
        <v>71.843999999999994</v>
      </c>
      <c r="BF14" s="4">
        <f>AT14+AN14</f>
        <v>70.937044999999998</v>
      </c>
      <c r="BG14" s="4">
        <f>AU14+AN14</f>
        <v>40.304000000000002</v>
      </c>
      <c r="BH14" s="4">
        <f>AV14+AN14</f>
        <v>56.077000000000005</v>
      </c>
      <c r="BI14" s="4">
        <f>AW14*2+AN14</f>
        <v>61.978538560000004</v>
      </c>
      <c r="BJ14" s="4">
        <f>AX14*2+AN14</f>
        <v>94.195599999999999</v>
      </c>
      <c r="BK14" s="4">
        <f>AY14+AN14</f>
        <v>74.692399999999992</v>
      </c>
      <c r="BM14" s="4">
        <f t="shared" ref="BM14:BM25" si="3">C14/BA14</f>
        <v>0.67289416307441385</v>
      </c>
      <c r="BN14" s="4">
        <f t="shared" ref="BN14:BN25" si="4">D14/BB14</f>
        <v>0</v>
      </c>
      <c r="BO14" s="4">
        <f t="shared" ref="BO14:BO25" si="5">E14/BC14</f>
        <v>1.4547007681917133E-4</v>
      </c>
      <c r="BP14" s="4">
        <f t="shared" ref="BP14:BP25" si="6">F14/BD14</f>
        <v>3.7791295885652965E-5</v>
      </c>
      <c r="BQ14" s="4">
        <f t="shared" ref="BQ14:BQ25" si="7">G14/BE14</f>
        <v>0.14924697956683927</v>
      </c>
      <c r="BR14" s="4">
        <f t="shared" ref="BR14:BR25" si="8">H14/BF14</f>
        <v>2.051114477632949E-3</v>
      </c>
      <c r="BS14" s="4">
        <f t="shared" ref="BS14:BS25" si="9">I14/BG14</f>
        <v>1.1810366216752679</v>
      </c>
      <c r="BT14" s="4">
        <f t="shared" ref="BT14:BT25" si="10">J14/BH14</f>
        <v>2.9283217153706423E-3</v>
      </c>
      <c r="BU14" s="4">
        <f t="shared" ref="BU14:BU25" si="11">K14/BI14</f>
        <v>0</v>
      </c>
      <c r="BV14" s="4">
        <f t="shared" ref="BV14:BV25" si="12">L14/BJ14</f>
        <v>0</v>
      </c>
      <c r="BW14" s="4">
        <f t="shared" ref="BW14:BW25" si="13">M14/BK14</f>
        <v>5.2147206409219691E-3</v>
      </c>
      <c r="BY14" s="4">
        <f>BM14</f>
        <v>0.67289416307441385</v>
      </c>
      <c r="BZ14" s="4">
        <f t="shared" ref="BY14:BZ25" si="14">BN14</f>
        <v>0</v>
      </c>
      <c r="CA14" s="4">
        <f>BO14*2</f>
        <v>2.9094015363834267E-4</v>
      </c>
      <c r="CB14" s="4">
        <f t="shared" ref="CA14:CB25" si="15">BP14*2</f>
        <v>7.5582591771305931E-5</v>
      </c>
      <c r="CC14" s="4">
        <f t="shared" ref="CC14:CF25" si="16">BQ14</f>
        <v>0.14924697956683927</v>
      </c>
      <c r="CD14" s="4">
        <f t="shared" si="16"/>
        <v>2.051114477632949E-3</v>
      </c>
      <c r="CE14" s="4">
        <f t="shared" si="16"/>
        <v>1.1810366216752679</v>
      </c>
      <c r="CF14" s="4">
        <f t="shared" si="16"/>
        <v>2.9283217153706423E-3</v>
      </c>
      <c r="CG14" s="4">
        <f t="shared" ref="CG14:CH25" si="17">BU14*2</f>
        <v>0</v>
      </c>
      <c r="CH14" s="4">
        <f t="shared" si="17"/>
        <v>0</v>
      </c>
      <c r="CI14" s="4">
        <f>BW14</f>
        <v>5.2147206409219691E-3</v>
      </c>
      <c r="CK14" s="69">
        <f>BM14*2</f>
        <v>1.3457883261488277</v>
      </c>
      <c r="CL14" s="69">
        <f t="shared" ref="CK14:CL25" si="18">BN14*2</f>
        <v>0</v>
      </c>
      <c r="CM14" s="69">
        <f>BO14*3</f>
        <v>4.36410230457514E-4</v>
      </c>
      <c r="CN14" s="69">
        <f t="shared" ref="CM14:CN25" si="19">BP14*3</f>
        <v>1.133738876569589E-4</v>
      </c>
      <c r="CO14" s="69">
        <f t="shared" ref="CO14:CU25" si="20">BQ14</f>
        <v>0.14924697956683927</v>
      </c>
      <c r="CP14" s="69">
        <f t="shared" si="20"/>
        <v>2.051114477632949E-3</v>
      </c>
      <c r="CQ14" s="69">
        <f t="shared" si="20"/>
        <v>1.1810366216752679</v>
      </c>
      <c r="CR14" s="69">
        <f t="shared" si="20"/>
        <v>2.9283217153706423E-3</v>
      </c>
      <c r="CS14" s="69">
        <f t="shared" si="20"/>
        <v>0</v>
      </c>
      <c r="CT14" s="69">
        <f t="shared" si="20"/>
        <v>0</v>
      </c>
      <c r="CU14" s="69">
        <f t="shared" si="20"/>
        <v>5.2147206409219691E-3</v>
      </c>
      <c r="CV14" s="69">
        <f t="shared" ref="CV14:CV25" si="21">SUM(CK14:CU14)</f>
        <v>2.686815868342975</v>
      </c>
      <c r="CW14" s="16">
        <f t="shared" ref="CW14:CW25" si="22">4/CV14</f>
        <v>1.4887510704136557</v>
      </c>
      <c r="CY14" s="23">
        <f t="shared" ref="CY14:DI25" si="23">BY14*$CW14</f>
        <v>1.0017719055521346</v>
      </c>
      <c r="CZ14" s="23">
        <f t="shared" si="23"/>
        <v>0</v>
      </c>
      <c r="DA14" s="23">
        <f t="shared" si="23"/>
        <v>4.3313746515539608E-4</v>
      </c>
      <c r="DB14" s="23">
        <f t="shared" si="23"/>
        <v>1.1252366440417007E-4</v>
      </c>
      <c r="DC14" s="23">
        <f t="shared" si="23"/>
        <v>0.22219160058613696</v>
      </c>
      <c r="DD14" s="23">
        <f t="shared" si="23"/>
        <v>3.0535988741169991E-3</v>
      </c>
      <c r="DE14" s="23">
        <f t="shared" si="23"/>
        <v>1.7582695347167829</v>
      </c>
      <c r="DF14" s="23">
        <f t="shared" si="23"/>
        <v>4.359542088273596E-3</v>
      </c>
      <c r="DG14" s="23">
        <f t="shared" si="23"/>
        <v>0</v>
      </c>
      <c r="DH14" s="23">
        <f t="shared" si="23"/>
        <v>0</v>
      </c>
      <c r="DI14" s="23">
        <f t="shared" si="23"/>
        <v>7.7634209360807668E-3</v>
      </c>
      <c r="DJ14" s="16">
        <f t="shared" ref="DJ14:DJ25" si="24">DE14/(DE14+DC14)</f>
        <v>0.8878081490086136</v>
      </c>
      <c r="DL14" s="4">
        <f t="shared" ref="DL14:DL25" si="25">Q14/BA14</f>
        <v>0.89125043689562777</v>
      </c>
      <c r="DM14" s="4">
        <f t="shared" ref="DM14:DM25" si="26">R14/BB14</f>
        <v>8.0510862079759601E-3</v>
      </c>
      <c r="DN14" s="4">
        <f t="shared" ref="DN14:DN25" si="27">S14/BC14</f>
        <v>7.2587234172867027E-2</v>
      </c>
      <c r="DO14" s="4">
        <f t="shared" ref="DO14:DO25" si="28">T14/BD14</f>
        <v>4.3687314624986521E-3</v>
      </c>
      <c r="DP14" s="4">
        <f t="shared" ref="DP14:DP25" si="29">U14/BE14</f>
        <v>3.8291297811925841E-2</v>
      </c>
      <c r="DQ14" s="4">
        <f t="shared" ref="DQ14:DQ25" si="30">V14/BF14</f>
        <v>1.2969246181596655E-3</v>
      </c>
      <c r="DR14" s="4">
        <f t="shared" ref="DR14:DR25" si="31">W14/BG14</f>
        <v>0.34371278285033741</v>
      </c>
      <c r="DS14" s="4">
        <f t="shared" ref="DS14:DS25" si="32">X14/BH14</f>
        <v>0.34326016013695448</v>
      </c>
      <c r="DT14" s="4">
        <f t="shared" ref="DT14:DT25" si="33">Y14/BI14</f>
        <v>3.2285369201838755E-2</v>
      </c>
      <c r="DU14" s="4">
        <f t="shared" ref="DU14:DU25" si="34">Z14/BJ14</f>
        <v>0</v>
      </c>
      <c r="DV14" s="4">
        <f t="shared" ref="DV14:DV25" si="35">AA14/BK14</f>
        <v>4.2842377537741461E-4</v>
      </c>
      <c r="DX14" s="69">
        <f>DL14*2</f>
        <v>1.7825008737912555</v>
      </c>
      <c r="DY14" s="69">
        <f>DM14*2</f>
        <v>1.610217241595192E-2</v>
      </c>
      <c r="DZ14" s="69">
        <f>DN14*3</f>
        <v>0.21776170251860108</v>
      </c>
      <c r="EA14" s="69">
        <f t="shared" ref="DZ14:EA25" si="36">DO14*3</f>
        <v>1.3106194387495957E-2</v>
      </c>
      <c r="EB14" s="69">
        <f t="shared" ref="EB14:EH25" si="37">DP14</f>
        <v>3.8291297811925841E-2</v>
      </c>
      <c r="EC14" s="69">
        <f t="shared" si="37"/>
        <v>1.2969246181596655E-3</v>
      </c>
      <c r="ED14" s="69">
        <f t="shared" si="37"/>
        <v>0.34371278285033741</v>
      </c>
      <c r="EE14" s="69">
        <f t="shared" si="37"/>
        <v>0.34326016013695448</v>
      </c>
      <c r="EF14" s="69">
        <f t="shared" si="37"/>
        <v>3.2285369201838755E-2</v>
      </c>
      <c r="EG14" s="69">
        <f t="shared" si="37"/>
        <v>0</v>
      </c>
      <c r="EH14" s="69">
        <f t="shared" si="37"/>
        <v>4.2842377537741461E-4</v>
      </c>
      <c r="EI14" s="69">
        <f t="shared" ref="EI14:EI25" si="38">SUM(DX14:EH14)</f>
        <v>2.7887459015078986</v>
      </c>
      <c r="EJ14" s="69">
        <f t="shared" ref="EJ14:EJ25" si="39">6/EI14</f>
        <v>2.1515047307665247</v>
      </c>
      <c r="EL14" s="23">
        <f t="shared" ref="EL14:EM25" si="40">DL14*$EJ14</f>
        <v>1.9175295312786751</v>
      </c>
      <c r="EM14" s="23">
        <f t="shared" si="40"/>
        <v>1.7321950064269398E-2</v>
      </c>
      <c r="EN14" s="23">
        <f t="shared" ref="EN14:EO25" si="41">2*DN14*$EJ14</f>
        <v>0.31234355543236192</v>
      </c>
      <c r="EO14" s="23">
        <f t="shared" si="41"/>
        <v>1.8798692818028817E-2</v>
      </c>
      <c r="EP14" s="23">
        <f t="shared" ref="EP14:ES25" si="42">DP14*$EJ14</f>
        <v>8.238390838954833E-2</v>
      </c>
      <c r="EQ14" s="23">
        <f t="shared" si="42"/>
        <v>2.7903394514180889E-3</v>
      </c>
      <c r="ER14" s="23">
        <f t="shared" si="42"/>
        <v>0.73949967832742813</v>
      </c>
      <c r="ES14" s="23">
        <f t="shared" si="42"/>
        <v>0.7385258584183324</v>
      </c>
      <c r="ET14" s="23">
        <f t="shared" ref="ET14:EU25" si="43">2*DT14*$EJ14</f>
        <v>0.13892424914459989</v>
      </c>
      <c r="EU14" s="23">
        <f t="shared" si="43"/>
        <v>0</v>
      </c>
      <c r="EV14" s="23">
        <f t="shared" ref="EV14:EV25" si="44">DV14*$EJ14</f>
        <v>9.217557794973625E-4</v>
      </c>
      <c r="EX14" s="14">
        <f t="shared" ref="EX14:EX25" si="45">LN(DF14/ES14)</f>
        <v>-5.1322890899228595</v>
      </c>
      <c r="EY14" s="4">
        <f t="shared" ref="EY14:EY25" si="46">(-(AH14+273)*EX14-11982+3.61*(AH14+273))/56.2/10</f>
        <v>-2.1154668088344719</v>
      </c>
      <c r="EZ14" s="4">
        <f t="shared" ref="EZ14:EZ25" si="47">(-(AH14+273)*EX14-5792-1.25*(AH14+273))/42.5/10</f>
        <v>-2.3505418128602029</v>
      </c>
      <c r="FA14" s="4">
        <f t="shared" ref="FA14:FA25" si="48">IF(AH14&gt;(1275.25-273+2.827*EY14*10), EY14, EZ14)</f>
        <v>-2.1154668088344719</v>
      </c>
      <c r="FC14" s="4">
        <f t="shared" ref="FC14:FC25" si="49">(3.64-2.328*DJ14-9525/(AH14+273)-LN(DF14))/0.0334/10</f>
        <v>-2.1154672474281444</v>
      </c>
    </row>
    <row r="15" spans="1:242" x14ac:dyDescent="0.2">
      <c r="A15" s="24" t="s">
        <v>92</v>
      </c>
      <c r="B15" s="24" t="s">
        <v>122</v>
      </c>
      <c r="C15" s="98">
        <v>41.015500000000003</v>
      </c>
      <c r="D15" s="98">
        <v>0</v>
      </c>
      <c r="E15" s="90">
        <f t="shared" ref="E15:E25" si="50">N15/(26.9815*10000)*101.9601/2</f>
        <v>4.8180837796267806E-3</v>
      </c>
      <c r="F15" s="98">
        <v>1.7538530774423467E-3</v>
      </c>
      <c r="G15" s="98">
        <v>10.093</v>
      </c>
      <c r="H15" s="98">
        <v>0.1545</v>
      </c>
      <c r="I15" s="98">
        <v>48.32</v>
      </c>
      <c r="J15" s="92">
        <f t="shared" ref="J15:J25" si="51">O15/40.078*56.077/10000</f>
        <v>3.0274752113356629E-3</v>
      </c>
      <c r="K15" s="98">
        <v>0</v>
      </c>
      <c r="L15" s="98">
        <v>0</v>
      </c>
      <c r="M15" s="98">
        <v>0.38100000000000001</v>
      </c>
      <c r="N15" s="105">
        <v>25.5</v>
      </c>
      <c r="O15" s="123">
        <v>21.637240137651926</v>
      </c>
      <c r="P15" s="11"/>
      <c r="Q15" s="100">
        <v>53.131999999999998</v>
      </c>
      <c r="R15" s="100">
        <v>0.50700000000000001</v>
      </c>
      <c r="S15" s="100">
        <v>6.6689999999999996</v>
      </c>
      <c r="T15" s="100">
        <v>0.78800000000000003</v>
      </c>
      <c r="U15" s="100">
        <v>2.3090000000000002</v>
      </c>
      <c r="V15" s="100">
        <v>8.3000000000000004E-2</v>
      </c>
      <c r="W15" s="100">
        <v>13.917999999999999</v>
      </c>
      <c r="X15" s="100">
        <v>20.655000000000001</v>
      </c>
      <c r="Y15" s="100">
        <v>1.746</v>
      </c>
      <c r="Z15" s="100">
        <v>0</v>
      </c>
      <c r="AA15" s="100">
        <v>0.03</v>
      </c>
      <c r="AC15" s="99">
        <v>59.251624999999997</v>
      </c>
      <c r="AD15" s="99">
        <v>9.5721250000000015</v>
      </c>
      <c r="AF15" s="83">
        <f>AD15/151.9892/(AD15/151.9892+AC15/101.9601)</f>
        <v>9.7777569881644946E-2</v>
      </c>
      <c r="AG15" s="22">
        <f t="shared" si="0"/>
        <v>8.1315639522574793E-5</v>
      </c>
      <c r="AH15" s="126">
        <f t="shared" ref="AH15:AH25" si="52">10000/(0.575+0.884*AF15-0.897*LN(AG15))-273</f>
        <v>824.85887759639559</v>
      </c>
      <c r="AI15" s="126">
        <f t="shared" si="1"/>
        <v>824.85958523283352</v>
      </c>
      <c r="AJ15" s="126">
        <f t="shared" si="2"/>
        <v>-7.076364379372535E-4</v>
      </c>
      <c r="AK15" s="12"/>
      <c r="AL15" s="25">
        <f t="shared" ref="AL15:AL25" si="53">FA15</f>
        <v>6.9413685030592678</v>
      </c>
      <c r="AN15" s="4">
        <v>15.999000000000001</v>
      </c>
      <c r="AO15" s="4">
        <v>28.085000000000001</v>
      </c>
      <c r="AP15" s="4">
        <v>47.866999999999997</v>
      </c>
      <c r="AQ15" s="4">
        <v>26.9815386</v>
      </c>
      <c r="AR15" s="4">
        <v>51.996099999999998</v>
      </c>
      <c r="AS15" s="4">
        <v>55.844999999999999</v>
      </c>
      <c r="AT15" s="4">
        <v>54.938045000000002</v>
      </c>
      <c r="AU15" s="4">
        <v>24.305</v>
      </c>
      <c r="AV15" s="4">
        <v>40.078000000000003</v>
      </c>
      <c r="AW15" s="4">
        <v>22.989769280000001</v>
      </c>
      <c r="AX15" s="4">
        <v>39.098300000000002</v>
      </c>
      <c r="AY15" s="4">
        <v>58.693399999999997</v>
      </c>
      <c r="BA15" s="4">
        <f>AN15*2+AO15</f>
        <v>60.082999999999998</v>
      </c>
      <c r="BB15" s="4">
        <f>AN15*2+AP15</f>
        <v>79.864999999999995</v>
      </c>
      <c r="BC15" s="4">
        <f>AQ15*2+AN15*3</f>
        <v>101.9600772</v>
      </c>
      <c r="BD15" s="4">
        <f>AR15*2+AN15*3</f>
        <v>151.98919999999998</v>
      </c>
      <c r="BE15" s="4">
        <f>AS15+AN15</f>
        <v>71.843999999999994</v>
      </c>
      <c r="BF15" s="4">
        <f>AT15+AN15</f>
        <v>70.937044999999998</v>
      </c>
      <c r="BG15" s="4">
        <f>AU15+AN15</f>
        <v>40.304000000000002</v>
      </c>
      <c r="BH15" s="4">
        <f>AV15+AN15</f>
        <v>56.077000000000005</v>
      </c>
      <c r="BI15" s="4">
        <f>AW15*2+AN15</f>
        <v>61.978538560000004</v>
      </c>
      <c r="BJ15" s="4">
        <f>AX15*2+AN15</f>
        <v>94.195599999999999</v>
      </c>
      <c r="BK15" s="4">
        <f>AY15+AN15</f>
        <v>74.692399999999992</v>
      </c>
      <c r="BM15" s="4">
        <f t="shared" si="3"/>
        <v>0.68264733784930853</v>
      </c>
      <c r="BN15" s="4">
        <f t="shared" si="4"/>
        <v>0</v>
      </c>
      <c r="BO15" s="4">
        <f t="shared" si="5"/>
        <v>4.7254610941259475E-5</v>
      </c>
      <c r="BP15" s="4">
        <f t="shared" si="6"/>
        <v>1.1539326987985639E-5</v>
      </c>
      <c r="BQ15" s="4">
        <f t="shared" si="7"/>
        <v>0.14048493959133679</v>
      </c>
      <c r="BR15" s="4">
        <f t="shared" si="8"/>
        <v>2.1779875381050902E-3</v>
      </c>
      <c r="BS15" s="4">
        <f t="shared" si="9"/>
        <v>1.1988884477967447</v>
      </c>
      <c r="BT15" s="4">
        <f t="shared" si="10"/>
        <v>5.3987824087159843E-5</v>
      </c>
      <c r="BU15" s="4">
        <f t="shared" si="11"/>
        <v>0</v>
      </c>
      <c r="BV15" s="4">
        <f t="shared" si="12"/>
        <v>0</v>
      </c>
      <c r="BW15" s="4">
        <f t="shared" si="13"/>
        <v>5.1009205755873427E-3</v>
      </c>
      <c r="BY15" s="4">
        <f t="shared" si="14"/>
        <v>0.68264733784930853</v>
      </c>
      <c r="BZ15" s="4">
        <f t="shared" si="14"/>
        <v>0</v>
      </c>
      <c r="CA15" s="4">
        <f t="shared" si="15"/>
        <v>9.4509221882518949E-5</v>
      </c>
      <c r="CB15" s="4">
        <f t="shared" si="15"/>
        <v>2.3078653975971279E-5</v>
      </c>
      <c r="CC15" s="4">
        <f t="shared" si="16"/>
        <v>0.14048493959133679</v>
      </c>
      <c r="CD15" s="4">
        <f t="shared" si="16"/>
        <v>2.1779875381050902E-3</v>
      </c>
      <c r="CE15" s="4">
        <f t="shared" si="16"/>
        <v>1.1988884477967447</v>
      </c>
      <c r="CF15" s="4">
        <f t="shared" si="16"/>
        <v>5.3987824087159843E-5</v>
      </c>
      <c r="CG15" s="4">
        <f t="shared" si="17"/>
        <v>0</v>
      </c>
      <c r="CH15" s="4">
        <f t="shared" si="17"/>
        <v>0</v>
      </c>
      <c r="CI15" s="4">
        <f>BW15</f>
        <v>5.1009205755873427E-3</v>
      </c>
      <c r="CK15" s="69">
        <f t="shared" si="18"/>
        <v>1.3652946756986171</v>
      </c>
      <c r="CL15" s="69">
        <f t="shared" si="18"/>
        <v>0</v>
      </c>
      <c r="CM15" s="69">
        <f t="shared" si="19"/>
        <v>1.4176383282377841E-4</v>
      </c>
      <c r="CN15" s="69">
        <f t="shared" si="19"/>
        <v>3.4617980963956919E-5</v>
      </c>
      <c r="CO15" s="69">
        <f t="shared" si="20"/>
        <v>0.14048493959133679</v>
      </c>
      <c r="CP15" s="69">
        <f t="shared" si="20"/>
        <v>2.1779875381050902E-3</v>
      </c>
      <c r="CQ15" s="69">
        <f t="shared" si="20"/>
        <v>1.1988884477967447</v>
      </c>
      <c r="CR15" s="69">
        <f t="shared" si="20"/>
        <v>5.3987824087159843E-5</v>
      </c>
      <c r="CS15" s="69">
        <f t="shared" si="20"/>
        <v>0</v>
      </c>
      <c r="CT15" s="69">
        <f t="shared" si="20"/>
        <v>0</v>
      </c>
      <c r="CU15" s="69">
        <f t="shared" si="20"/>
        <v>5.1009205755873427E-3</v>
      </c>
      <c r="CV15" s="69">
        <f t="shared" si="21"/>
        <v>2.7121773408382666</v>
      </c>
      <c r="CW15" s="16">
        <f t="shared" si="22"/>
        <v>1.4748298128483366</v>
      </c>
      <c r="CY15" s="23">
        <f t="shared" si="23"/>
        <v>1.006788645521711</v>
      </c>
      <c r="CZ15" s="23">
        <f t="shared" si="23"/>
        <v>0</v>
      </c>
      <c r="DA15" s="23">
        <f t="shared" si="23"/>
        <v>1.3938501802143735E-4</v>
      </c>
      <c r="DB15" s="23">
        <f t="shared" si="23"/>
        <v>3.4037086924173242E-5</v>
      </c>
      <c r="DC15" s="23">
        <f t="shared" si="23"/>
        <v>0.20719137716550109</v>
      </c>
      <c r="DD15" s="23">
        <f t="shared" si="23"/>
        <v>3.2121609532095394E-3</v>
      </c>
      <c r="DE15" s="23">
        <f t="shared" si="23"/>
        <v>1.7681564250901058</v>
      </c>
      <c r="DF15" s="23">
        <f t="shared" si="23"/>
        <v>7.9622852494554865E-5</v>
      </c>
      <c r="DG15" s="23">
        <f t="shared" si="23"/>
        <v>0</v>
      </c>
      <c r="DH15" s="23">
        <f t="shared" si="23"/>
        <v>0</v>
      </c>
      <c r="DI15" s="23">
        <f t="shared" si="23"/>
        <v>7.5229897378477099E-3</v>
      </c>
      <c r="DJ15" s="16">
        <f t="shared" si="24"/>
        <v>0.8951114447142352</v>
      </c>
      <c r="DL15" s="4">
        <f t="shared" si="25"/>
        <v>0.88431003778106954</v>
      </c>
      <c r="DM15" s="4">
        <f t="shared" si="26"/>
        <v>6.3482126087773122E-3</v>
      </c>
      <c r="DN15" s="4">
        <f t="shared" si="27"/>
        <v>6.5407953614221068E-2</v>
      </c>
      <c r="DO15" s="4">
        <f t="shared" si="28"/>
        <v>5.1845789042905691E-3</v>
      </c>
      <c r="DP15" s="4">
        <f t="shared" si="29"/>
        <v>3.2139079115862147E-2</v>
      </c>
      <c r="DQ15" s="4">
        <f t="shared" si="30"/>
        <v>1.1700515576875243E-3</v>
      </c>
      <c r="DR15" s="4">
        <f t="shared" si="31"/>
        <v>0.34532552600238187</v>
      </c>
      <c r="DS15" s="4">
        <f t="shared" si="32"/>
        <v>0.36833282807568163</v>
      </c>
      <c r="DT15" s="4">
        <f t="shared" si="33"/>
        <v>2.817104179230908E-2</v>
      </c>
      <c r="DU15" s="4">
        <f t="shared" si="34"/>
        <v>0</v>
      </c>
      <c r="DV15" s="4">
        <f t="shared" si="35"/>
        <v>4.0164728941632618E-4</v>
      </c>
      <c r="DX15" s="69">
        <f t="shared" ref="DX15:DY25" si="54">DL15*2</f>
        <v>1.7686200755621391</v>
      </c>
      <c r="DY15" s="69">
        <f t="shared" si="54"/>
        <v>1.2696425217554624E-2</v>
      </c>
      <c r="DZ15" s="69">
        <f t="shared" si="36"/>
        <v>0.19622386084266319</v>
      </c>
      <c r="EA15" s="69">
        <f t="shared" si="36"/>
        <v>1.5553736712871708E-2</v>
      </c>
      <c r="EB15" s="69">
        <f t="shared" si="37"/>
        <v>3.2139079115862147E-2</v>
      </c>
      <c r="EC15" s="69">
        <f t="shared" si="37"/>
        <v>1.1700515576875243E-3</v>
      </c>
      <c r="ED15" s="69">
        <f t="shared" si="37"/>
        <v>0.34532552600238187</v>
      </c>
      <c r="EE15" s="69">
        <f t="shared" si="37"/>
        <v>0.36833282807568163</v>
      </c>
      <c r="EF15" s="69">
        <f t="shared" si="37"/>
        <v>2.817104179230908E-2</v>
      </c>
      <c r="EG15" s="69">
        <f t="shared" si="37"/>
        <v>0</v>
      </c>
      <c r="EH15" s="69">
        <f t="shared" si="37"/>
        <v>4.0164728941632618E-4</v>
      </c>
      <c r="EI15" s="69">
        <f t="shared" si="38"/>
        <v>2.7686342721685673</v>
      </c>
      <c r="EJ15" s="69">
        <f t="shared" si="39"/>
        <v>2.1671334709370713</v>
      </c>
      <c r="EL15" s="23">
        <f t="shared" si="40"/>
        <v>1.9164178815609818</v>
      </c>
      <c r="EM15" s="23">
        <f t="shared" si="40"/>
        <v>1.3757424025106057E-2</v>
      </c>
      <c r="EN15" s="23">
        <f t="shared" si="41"/>
        <v>0.2834955310857557</v>
      </c>
      <c r="EO15" s="23">
        <f t="shared" si="41"/>
        <v>2.2471348952404678E-2</v>
      </c>
      <c r="EP15" s="23">
        <f t="shared" si="42"/>
        <v>6.9649674077079476E-2</v>
      </c>
      <c r="EQ15" s="23">
        <f t="shared" si="42"/>
        <v>2.5356578933866912E-3</v>
      </c>
      <c r="ER15" s="23">
        <f t="shared" si="42"/>
        <v>0.74836650576871167</v>
      </c>
      <c r="ES15" s="23">
        <f t="shared" si="42"/>
        <v>0.79822640016771951</v>
      </c>
      <c r="ET15" s="23">
        <f t="shared" si="43"/>
        <v>0.12210081515856014</v>
      </c>
      <c r="EU15" s="23">
        <f t="shared" si="43"/>
        <v>0</v>
      </c>
      <c r="EV15" s="23">
        <f t="shared" si="44"/>
        <v>8.7042328440526935E-4</v>
      </c>
      <c r="EX15" s="14">
        <f t="shared" si="45"/>
        <v>-9.2128464023898236</v>
      </c>
      <c r="EY15" s="4">
        <f t="shared" si="46"/>
        <v>3.7289604251221902</v>
      </c>
      <c r="EZ15" s="4">
        <f t="shared" si="47"/>
        <v>6.9413685030592678</v>
      </c>
      <c r="FA15" s="4">
        <f t="shared" si="48"/>
        <v>6.9413685030592678</v>
      </c>
      <c r="FC15" s="4">
        <f t="shared" si="49"/>
        <v>6.9413517599778505</v>
      </c>
    </row>
    <row r="16" spans="1:242" x14ac:dyDescent="0.2">
      <c r="A16" s="24" t="s">
        <v>93</v>
      </c>
      <c r="B16" s="24" t="s">
        <v>122</v>
      </c>
      <c r="C16" s="98">
        <v>40.644500000000001</v>
      </c>
      <c r="D16" s="98">
        <v>0</v>
      </c>
      <c r="E16" s="90">
        <f t="shared" si="50"/>
        <v>4.2323559475937215E-3</v>
      </c>
      <c r="F16" s="98">
        <v>1.5784677696981122E-3</v>
      </c>
      <c r="G16" s="98">
        <v>10.081</v>
      </c>
      <c r="H16" s="98">
        <v>0.13950000000000001</v>
      </c>
      <c r="I16" s="98">
        <v>48.487499999999997</v>
      </c>
      <c r="J16" s="92">
        <f t="shared" si="51"/>
        <v>1.6408860015539027E-3</v>
      </c>
      <c r="K16" s="98">
        <v>0</v>
      </c>
      <c r="L16" s="98">
        <v>0</v>
      </c>
      <c r="M16" s="98">
        <v>0.41849999999999998</v>
      </c>
      <c r="N16" s="105">
        <v>22.4</v>
      </c>
      <c r="O16" s="123">
        <v>11.727344396147677</v>
      </c>
      <c r="P16" s="11"/>
      <c r="Q16" s="100">
        <v>53.948</v>
      </c>
      <c r="R16" s="100">
        <v>0.31</v>
      </c>
      <c r="S16" s="100">
        <v>4.8849999999999998</v>
      </c>
      <c r="T16" s="100">
        <v>0.629</v>
      </c>
      <c r="U16" s="100">
        <v>2.3570000000000002</v>
      </c>
      <c r="V16" s="100">
        <v>5.6000000000000001E-2</v>
      </c>
      <c r="W16" s="100">
        <v>14.917</v>
      </c>
      <c r="X16" s="100">
        <v>22.408999999999999</v>
      </c>
      <c r="Y16" s="100">
        <v>1.008</v>
      </c>
      <c r="Z16" s="100">
        <v>0</v>
      </c>
      <c r="AA16" s="100">
        <v>5.8999999999999997E-2</v>
      </c>
      <c r="AC16" s="99">
        <v>57.688999999999993</v>
      </c>
      <c r="AD16" s="99">
        <v>11.581</v>
      </c>
      <c r="AF16" s="83">
        <f t="shared" ref="AF16:AF25" si="55">AD16/151.9892/(AD16/151.9892+AC16/101.9601)</f>
        <v>0.11868642154189818</v>
      </c>
      <c r="AG16" s="22">
        <f t="shared" si="0"/>
        <v>7.336504268740526E-5</v>
      </c>
      <c r="AH16" s="126">
        <f t="shared" si="52"/>
        <v>811.66748407325827</v>
      </c>
      <c r="AI16" s="126">
        <f t="shared" si="1"/>
        <v>811.66748201574228</v>
      </c>
      <c r="AJ16" s="126">
        <f t="shared" si="2"/>
        <v>2.0575159851432545E-6</v>
      </c>
      <c r="AK16" s="12"/>
      <c r="AL16" s="25">
        <f t="shared" si="53"/>
        <v>8.4472404297800061</v>
      </c>
      <c r="AN16" s="4">
        <v>15.999000000000001</v>
      </c>
      <c r="AO16" s="4">
        <v>28.085000000000001</v>
      </c>
      <c r="AP16" s="4">
        <v>47.866999999999997</v>
      </c>
      <c r="AQ16" s="4">
        <v>26.9815386</v>
      </c>
      <c r="AR16" s="4">
        <v>51.996099999999998</v>
      </c>
      <c r="AS16" s="4">
        <v>55.844999999999999</v>
      </c>
      <c r="AT16" s="4">
        <v>54.938045000000002</v>
      </c>
      <c r="AU16" s="4">
        <v>24.305</v>
      </c>
      <c r="AV16" s="4">
        <v>40.078000000000003</v>
      </c>
      <c r="AW16" s="4">
        <v>22.989769280000001</v>
      </c>
      <c r="AX16" s="4">
        <v>39.098300000000002</v>
      </c>
      <c r="AY16" s="4">
        <v>58.693399999999997</v>
      </c>
      <c r="BA16" s="4">
        <f>AN16*2+AO16</f>
        <v>60.082999999999998</v>
      </c>
      <c r="BB16" s="4">
        <f>AN16*2+AP16</f>
        <v>79.864999999999995</v>
      </c>
      <c r="BC16" s="4">
        <f>AQ16*2+AN16*3</f>
        <v>101.9600772</v>
      </c>
      <c r="BD16" s="4">
        <f>AR16*2+AN16*3</f>
        <v>151.98919999999998</v>
      </c>
      <c r="BE16" s="4">
        <f>AS16+AN16</f>
        <v>71.843999999999994</v>
      </c>
      <c r="BF16" s="4">
        <f>AT16+AN16</f>
        <v>70.937044999999998</v>
      </c>
      <c r="BG16" s="4">
        <f>AU16+AN16</f>
        <v>40.304000000000002</v>
      </c>
      <c r="BH16" s="4">
        <f>AV16+AN16</f>
        <v>56.077000000000005</v>
      </c>
      <c r="BI16" s="4">
        <f>AW16*2+AN16</f>
        <v>61.978538560000004</v>
      </c>
      <c r="BJ16" s="4">
        <f>AX16*2+AN16</f>
        <v>94.195599999999999</v>
      </c>
      <c r="BK16" s="4">
        <f>AY16+AN16</f>
        <v>74.692399999999992</v>
      </c>
      <c r="BM16" s="4">
        <f t="shared" si="3"/>
        <v>0.67647254631093656</v>
      </c>
      <c r="BN16" s="4">
        <f t="shared" si="4"/>
        <v>0</v>
      </c>
      <c r="BO16" s="4">
        <f t="shared" si="5"/>
        <v>4.1509932748400482E-5</v>
      </c>
      <c r="BP16" s="4">
        <f t="shared" si="6"/>
        <v>1.0385394289187076E-5</v>
      </c>
      <c r="BQ16" s="4">
        <f t="shared" si="7"/>
        <v>0.14031791102945271</v>
      </c>
      <c r="BR16" s="4">
        <f t="shared" si="8"/>
        <v>1.9665324373181886E-3</v>
      </c>
      <c r="BS16" s="4">
        <f t="shared" si="9"/>
        <v>1.2030443628423977</v>
      </c>
      <c r="BT16" s="4">
        <f t="shared" si="10"/>
        <v>2.9261301452536734E-5</v>
      </c>
      <c r="BU16" s="4">
        <f t="shared" si="11"/>
        <v>0</v>
      </c>
      <c r="BV16" s="4">
        <f t="shared" si="12"/>
        <v>0</v>
      </c>
      <c r="BW16" s="4">
        <f t="shared" si="13"/>
        <v>5.6029796873577507E-3</v>
      </c>
      <c r="BY16" s="4">
        <f t="shared" si="14"/>
        <v>0.67647254631093656</v>
      </c>
      <c r="BZ16" s="4">
        <f t="shared" si="14"/>
        <v>0</v>
      </c>
      <c r="CA16" s="4">
        <f t="shared" si="15"/>
        <v>8.3019865496800963E-5</v>
      </c>
      <c r="CB16" s="4">
        <f t="shared" si="15"/>
        <v>2.0770788578374152E-5</v>
      </c>
      <c r="CC16" s="4">
        <f t="shared" si="16"/>
        <v>0.14031791102945271</v>
      </c>
      <c r="CD16" s="4">
        <f t="shared" si="16"/>
        <v>1.9665324373181886E-3</v>
      </c>
      <c r="CE16" s="4">
        <f t="shared" si="16"/>
        <v>1.2030443628423977</v>
      </c>
      <c r="CF16" s="4">
        <f t="shared" si="16"/>
        <v>2.9261301452536734E-5</v>
      </c>
      <c r="CG16" s="4">
        <f t="shared" si="17"/>
        <v>0</v>
      </c>
      <c r="CH16" s="4">
        <f t="shared" si="17"/>
        <v>0</v>
      </c>
      <c r="CI16" s="4">
        <f>BW16</f>
        <v>5.6029796873577507E-3</v>
      </c>
      <c r="CK16" s="69">
        <f t="shared" si="18"/>
        <v>1.3529450926218731</v>
      </c>
      <c r="CL16" s="69">
        <f t="shared" si="18"/>
        <v>0</v>
      </c>
      <c r="CM16" s="69">
        <f t="shared" si="19"/>
        <v>1.2452979824520145E-4</v>
      </c>
      <c r="CN16" s="69">
        <f t="shared" si="19"/>
        <v>3.1156182867561227E-5</v>
      </c>
      <c r="CO16" s="69">
        <f t="shared" si="20"/>
        <v>0.14031791102945271</v>
      </c>
      <c r="CP16" s="69">
        <f t="shared" si="20"/>
        <v>1.9665324373181886E-3</v>
      </c>
      <c r="CQ16" s="69">
        <f t="shared" si="20"/>
        <v>1.2030443628423977</v>
      </c>
      <c r="CR16" s="69">
        <f t="shared" si="20"/>
        <v>2.9261301452536734E-5</v>
      </c>
      <c r="CS16" s="69">
        <f t="shared" si="20"/>
        <v>0</v>
      </c>
      <c r="CT16" s="69">
        <f t="shared" si="20"/>
        <v>0</v>
      </c>
      <c r="CU16" s="69">
        <f t="shared" si="20"/>
        <v>5.6029796873577507E-3</v>
      </c>
      <c r="CV16" s="69">
        <f t="shared" si="21"/>
        <v>2.7040618259009648</v>
      </c>
      <c r="CW16" s="16">
        <f t="shared" si="22"/>
        <v>1.4792561182166175</v>
      </c>
      <c r="CY16" s="23">
        <f t="shared" si="23"/>
        <v>1.0006761529360271</v>
      </c>
      <c r="CZ16" s="23">
        <f t="shared" si="23"/>
        <v>0</v>
      </c>
      <c r="DA16" s="23">
        <f t="shared" si="23"/>
        <v>1.2280764396966349E-4</v>
      </c>
      <c r="DB16" s="23">
        <f t="shared" si="23"/>
        <v>3.0725316084743802E-5</v>
      </c>
      <c r="DC16" s="23">
        <f t="shared" si="23"/>
        <v>0.20756612838569291</v>
      </c>
      <c r="DD16" s="23">
        <f t="shared" si="23"/>
        <v>2.9090051395743674E-3</v>
      </c>
      <c r="DE16" s="23">
        <f t="shared" si="23"/>
        <v>1.7796107342206291</v>
      </c>
      <c r="DF16" s="23">
        <f t="shared" si="23"/>
        <v>4.3284959200645758E-5</v>
      </c>
      <c r="DG16" s="23">
        <f t="shared" si="23"/>
        <v>0</v>
      </c>
      <c r="DH16" s="23">
        <f t="shared" si="23"/>
        <v>0</v>
      </c>
      <c r="DI16" s="23">
        <f t="shared" si="23"/>
        <v>8.2882419827673831E-3</v>
      </c>
      <c r="DJ16" s="16">
        <f t="shared" si="24"/>
        <v>0.89554722969476641</v>
      </c>
      <c r="DL16" s="4">
        <f t="shared" si="25"/>
        <v>0.89789125043689566</v>
      </c>
      <c r="DM16" s="4">
        <f t="shared" si="26"/>
        <v>3.8815501158204471E-3</v>
      </c>
      <c r="DN16" s="4">
        <f t="shared" si="27"/>
        <v>4.7910909192603081E-2</v>
      </c>
      <c r="DO16" s="4">
        <f t="shared" si="28"/>
        <v>4.1384519426380297E-3</v>
      </c>
      <c r="DP16" s="4">
        <f t="shared" si="29"/>
        <v>3.2807193363398483E-2</v>
      </c>
      <c r="DQ16" s="4">
        <f t="shared" si="30"/>
        <v>7.8943237627110072E-4</v>
      </c>
      <c r="DR16" s="4">
        <f t="shared" si="31"/>
        <v>0.37011214767764983</v>
      </c>
      <c r="DS16" s="4">
        <f t="shared" si="32"/>
        <v>0.39961124881858867</v>
      </c>
      <c r="DT16" s="4">
        <f t="shared" si="33"/>
        <v>1.6263694230611428E-2</v>
      </c>
      <c r="DU16" s="4">
        <f t="shared" si="34"/>
        <v>0</v>
      </c>
      <c r="DV16" s="4">
        <f t="shared" si="35"/>
        <v>7.8990633585210811E-4</v>
      </c>
      <c r="DX16" s="69">
        <f t="shared" si="54"/>
        <v>1.7957825008737913</v>
      </c>
      <c r="DY16" s="69">
        <f t="shared" si="54"/>
        <v>7.7631002316408942E-3</v>
      </c>
      <c r="DZ16" s="69">
        <f t="shared" si="36"/>
        <v>0.14373272757780925</v>
      </c>
      <c r="EA16" s="69">
        <f t="shared" si="36"/>
        <v>1.2415355827914089E-2</v>
      </c>
      <c r="EB16" s="69">
        <f t="shared" si="37"/>
        <v>3.2807193363398483E-2</v>
      </c>
      <c r="EC16" s="69">
        <f t="shared" si="37"/>
        <v>7.8943237627110072E-4</v>
      </c>
      <c r="ED16" s="69">
        <f t="shared" si="37"/>
        <v>0.37011214767764983</v>
      </c>
      <c r="EE16" s="69">
        <f t="shared" si="37"/>
        <v>0.39961124881858867</v>
      </c>
      <c r="EF16" s="69">
        <f t="shared" si="37"/>
        <v>1.6263694230611428E-2</v>
      </c>
      <c r="EG16" s="69">
        <f t="shared" si="37"/>
        <v>0</v>
      </c>
      <c r="EH16" s="69">
        <f t="shared" si="37"/>
        <v>7.8990633585210811E-4</v>
      </c>
      <c r="EI16" s="69">
        <f t="shared" si="38"/>
        <v>2.7800673073135274</v>
      </c>
      <c r="EJ16" s="69">
        <f t="shared" si="39"/>
        <v>2.1582211280337678</v>
      </c>
      <c r="EL16" s="23">
        <f t="shared" si="40"/>
        <v>1.9378478673695672</v>
      </c>
      <c r="EM16" s="23">
        <f t="shared" si="40"/>
        <v>8.3772434694856079E-3</v>
      </c>
      <c r="EN16" s="23">
        <f t="shared" si="41"/>
        <v>0.20680467296556646</v>
      </c>
      <c r="EO16" s="23">
        <f t="shared" si="41"/>
        <v>1.7863388839907571E-2</v>
      </c>
      <c r="EP16" s="23">
        <f t="shared" si="42"/>
        <v>7.0805177868375813E-2</v>
      </c>
      <c r="EQ16" s="23">
        <f t="shared" si="42"/>
        <v>1.7037696336221929E-3</v>
      </c>
      <c r="ER16" s="23">
        <f t="shared" si="42"/>
        <v>0.79878385685985787</v>
      </c>
      <c r="ES16" s="23">
        <f t="shared" si="42"/>
        <v>0.86244944020023706</v>
      </c>
      <c r="ET16" s="23">
        <f t="shared" si="43"/>
        <v>7.0201297016772954E-2</v>
      </c>
      <c r="EU16" s="23">
        <f t="shared" si="43"/>
        <v>0</v>
      </c>
      <c r="EV16" s="23">
        <f t="shared" si="44"/>
        <v>1.704792543203757E-3</v>
      </c>
      <c r="EX16" s="14">
        <f t="shared" si="45"/>
        <v>-9.8997265940193326</v>
      </c>
      <c r="EY16" s="4">
        <f t="shared" si="46"/>
        <v>4.7536675360365441</v>
      </c>
      <c r="EZ16" s="4">
        <f t="shared" si="47"/>
        <v>8.4472404297800061</v>
      </c>
      <c r="FA16" s="4">
        <f t="shared" si="48"/>
        <v>8.4472404297800061</v>
      </c>
      <c r="FC16" s="4">
        <f t="shared" si="49"/>
        <v>8.4472404796533525</v>
      </c>
    </row>
    <row r="17" spans="1:159" x14ac:dyDescent="0.2">
      <c r="A17" s="24" t="s">
        <v>94</v>
      </c>
      <c r="B17" s="24" t="s">
        <v>122</v>
      </c>
      <c r="C17" s="98">
        <v>40.668999999999997</v>
      </c>
      <c r="D17" s="98">
        <v>0</v>
      </c>
      <c r="E17" s="90">
        <f t="shared" si="50"/>
        <v>1.4737668031799565E-2</v>
      </c>
      <c r="F17" s="98">
        <v>9.6754228105569474E-3</v>
      </c>
      <c r="G17" s="98">
        <v>9.5530000000000008</v>
      </c>
      <c r="H17" s="98">
        <v>0.14099999999999999</v>
      </c>
      <c r="I17" s="98">
        <v>47.445</v>
      </c>
      <c r="J17" s="92">
        <f t="shared" si="51"/>
        <v>1.2310496254788335E-2</v>
      </c>
      <c r="K17" s="98">
        <v>0</v>
      </c>
      <c r="L17" s="98">
        <v>0</v>
      </c>
      <c r="M17" s="98">
        <v>0.374</v>
      </c>
      <c r="N17" s="105">
        <v>78</v>
      </c>
      <c r="O17" s="123">
        <v>87.982607646522979</v>
      </c>
      <c r="P17" s="11"/>
      <c r="Q17" s="100">
        <v>53.612000000000002</v>
      </c>
      <c r="R17" s="100">
        <v>0.18</v>
      </c>
      <c r="S17" s="100">
        <v>4.1390000000000002</v>
      </c>
      <c r="T17" s="100">
        <v>0.76900000000000002</v>
      </c>
      <c r="U17" s="100">
        <v>2.5289999999999999</v>
      </c>
      <c r="V17" s="100">
        <v>7.8E-2</v>
      </c>
      <c r="W17" s="100">
        <v>15.577999999999999</v>
      </c>
      <c r="X17" s="100">
        <v>21.824999999999999</v>
      </c>
      <c r="Y17" s="100">
        <v>0.72499999999999998</v>
      </c>
      <c r="Z17" s="100">
        <v>0</v>
      </c>
      <c r="AA17" s="100">
        <v>6.8000000000000005E-2</v>
      </c>
      <c r="AC17" s="99">
        <v>53.850499999999997</v>
      </c>
      <c r="AD17" s="99">
        <v>14.707999999999998</v>
      </c>
      <c r="AF17" s="83">
        <f t="shared" si="55"/>
        <v>0.15485120263410565</v>
      </c>
      <c r="AG17" s="22">
        <f t="shared" si="0"/>
        <v>2.7367745948133379E-4</v>
      </c>
      <c r="AH17" s="126">
        <f t="shared" si="52"/>
        <v>966.08335773787894</v>
      </c>
      <c r="AI17" s="126">
        <f t="shared" si="1"/>
        <v>966.08369162145732</v>
      </c>
      <c r="AJ17" s="126">
        <f t="shared" si="2"/>
        <v>-3.3388357837793592E-4</v>
      </c>
      <c r="AK17" s="12"/>
      <c r="AL17" s="25">
        <f t="shared" si="53"/>
        <v>5.6335531785225248</v>
      </c>
      <c r="AN17" s="4">
        <v>15.999000000000001</v>
      </c>
      <c r="AO17" s="4">
        <v>28.085000000000001</v>
      </c>
      <c r="AP17" s="4">
        <v>47.866999999999997</v>
      </c>
      <c r="AQ17" s="4">
        <v>26.9815386</v>
      </c>
      <c r="AR17" s="4">
        <v>51.996099999999998</v>
      </c>
      <c r="AS17" s="4">
        <v>55.844999999999999</v>
      </c>
      <c r="AT17" s="4">
        <v>54.938045000000002</v>
      </c>
      <c r="AU17" s="4">
        <v>24.305</v>
      </c>
      <c r="AV17" s="4">
        <v>40.078000000000003</v>
      </c>
      <c r="AW17" s="4">
        <v>22.989769280000001</v>
      </c>
      <c r="AX17" s="4">
        <v>39.098300000000002</v>
      </c>
      <c r="AY17" s="4">
        <v>58.693399999999997</v>
      </c>
      <c r="BA17" s="4">
        <f>AN17*2+AO17</f>
        <v>60.082999999999998</v>
      </c>
      <c r="BB17" s="4">
        <f>AN17*2+AP17</f>
        <v>79.864999999999995</v>
      </c>
      <c r="BC17" s="4">
        <f>AQ17*2+AN17*3</f>
        <v>101.9600772</v>
      </c>
      <c r="BD17" s="4">
        <f>AR17*2+AN17*3</f>
        <v>151.98919999999998</v>
      </c>
      <c r="BE17" s="4">
        <f>AS17+AN17</f>
        <v>71.843999999999994</v>
      </c>
      <c r="BF17" s="4">
        <f>AT17+AN17</f>
        <v>70.937044999999998</v>
      </c>
      <c r="BG17" s="4">
        <f>AU17+AN17</f>
        <v>40.304000000000002</v>
      </c>
      <c r="BH17" s="4">
        <f>AV17+AN17</f>
        <v>56.077000000000005</v>
      </c>
      <c r="BI17" s="4">
        <f>AW17*2+AN17</f>
        <v>61.978538560000004</v>
      </c>
      <c r="BJ17" s="4">
        <f>AX17*2+AN17</f>
        <v>94.195599999999999</v>
      </c>
      <c r="BK17" s="4">
        <f>AY17+AN17</f>
        <v>74.692399999999992</v>
      </c>
      <c r="BM17" s="4">
        <f t="shared" si="3"/>
        <v>0.6768803155634705</v>
      </c>
      <c r="BN17" s="4">
        <f t="shared" si="4"/>
        <v>0</v>
      </c>
      <c r="BO17" s="4">
        <f t="shared" si="5"/>
        <v>1.445435158203231E-4</v>
      </c>
      <c r="BP17" s="4">
        <f t="shared" si="6"/>
        <v>6.3658620550387449E-5</v>
      </c>
      <c r="BQ17" s="4">
        <f t="shared" si="7"/>
        <v>0.13296865430655311</v>
      </c>
      <c r="BR17" s="4">
        <f t="shared" si="8"/>
        <v>1.9876779473968782E-3</v>
      </c>
      <c r="BS17" s="4">
        <f t="shared" si="9"/>
        <v>1.1771784438269155</v>
      </c>
      <c r="BT17" s="4">
        <f t="shared" si="10"/>
        <v>2.1952843866091863E-4</v>
      </c>
      <c r="BU17" s="4">
        <f t="shared" si="11"/>
        <v>0</v>
      </c>
      <c r="BV17" s="4">
        <f t="shared" si="12"/>
        <v>0</v>
      </c>
      <c r="BW17" s="4">
        <f t="shared" si="13"/>
        <v>5.0072028747235337E-3</v>
      </c>
      <c r="BY17" s="4">
        <f t="shared" si="14"/>
        <v>0.6768803155634705</v>
      </c>
      <c r="BZ17" s="4">
        <f t="shared" si="14"/>
        <v>0</v>
      </c>
      <c r="CA17" s="4">
        <f t="shared" si="15"/>
        <v>2.890870316406462E-4</v>
      </c>
      <c r="CB17" s="4">
        <f t="shared" si="15"/>
        <v>1.273172411007749E-4</v>
      </c>
      <c r="CC17" s="4">
        <f t="shared" si="16"/>
        <v>0.13296865430655311</v>
      </c>
      <c r="CD17" s="4">
        <f t="shared" si="16"/>
        <v>1.9876779473968782E-3</v>
      </c>
      <c r="CE17" s="4">
        <f t="shared" si="16"/>
        <v>1.1771784438269155</v>
      </c>
      <c r="CF17" s="4">
        <f t="shared" si="16"/>
        <v>2.1952843866091863E-4</v>
      </c>
      <c r="CG17" s="4">
        <f t="shared" si="17"/>
        <v>0</v>
      </c>
      <c r="CH17" s="4">
        <f t="shared" si="17"/>
        <v>0</v>
      </c>
      <c r="CI17" s="4">
        <f>BW17</f>
        <v>5.0072028747235337E-3</v>
      </c>
      <c r="CK17" s="69">
        <f t="shared" si="18"/>
        <v>1.353760631126941</v>
      </c>
      <c r="CL17" s="69">
        <f t="shared" si="18"/>
        <v>0</v>
      </c>
      <c r="CM17" s="69">
        <f t="shared" si="19"/>
        <v>4.3363054746096931E-4</v>
      </c>
      <c r="CN17" s="69">
        <f t="shared" si="19"/>
        <v>1.9097586165116233E-4</v>
      </c>
      <c r="CO17" s="69">
        <f t="shared" si="20"/>
        <v>0.13296865430655311</v>
      </c>
      <c r="CP17" s="69">
        <f t="shared" si="20"/>
        <v>1.9876779473968782E-3</v>
      </c>
      <c r="CQ17" s="69">
        <f t="shared" si="20"/>
        <v>1.1771784438269155</v>
      </c>
      <c r="CR17" s="69">
        <f t="shared" si="20"/>
        <v>2.1952843866091863E-4</v>
      </c>
      <c r="CS17" s="69">
        <f t="shared" si="20"/>
        <v>0</v>
      </c>
      <c r="CT17" s="69">
        <f t="shared" si="20"/>
        <v>0</v>
      </c>
      <c r="CU17" s="69">
        <f t="shared" si="20"/>
        <v>5.0072028747235337E-3</v>
      </c>
      <c r="CV17" s="69">
        <f t="shared" si="21"/>
        <v>2.671746744930303</v>
      </c>
      <c r="CW17" s="16">
        <f t="shared" si="22"/>
        <v>1.4971478893312349</v>
      </c>
      <c r="CY17" s="23">
        <f t="shared" si="23"/>
        <v>1.0133899357757101</v>
      </c>
      <c r="CZ17" s="23">
        <f t="shared" si="23"/>
        <v>0</v>
      </c>
      <c r="DA17" s="23">
        <f t="shared" si="23"/>
        <v>4.3280603925382539E-4</v>
      </c>
      <c r="DB17" s="23">
        <f t="shared" si="23"/>
        <v>1.9061273878950109E-4</v>
      </c>
      <c r="DC17" s="23">
        <f t="shared" si="23"/>
        <v>0.19907374014227061</v>
      </c>
      <c r="DD17" s="23">
        <f t="shared" si="23"/>
        <v>2.9758478436154776E-3</v>
      </c>
      <c r="DE17" s="23">
        <f t="shared" si="23"/>
        <v>1.7624102225416942</v>
      </c>
      <c r="DF17" s="23">
        <f t="shared" si="23"/>
        <v>3.2866653858937576E-4</v>
      </c>
      <c r="DG17" s="23">
        <f t="shared" si="23"/>
        <v>0</v>
      </c>
      <c r="DH17" s="23">
        <f t="shared" si="23"/>
        <v>0</v>
      </c>
      <c r="DI17" s="23">
        <f t="shared" si="23"/>
        <v>7.4965232153456299E-3</v>
      </c>
      <c r="DJ17" s="16">
        <f t="shared" si="24"/>
        <v>0.89850860678469613</v>
      </c>
      <c r="DL17" s="4">
        <f t="shared" si="25"/>
        <v>0.89229898640214378</v>
      </c>
      <c r="DM17" s="4">
        <f t="shared" si="26"/>
        <v>2.2538032930570339E-3</v>
      </c>
      <c r="DN17" s="4">
        <f t="shared" si="27"/>
        <v>4.059431998939287E-2</v>
      </c>
      <c r="DO17" s="4">
        <f t="shared" si="28"/>
        <v>5.0595700220805173E-3</v>
      </c>
      <c r="DP17" s="4">
        <f t="shared" si="29"/>
        <v>3.5201269417070323E-2</v>
      </c>
      <c r="DQ17" s="4">
        <f t="shared" si="30"/>
        <v>1.0995665240918903E-3</v>
      </c>
      <c r="DR17" s="4">
        <f t="shared" si="31"/>
        <v>0.38651250496228656</v>
      </c>
      <c r="DS17" s="4">
        <f t="shared" si="32"/>
        <v>0.38919699698628668</v>
      </c>
      <c r="DT17" s="4">
        <f t="shared" si="33"/>
        <v>1.1697597536898099E-2</v>
      </c>
      <c r="DU17" s="4">
        <f t="shared" si="34"/>
        <v>0</v>
      </c>
      <c r="DV17" s="4">
        <f t="shared" si="35"/>
        <v>9.1040052267700607E-4</v>
      </c>
      <c r="DX17" s="69">
        <f t="shared" si="54"/>
        <v>1.7845979728042876</v>
      </c>
      <c r="DY17" s="69">
        <f t="shared" si="54"/>
        <v>4.5076065861140678E-3</v>
      </c>
      <c r="DZ17" s="69">
        <f t="shared" si="36"/>
        <v>0.12178295996817862</v>
      </c>
      <c r="EA17" s="69">
        <f t="shared" si="36"/>
        <v>1.5178710066241552E-2</v>
      </c>
      <c r="EB17" s="69">
        <f t="shared" si="37"/>
        <v>3.5201269417070323E-2</v>
      </c>
      <c r="EC17" s="69">
        <f t="shared" si="37"/>
        <v>1.0995665240918903E-3</v>
      </c>
      <c r="ED17" s="69">
        <f t="shared" si="37"/>
        <v>0.38651250496228656</v>
      </c>
      <c r="EE17" s="69">
        <f t="shared" si="37"/>
        <v>0.38919699698628668</v>
      </c>
      <c r="EF17" s="69">
        <f t="shared" si="37"/>
        <v>1.1697597536898099E-2</v>
      </c>
      <c r="EG17" s="69">
        <f t="shared" si="37"/>
        <v>0</v>
      </c>
      <c r="EH17" s="69">
        <f t="shared" si="37"/>
        <v>9.1040052267700607E-4</v>
      </c>
      <c r="EI17" s="69">
        <f t="shared" si="38"/>
        <v>2.7506855853741317</v>
      </c>
      <c r="EJ17" s="69">
        <f t="shared" si="39"/>
        <v>2.1812743818861131</v>
      </c>
      <c r="EL17" s="23">
        <f t="shared" si="40"/>
        <v>1.9463489200219415</v>
      </c>
      <c r="EM17" s="23">
        <f t="shared" si="40"/>
        <v>4.9161633849558678E-3</v>
      </c>
      <c r="EN17" s="23">
        <f t="shared" si="41"/>
        <v>0.17709470048590004</v>
      </c>
      <c r="EO17" s="23">
        <f t="shared" si="41"/>
        <v>2.2072620945046376E-2</v>
      </c>
      <c r="EP17" s="23">
        <f t="shared" si="42"/>
        <v>7.6783627189326603E-2</v>
      </c>
      <c r="EQ17" s="23">
        <f t="shared" si="42"/>
        <v>2.3984562901812E-3</v>
      </c>
      <c r="ER17" s="23">
        <f t="shared" si="42"/>
        <v>0.84308982535286481</v>
      </c>
      <c r="ES17" s="23">
        <f t="shared" si="42"/>
        <v>0.84894543903319386</v>
      </c>
      <c r="ET17" s="23">
        <f t="shared" si="43"/>
        <v>5.1031339673699841E-2</v>
      </c>
      <c r="EU17" s="23">
        <f t="shared" si="43"/>
        <v>0</v>
      </c>
      <c r="EV17" s="23">
        <f t="shared" si="44"/>
        <v>1.9858333373710805E-3</v>
      </c>
      <c r="EX17" s="14">
        <f t="shared" si="45"/>
        <v>-7.85670652200288</v>
      </c>
      <c r="EY17" s="4">
        <f t="shared" si="46"/>
        <v>3.9612192517405065</v>
      </c>
      <c r="EZ17" s="4">
        <f t="shared" si="47"/>
        <v>5.6335531785225248</v>
      </c>
      <c r="FA17" s="4">
        <f t="shared" si="48"/>
        <v>5.6335531785225248</v>
      </c>
      <c r="FC17" s="4">
        <f t="shared" si="49"/>
        <v>5.6335469767988497</v>
      </c>
    </row>
    <row r="18" spans="1:159" x14ac:dyDescent="0.2">
      <c r="A18" s="24" t="s">
        <v>95</v>
      </c>
      <c r="B18" s="24" t="s">
        <v>122</v>
      </c>
      <c r="C18" s="98">
        <v>40.587000000000003</v>
      </c>
      <c r="D18" s="98">
        <v>0</v>
      </c>
      <c r="E18" s="90">
        <f t="shared" si="50"/>
        <v>1.347174013676037E-2</v>
      </c>
      <c r="F18" s="98">
        <v>5.071558482270787E-3</v>
      </c>
      <c r="G18" s="98">
        <v>10.077</v>
      </c>
      <c r="H18" s="98">
        <v>0.157</v>
      </c>
      <c r="I18" s="98">
        <v>47.664000000000001</v>
      </c>
      <c r="J18" s="92">
        <f t="shared" si="51"/>
        <v>0.12778961673603434</v>
      </c>
      <c r="K18" s="98">
        <v>0</v>
      </c>
      <c r="L18" s="98">
        <v>0</v>
      </c>
      <c r="M18" s="98">
        <v>0.42499999999999999</v>
      </c>
      <c r="N18" s="105">
        <v>71.3</v>
      </c>
      <c r="O18" s="123">
        <v>913.30710621944559</v>
      </c>
      <c r="P18" s="11"/>
      <c r="Q18" s="100">
        <v>52.655000000000001</v>
      </c>
      <c r="R18" s="100">
        <v>0.63800000000000001</v>
      </c>
      <c r="S18" s="100">
        <v>6.7629999999999999</v>
      </c>
      <c r="T18" s="100">
        <v>0.82599999999999996</v>
      </c>
      <c r="U18" s="100">
        <v>2.6480000000000001</v>
      </c>
      <c r="V18" s="100">
        <v>7.8E-2</v>
      </c>
      <c r="W18" s="100">
        <v>14.1</v>
      </c>
      <c r="X18" s="100">
        <v>19.574999999999999</v>
      </c>
      <c r="Y18" s="100">
        <v>1.786</v>
      </c>
      <c r="Z18" s="100">
        <v>0</v>
      </c>
      <c r="AA18" s="100">
        <v>6.6000000000000003E-2</v>
      </c>
      <c r="AC18" s="99">
        <v>60.066374999999994</v>
      </c>
      <c r="AD18" s="99">
        <v>8.7909999999999986</v>
      </c>
      <c r="AF18" s="83">
        <f t="shared" si="55"/>
        <v>8.9402719492538738E-2</v>
      </c>
      <c r="AG18" s="22">
        <f t="shared" si="0"/>
        <v>2.2428089154306999E-4</v>
      </c>
      <c r="AH18" s="126">
        <f t="shared" si="52"/>
        <v>947.82616876100565</v>
      </c>
      <c r="AI18" s="126">
        <f t="shared" si="1"/>
        <v>947.8261503733836</v>
      </c>
      <c r="AJ18" s="126">
        <f t="shared" si="2"/>
        <v>1.8387622048976482E-5</v>
      </c>
      <c r="AK18" s="12"/>
      <c r="AL18" s="25">
        <f t="shared" si="53"/>
        <v>-1.6704564441929084</v>
      </c>
      <c r="AN18" s="4">
        <v>15.999000000000001</v>
      </c>
      <c r="AO18" s="4">
        <v>28.085000000000001</v>
      </c>
      <c r="AP18" s="4">
        <v>47.866999999999997</v>
      </c>
      <c r="AQ18" s="4">
        <v>26.9815386</v>
      </c>
      <c r="AR18" s="4">
        <v>51.996099999999998</v>
      </c>
      <c r="AS18" s="4">
        <v>55.844999999999999</v>
      </c>
      <c r="AT18" s="4">
        <v>54.938045000000002</v>
      </c>
      <c r="AU18" s="4">
        <v>24.305</v>
      </c>
      <c r="AV18" s="4">
        <v>40.078000000000003</v>
      </c>
      <c r="AW18" s="4">
        <v>22.989769280000001</v>
      </c>
      <c r="AX18" s="4">
        <v>39.098300000000002</v>
      </c>
      <c r="AY18" s="4">
        <v>58.693399999999997</v>
      </c>
      <c r="BA18" s="4">
        <f>AN18*2+AO18</f>
        <v>60.082999999999998</v>
      </c>
      <c r="BB18" s="4">
        <f>AN18*2+AP18</f>
        <v>79.864999999999995</v>
      </c>
      <c r="BC18" s="4">
        <f>AQ18*2+AN18*3</f>
        <v>101.9600772</v>
      </c>
      <c r="BD18" s="4">
        <f>AR18*2+AN18*3</f>
        <v>151.98919999999998</v>
      </c>
      <c r="BE18" s="4">
        <f>AS18+AN18</f>
        <v>71.843999999999994</v>
      </c>
      <c r="BF18" s="4">
        <f>AT18+AN18</f>
        <v>70.937044999999998</v>
      </c>
      <c r="BG18" s="4">
        <f>AU18+AN18</f>
        <v>40.304000000000002</v>
      </c>
      <c r="BH18" s="4">
        <f>AV18+AN18</f>
        <v>56.077000000000005</v>
      </c>
      <c r="BI18" s="4">
        <f>AW18*2+AN18</f>
        <v>61.978538560000004</v>
      </c>
      <c r="BJ18" s="4">
        <f>AX18*2+AN18</f>
        <v>94.195599999999999</v>
      </c>
      <c r="BK18" s="4">
        <f>AY18+AN18</f>
        <v>74.692399999999992</v>
      </c>
      <c r="BM18" s="4">
        <f t="shared" si="3"/>
        <v>0.67551553684070376</v>
      </c>
      <c r="BN18" s="4">
        <f t="shared" si="4"/>
        <v>0</v>
      </c>
      <c r="BO18" s="4">
        <f t="shared" si="5"/>
        <v>1.3212759843575687E-4</v>
      </c>
      <c r="BP18" s="4">
        <f t="shared" si="6"/>
        <v>3.3367887206925149E-5</v>
      </c>
      <c r="BQ18" s="4">
        <f t="shared" si="7"/>
        <v>0.14026223484215802</v>
      </c>
      <c r="BR18" s="4">
        <f t="shared" si="8"/>
        <v>2.2132300549029074E-3</v>
      </c>
      <c r="BS18" s="4">
        <f t="shared" si="9"/>
        <v>1.1826121476776499</v>
      </c>
      <c r="BT18" s="4">
        <f t="shared" si="10"/>
        <v>2.2788240586342767E-3</v>
      </c>
      <c r="BU18" s="4">
        <f t="shared" si="11"/>
        <v>0</v>
      </c>
      <c r="BV18" s="4">
        <f t="shared" si="12"/>
        <v>0</v>
      </c>
      <c r="BW18" s="4">
        <f t="shared" si="13"/>
        <v>5.690003266731288E-3</v>
      </c>
      <c r="BY18" s="4">
        <f t="shared" si="14"/>
        <v>0.67551553684070376</v>
      </c>
      <c r="BZ18" s="4">
        <f t="shared" si="14"/>
        <v>0</v>
      </c>
      <c r="CA18" s="4">
        <f t="shared" si="15"/>
        <v>2.6425519687151374E-4</v>
      </c>
      <c r="CB18" s="4">
        <f t="shared" si="15"/>
        <v>6.6735774413850297E-5</v>
      </c>
      <c r="CC18" s="4">
        <f t="shared" si="16"/>
        <v>0.14026223484215802</v>
      </c>
      <c r="CD18" s="4">
        <f t="shared" si="16"/>
        <v>2.2132300549029074E-3</v>
      </c>
      <c r="CE18" s="4">
        <f t="shared" si="16"/>
        <v>1.1826121476776499</v>
      </c>
      <c r="CF18" s="4">
        <f t="shared" si="16"/>
        <v>2.2788240586342767E-3</v>
      </c>
      <c r="CG18" s="4">
        <f t="shared" si="17"/>
        <v>0</v>
      </c>
      <c r="CH18" s="4">
        <f t="shared" si="17"/>
        <v>0</v>
      </c>
      <c r="CI18" s="4">
        <f>BW18</f>
        <v>5.690003266731288E-3</v>
      </c>
      <c r="CK18" s="69">
        <f t="shared" si="18"/>
        <v>1.3510310736814075</v>
      </c>
      <c r="CL18" s="69">
        <f t="shared" si="18"/>
        <v>0</v>
      </c>
      <c r="CM18" s="69">
        <f t="shared" si="19"/>
        <v>3.9638279530727059E-4</v>
      </c>
      <c r="CN18" s="69">
        <f t="shared" si="19"/>
        <v>1.0010366162077545E-4</v>
      </c>
      <c r="CO18" s="69">
        <f t="shared" si="20"/>
        <v>0.14026223484215802</v>
      </c>
      <c r="CP18" s="69">
        <f t="shared" si="20"/>
        <v>2.2132300549029074E-3</v>
      </c>
      <c r="CQ18" s="69">
        <f t="shared" si="20"/>
        <v>1.1826121476776499</v>
      </c>
      <c r="CR18" s="69">
        <f t="shared" si="20"/>
        <v>2.2788240586342767E-3</v>
      </c>
      <c r="CS18" s="69">
        <f t="shared" si="20"/>
        <v>0</v>
      </c>
      <c r="CT18" s="69">
        <f t="shared" si="20"/>
        <v>0</v>
      </c>
      <c r="CU18" s="69">
        <f t="shared" si="20"/>
        <v>5.690003266731288E-3</v>
      </c>
      <c r="CV18" s="69">
        <f t="shared" si="21"/>
        <v>2.684584000038412</v>
      </c>
      <c r="CW18" s="16">
        <f t="shared" si="22"/>
        <v>1.489988765463389</v>
      </c>
      <c r="CY18" s="23">
        <f t="shared" si="23"/>
        <v>1.0065105607886187</v>
      </c>
      <c r="CZ18" s="23">
        <f t="shared" si="23"/>
        <v>0</v>
      </c>
      <c r="DA18" s="23">
        <f t="shared" si="23"/>
        <v>3.9373727455387157E-4</v>
      </c>
      <c r="DB18" s="23">
        <f t="shared" si="23"/>
        <v>9.9435554131136023E-5</v>
      </c>
      <c r="DC18" s="23">
        <f t="shared" si="23"/>
        <v>0.20898915413360297</v>
      </c>
      <c r="DD18" s="23">
        <f t="shared" si="23"/>
        <v>3.2976879171912514E-3</v>
      </c>
      <c r="DE18" s="23">
        <f t="shared" si="23"/>
        <v>1.7620788139402286</v>
      </c>
      <c r="DF18" s="23">
        <f t="shared" si="23"/>
        <v>3.3954222458327556E-3</v>
      </c>
      <c r="DG18" s="23">
        <f t="shared" si="23"/>
        <v>0</v>
      </c>
      <c r="DH18" s="23">
        <f t="shared" si="23"/>
        <v>0</v>
      </c>
      <c r="DI18" s="23">
        <f t="shared" si="23"/>
        <v>8.4780409428796017E-3</v>
      </c>
      <c r="DJ18" s="16">
        <f t="shared" si="24"/>
        <v>0.89397161461771846</v>
      </c>
      <c r="DL18" s="4">
        <f t="shared" si="25"/>
        <v>0.87637102008887713</v>
      </c>
      <c r="DM18" s="4">
        <f t="shared" si="26"/>
        <v>7.9884805609465974E-3</v>
      </c>
      <c r="DN18" s="4">
        <f t="shared" si="27"/>
        <v>6.632988308486687E-2</v>
      </c>
      <c r="DO18" s="4">
        <f t="shared" si="28"/>
        <v>5.4345966687106718E-3</v>
      </c>
      <c r="DP18" s="4">
        <f t="shared" si="29"/>
        <v>3.6857635989087471E-2</v>
      </c>
      <c r="DQ18" s="4">
        <f t="shared" si="30"/>
        <v>1.0995665240918903E-3</v>
      </c>
      <c r="DR18" s="4">
        <f t="shared" si="31"/>
        <v>0.34984120682810638</v>
      </c>
      <c r="DS18" s="4">
        <f t="shared" si="32"/>
        <v>0.3490735952351231</v>
      </c>
      <c r="DT18" s="4">
        <f t="shared" si="33"/>
        <v>2.8816426484000013E-2</v>
      </c>
      <c r="DU18" s="4">
        <f t="shared" si="34"/>
        <v>0</v>
      </c>
      <c r="DV18" s="4">
        <f t="shared" si="35"/>
        <v>8.836240367159177E-4</v>
      </c>
      <c r="DX18" s="69">
        <f t="shared" si="54"/>
        <v>1.7527420401777543</v>
      </c>
      <c r="DY18" s="69">
        <f t="shared" si="54"/>
        <v>1.5976961121893195E-2</v>
      </c>
      <c r="DZ18" s="69">
        <f t="shared" si="36"/>
        <v>0.19898964925460061</v>
      </c>
      <c r="EA18" s="69">
        <f t="shared" si="36"/>
        <v>1.6303790006132017E-2</v>
      </c>
      <c r="EB18" s="69">
        <f t="shared" si="37"/>
        <v>3.6857635989087471E-2</v>
      </c>
      <c r="EC18" s="69">
        <f t="shared" si="37"/>
        <v>1.0995665240918903E-3</v>
      </c>
      <c r="ED18" s="69">
        <f t="shared" si="37"/>
        <v>0.34984120682810638</v>
      </c>
      <c r="EE18" s="69">
        <f t="shared" si="37"/>
        <v>0.3490735952351231</v>
      </c>
      <c r="EF18" s="69">
        <f t="shared" si="37"/>
        <v>2.8816426484000013E-2</v>
      </c>
      <c r="EG18" s="69">
        <f t="shared" si="37"/>
        <v>0</v>
      </c>
      <c r="EH18" s="69">
        <f t="shared" si="37"/>
        <v>8.836240367159177E-4</v>
      </c>
      <c r="EI18" s="69">
        <f t="shared" si="38"/>
        <v>2.7505844956575052</v>
      </c>
      <c r="EJ18" s="69">
        <f t="shared" si="39"/>
        <v>2.1813545482687484</v>
      </c>
      <c r="EL18" s="23">
        <f t="shared" si="40"/>
        <v>1.9116759106417949</v>
      </c>
      <c r="EM18" s="23">
        <f t="shared" si="40"/>
        <v>1.7425708405377344E-2</v>
      </c>
      <c r="EN18" s="23">
        <f t="shared" si="41"/>
        <v>0.28937798430661732</v>
      </c>
      <c r="EO18" s="23">
        <f t="shared" si="41"/>
        <v>2.3709564322596424E-2</v>
      </c>
      <c r="EP18" s="23">
        <f t="shared" si="42"/>
        <v>8.0399571903229869E-2</v>
      </c>
      <c r="EQ18" s="23">
        <f t="shared" si="42"/>
        <v>2.3985444384519031E-3</v>
      </c>
      <c r="ER18" s="23">
        <f t="shared" si="42"/>
        <v>0.76312770768631777</v>
      </c>
      <c r="ES18" s="23">
        <f t="shared" si="42"/>
        <v>0.76145327464665991</v>
      </c>
      <c r="ET18" s="23">
        <f t="shared" si="43"/>
        <v>0.12571768595145089</v>
      </c>
      <c r="EU18" s="23">
        <f t="shared" si="43"/>
        <v>0</v>
      </c>
      <c r="EV18" s="23">
        <f t="shared" si="44"/>
        <v>1.9274973114498585E-3</v>
      </c>
      <c r="EX18" s="14">
        <f t="shared" si="45"/>
        <v>-5.4128006847000183</v>
      </c>
      <c r="EY18" s="4">
        <f t="shared" si="46"/>
        <v>-1.7201580224261541</v>
      </c>
      <c r="EZ18" s="4">
        <f t="shared" si="47"/>
        <v>-1.6704564441929084</v>
      </c>
      <c r="FA18" s="4">
        <f t="shared" si="48"/>
        <v>-1.6704564441929084</v>
      </c>
      <c r="FC18" s="4">
        <f t="shared" si="49"/>
        <v>-1.6704560923600209</v>
      </c>
    </row>
    <row r="19" spans="1:159" x14ac:dyDescent="0.2">
      <c r="A19" s="24" t="s">
        <v>96</v>
      </c>
      <c r="B19" s="24" t="s">
        <v>122</v>
      </c>
      <c r="C19" s="98">
        <v>41.345500000000001</v>
      </c>
      <c r="D19" s="98">
        <v>0</v>
      </c>
      <c r="E19" s="90">
        <f t="shared" si="50"/>
        <v>4.9314504567944707E-3</v>
      </c>
      <c r="F19" s="98">
        <v>2.4553943084192854E-3</v>
      </c>
      <c r="G19" s="98">
        <v>9.3030000000000008</v>
      </c>
      <c r="H19" s="98">
        <v>0.11899999999999999</v>
      </c>
      <c r="I19" s="98">
        <v>48.461500000000001</v>
      </c>
      <c r="J19" s="92">
        <f t="shared" si="51"/>
        <v>1.5165976494356027E-3</v>
      </c>
      <c r="K19" s="98">
        <v>0</v>
      </c>
      <c r="L19" s="98">
        <v>0</v>
      </c>
      <c r="M19" s="98">
        <v>0.35899999999999999</v>
      </c>
      <c r="N19" s="105">
        <v>26.1</v>
      </c>
      <c r="O19" s="123">
        <v>10.839060683360396</v>
      </c>
      <c r="P19" s="11"/>
      <c r="Q19" s="100">
        <v>52.048999999999999</v>
      </c>
      <c r="R19" s="100">
        <v>0.17399999999999999</v>
      </c>
      <c r="S19" s="100">
        <v>4.7069999999999999</v>
      </c>
      <c r="T19" s="100">
        <v>0.83199999999999996</v>
      </c>
      <c r="U19" s="100">
        <v>2.1589999999999998</v>
      </c>
      <c r="V19" s="100">
        <v>7.3999999999999996E-2</v>
      </c>
      <c r="W19" s="100">
        <v>15.047000000000001</v>
      </c>
      <c r="X19" s="100">
        <v>22.271999999999998</v>
      </c>
      <c r="Y19" s="100">
        <v>0.95799999999999996</v>
      </c>
      <c r="Z19" s="100">
        <v>0</v>
      </c>
      <c r="AA19" s="100">
        <v>4.2999999999999997E-2</v>
      </c>
      <c r="AC19" s="99">
        <v>54.285999999999994</v>
      </c>
      <c r="AD19" s="99">
        <v>14.0335</v>
      </c>
      <c r="AF19" s="83">
        <f t="shared" si="55"/>
        <v>0.14778920455429109</v>
      </c>
      <c r="AG19" s="22">
        <f t="shared" si="0"/>
        <v>9.0842030298686054E-5</v>
      </c>
      <c r="AH19" s="126">
        <f t="shared" si="52"/>
        <v>831.54811534354417</v>
      </c>
      <c r="AI19" s="126">
        <f t="shared" si="1"/>
        <v>831.54812233357598</v>
      </c>
      <c r="AJ19" s="126">
        <f t="shared" si="2"/>
        <v>-6.9900318067084299E-6</v>
      </c>
      <c r="AK19" s="12"/>
      <c r="AL19" s="25">
        <f t="shared" si="53"/>
        <v>9.1178414936509107</v>
      </c>
      <c r="AN19" s="4">
        <v>15.999000000000001</v>
      </c>
      <c r="AO19" s="4">
        <v>28.085000000000001</v>
      </c>
      <c r="AP19" s="4">
        <v>47.866999999999997</v>
      </c>
      <c r="AQ19" s="4">
        <v>26.9815386</v>
      </c>
      <c r="AR19" s="4">
        <v>51.996099999999998</v>
      </c>
      <c r="AS19" s="4">
        <v>55.844999999999999</v>
      </c>
      <c r="AT19" s="4">
        <v>54.938045000000002</v>
      </c>
      <c r="AU19" s="4">
        <v>24.305</v>
      </c>
      <c r="AV19" s="4">
        <v>40.078000000000003</v>
      </c>
      <c r="AW19" s="4">
        <v>22.989769280000001</v>
      </c>
      <c r="AX19" s="4">
        <v>39.098300000000002</v>
      </c>
      <c r="AY19" s="4">
        <v>58.693399999999997</v>
      </c>
      <c r="BA19" s="4">
        <f t="shared" ref="BA19:BA20" si="56">AN19*2+AO19</f>
        <v>60.082999999999998</v>
      </c>
      <c r="BB19" s="4">
        <f t="shared" ref="BB19:BB20" si="57">AN19*2+AP19</f>
        <v>79.864999999999995</v>
      </c>
      <c r="BC19" s="4">
        <f t="shared" ref="BC19:BC20" si="58">AQ19*2+AN19*3</f>
        <v>101.9600772</v>
      </c>
      <c r="BD19" s="4">
        <f t="shared" ref="BD19:BD20" si="59">AR19*2+AN19*3</f>
        <v>151.98919999999998</v>
      </c>
      <c r="BE19" s="4">
        <f t="shared" ref="BE19:BE20" si="60">AS19+AN19</f>
        <v>71.843999999999994</v>
      </c>
      <c r="BF19" s="4">
        <f t="shared" ref="BF19:BF20" si="61">AT19+AN19</f>
        <v>70.937044999999998</v>
      </c>
      <c r="BG19" s="4">
        <f t="shared" ref="BG19:BG20" si="62">AU19+AN19</f>
        <v>40.304000000000002</v>
      </c>
      <c r="BH19" s="4">
        <f t="shared" ref="BH19:BH20" si="63">AV19+AN19</f>
        <v>56.077000000000005</v>
      </c>
      <c r="BI19" s="4">
        <f t="shared" ref="BI19:BI20" si="64">AW19*2+AN19</f>
        <v>61.978538560000004</v>
      </c>
      <c r="BJ19" s="4">
        <f t="shared" ref="BJ19:BJ20" si="65">AX19*2+AN19</f>
        <v>94.195599999999999</v>
      </c>
      <c r="BK19" s="4">
        <f t="shared" ref="BK19:BK20" si="66">AY19+AN19</f>
        <v>74.692399999999992</v>
      </c>
      <c r="BM19" s="4">
        <f t="shared" si="3"/>
        <v>0.68813974002629696</v>
      </c>
      <c r="BN19" s="4">
        <f t="shared" si="4"/>
        <v>0</v>
      </c>
      <c r="BO19" s="4">
        <f t="shared" si="5"/>
        <v>4.8366484139877355E-5</v>
      </c>
      <c r="BP19" s="4">
        <f t="shared" si="6"/>
        <v>1.6155057783179893E-5</v>
      </c>
      <c r="BQ19" s="4">
        <f t="shared" si="7"/>
        <v>0.12948889260063473</v>
      </c>
      <c r="BR19" s="4">
        <f t="shared" si="8"/>
        <v>1.6775437995760888E-3</v>
      </c>
      <c r="BS19" s="4">
        <f t="shared" si="9"/>
        <v>1.2023992655815801</v>
      </c>
      <c r="BT19" s="4">
        <f t="shared" si="10"/>
        <v>2.7044914125855565E-5</v>
      </c>
      <c r="BU19" s="4">
        <f t="shared" si="11"/>
        <v>0</v>
      </c>
      <c r="BV19" s="4">
        <f t="shared" si="12"/>
        <v>0</v>
      </c>
      <c r="BW19" s="4">
        <f t="shared" si="13"/>
        <v>4.80637923001537E-3</v>
      </c>
      <c r="BY19" s="4">
        <f t="shared" si="14"/>
        <v>0.68813974002629696</v>
      </c>
      <c r="BZ19" s="4">
        <f t="shared" si="14"/>
        <v>0</v>
      </c>
      <c r="CA19" s="4">
        <f t="shared" si="15"/>
        <v>9.6732968279754711E-5</v>
      </c>
      <c r="CB19" s="4">
        <f t="shared" si="15"/>
        <v>3.2310115566359787E-5</v>
      </c>
      <c r="CC19" s="4">
        <f t="shared" si="16"/>
        <v>0.12948889260063473</v>
      </c>
      <c r="CD19" s="4">
        <f t="shared" si="16"/>
        <v>1.6775437995760888E-3</v>
      </c>
      <c r="CE19" s="4">
        <f t="shared" si="16"/>
        <v>1.2023992655815801</v>
      </c>
      <c r="CF19" s="4">
        <f t="shared" si="16"/>
        <v>2.7044914125855565E-5</v>
      </c>
      <c r="CG19" s="4">
        <f t="shared" si="17"/>
        <v>0</v>
      </c>
      <c r="CH19" s="4">
        <f t="shared" si="17"/>
        <v>0</v>
      </c>
      <c r="CI19" s="4">
        <f t="shared" ref="CI19:CI20" si="67">BW19</f>
        <v>4.80637923001537E-3</v>
      </c>
      <c r="CK19" s="69">
        <f t="shared" si="18"/>
        <v>1.3762794800525939</v>
      </c>
      <c r="CL19" s="69">
        <f t="shared" si="18"/>
        <v>0</v>
      </c>
      <c r="CM19" s="69">
        <f t="shared" si="19"/>
        <v>1.4509945241963207E-4</v>
      </c>
      <c r="CN19" s="69">
        <f t="shared" si="19"/>
        <v>4.8465173349539683E-5</v>
      </c>
      <c r="CO19" s="69">
        <f t="shared" si="20"/>
        <v>0.12948889260063473</v>
      </c>
      <c r="CP19" s="69">
        <f t="shared" si="20"/>
        <v>1.6775437995760888E-3</v>
      </c>
      <c r="CQ19" s="69">
        <f t="shared" si="20"/>
        <v>1.2023992655815801</v>
      </c>
      <c r="CR19" s="69">
        <f t="shared" si="20"/>
        <v>2.7044914125855565E-5</v>
      </c>
      <c r="CS19" s="69">
        <f t="shared" si="20"/>
        <v>0</v>
      </c>
      <c r="CT19" s="69">
        <f t="shared" si="20"/>
        <v>0</v>
      </c>
      <c r="CU19" s="69">
        <f t="shared" si="20"/>
        <v>4.80637923001537E-3</v>
      </c>
      <c r="CV19" s="69">
        <f t="shared" si="21"/>
        <v>2.7148721708042953</v>
      </c>
      <c r="CW19" s="16">
        <f t="shared" si="22"/>
        <v>1.4733658707824091</v>
      </c>
      <c r="CY19" s="23">
        <f t="shared" si="23"/>
        <v>1.0138816072838257</v>
      </c>
      <c r="CZ19" s="23">
        <f t="shared" si="23"/>
        <v>0</v>
      </c>
      <c r="DA19" s="23">
        <f t="shared" si="23"/>
        <v>1.4252305404286795E-4</v>
      </c>
      <c r="DB19" s="23">
        <f t="shared" si="23"/>
        <v>4.7604621556509956E-5</v>
      </c>
      <c r="DC19" s="23">
        <f t="shared" si="23"/>
        <v>0.19078451500318405</v>
      </c>
      <c r="DD19" s="23">
        <f t="shared" si="23"/>
        <v>2.4716357810380552E-3</v>
      </c>
      <c r="DE19" s="23">
        <f t="shared" si="23"/>
        <v>1.771574040961734</v>
      </c>
      <c r="DF19" s="23">
        <f t="shared" si="23"/>
        <v>3.9847053451276662E-5</v>
      </c>
      <c r="DG19" s="23">
        <f t="shared" si="23"/>
        <v>0</v>
      </c>
      <c r="DH19" s="23">
        <f t="shared" si="23"/>
        <v>0</v>
      </c>
      <c r="DI19" s="23">
        <f t="shared" si="23"/>
        <v>7.0815551195420809E-3</v>
      </c>
      <c r="DJ19" s="16">
        <f t="shared" si="24"/>
        <v>0.90277795338509237</v>
      </c>
      <c r="DL19" s="4">
        <f t="shared" si="25"/>
        <v>0.86628497245477087</v>
      </c>
      <c r="DM19" s="4">
        <f t="shared" si="26"/>
        <v>2.1786765166217992E-3</v>
      </c>
      <c r="DN19" s="4">
        <f t="shared" si="27"/>
        <v>4.6165127854571691E-2</v>
      </c>
      <c r="DO19" s="4">
        <f t="shared" si="28"/>
        <v>5.474073157829636E-3</v>
      </c>
      <c r="DP19" s="4">
        <f t="shared" si="29"/>
        <v>3.005122209231112E-2</v>
      </c>
      <c r="DQ19" s="4">
        <f t="shared" si="30"/>
        <v>1.0431784972153831E-3</v>
      </c>
      <c r="DR19" s="4">
        <f t="shared" si="31"/>
        <v>0.3733376339817388</v>
      </c>
      <c r="DS19" s="4">
        <f t="shared" si="32"/>
        <v>0.39716817946751781</v>
      </c>
      <c r="DT19" s="4">
        <f t="shared" si="33"/>
        <v>1.5456963365997766E-2</v>
      </c>
      <c r="DU19" s="4">
        <f t="shared" si="34"/>
        <v>0</v>
      </c>
      <c r="DV19" s="4">
        <f t="shared" si="35"/>
        <v>5.7569444816340089E-4</v>
      </c>
      <c r="DX19" s="69">
        <f t="shared" si="54"/>
        <v>1.7325699449095417</v>
      </c>
      <c r="DY19" s="69">
        <f t="shared" si="54"/>
        <v>4.3573530332435984E-3</v>
      </c>
      <c r="DZ19" s="69">
        <f t="shared" si="36"/>
        <v>0.13849538356371507</v>
      </c>
      <c r="EA19" s="69">
        <f t="shared" si="36"/>
        <v>1.642221947348891E-2</v>
      </c>
      <c r="EB19" s="69">
        <f t="shared" si="37"/>
        <v>3.005122209231112E-2</v>
      </c>
      <c r="EC19" s="69">
        <f t="shared" si="37"/>
        <v>1.0431784972153831E-3</v>
      </c>
      <c r="ED19" s="69">
        <f t="shared" si="37"/>
        <v>0.3733376339817388</v>
      </c>
      <c r="EE19" s="69">
        <f t="shared" si="37"/>
        <v>0.39716817946751781</v>
      </c>
      <c r="EF19" s="69">
        <f t="shared" si="37"/>
        <v>1.5456963365997766E-2</v>
      </c>
      <c r="EG19" s="69">
        <f t="shared" si="37"/>
        <v>0</v>
      </c>
      <c r="EH19" s="69">
        <f t="shared" si="37"/>
        <v>5.7569444816340089E-4</v>
      </c>
      <c r="EI19" s="69">
        <f t="shared" si="38"/>
        <v>2.7094777728329333</v>
      </c>
      <c r="EJ19" s="69">
        <f t="shared" si="39"/>
        <v>2.214448872827111</v>
      </c>
      <c r="EL19" s="23">
        <f t="shared" si="40"/>
        <v>1.9183437807995323</v>
      </c>
      <c r="EM19" s="23">
        <f t="shared" si="40"/>
        <v>4.8245677564880398E-3</v>
      </c>
      <c r="EN19" s="23">
        <f t="shared" si="41"/>
        <v>0.20446063068295151</v>
      </c>
      <c r="EO19" s="23">
        <f t="shared" si="41"/>
        <v>2.4244110268257964E-2</v>
      </c>
      <c r="EP19" s="23">
        <f t="shared" si="42"/>
        <v>6.6546894889395539E-2</v>
      </c>
      <c r="EQ19" s="23">
        <f t="shared" si="42"/>
        <v>2.3100654473160848E-3</v>
      </c>
      <c r="ER19" s="23">
        <f t="shared" si="42"/>
        <v>0.82673710275480206</v>
      </c>
      <c r="ES19" s="23">
        <f t="shared" si="42"/>
        <v>0.87950862734464053</v>
      </c>
      <c r="ET19" s="23">
        <f t="shared" si="43"/>
        <v>6.8457310206327393E-2</v>
      </c>
      <c r="EU19" s="23">
        <f t="shared" si="43"/>
        <v>0</v>
      </c>
      <c r="EV19" s="23">
        <f t="shared" si="44"/>
        <v>1.2748459218282688E-3</v>
      </c>
      <c r="EX19" s="14">
        <f t="shared" si="45"/>
        <v>-10.002070190980241</v>
      </c>
      <c r="EY19" s="4">
        <f t="shared" si="46"/>
        <v>5.4327161483474411</v>
      </c>
      <c r="EZ19" s="4">
        <f t="shared" si="47"/>
        <v>9.1178414936509107</v>
      </c>
      <c r="FA19" s="4">
        <f t="shared" si="48"/>
        <v>9.1178414936509107</v>
      </c>
      <c r="FC19" s="4">
        <f t="shared" si="49"/>
        <v>9.1178413302598162</v>
      </c>
    </row>
    <row r="20" spans="1:159" x14ac:dyDescent="0.2">
      <c r="A20" s="24" t="s">
        <v>97</v>
      </c>
      <c r="B20" s="24" t="s">
        <v>122</v>
      </c>
      <c r="C20" s="98">
        <v>40.441000000000003</v>
      </c>
      <c r="D20" s="98">
        <v>0</v>
      </c>
      <c r="E20" s="90">
        <f t="shared" si="50"/>
        <v>1.0014056483145859E-2</v>
      </c>
      <c r="F20" s="98">
        <v>3.9607848665573001E-3</v>
      </c>
      <c r="G20" s="98">
        <v>10.3565</v>
      </c>
      <c r="H20" s="98">
        <v>0.14450000000000002</v>
      </c>
      <c r="I20" s="98">
        <v>48.108999999999995</v>
      </c>
      <c r="J20" s="92">
        <f t="shared" si="51"/>
        <v>1.6218371454088717E-2</v>
      </c>
      <c r="K20" s="98">
        <v>0</v>
      </c>
      <c r="L20" s="98">
        <v>2.5999999999999999E-2</v>
      </c>
      <c r="M20" s="98">
        <v>0.38100000000000001</v>
      </c>
      <c r="N20" s="105">
        <v>53</v>
      </c>
      <c r="O20" s="123">
        <v>115.9120300902273</v>
      </c>
      <c r="P20" s="11"/>
      <c r="Q20" s="100">
        <v>51.811999999999998</v>
      </c>
      <c r="R20" s="100">
        <v>0.64300000000000002</v>
      </c>
      <c r="S20" s="100">
        <v>7.1260000000000003</v>
      </c>
      <c r="T20" s="100">
        <v>0.73799999999999999</v>
      </c>
      <c r="U20" s="100">
        <v>2.5499999999999998</v>
      </c>
      <c r="V20" s="100">
        <v>7.6999999999999999E-2</v>
      </c>
      <c r="W20" s="100">
        <v>13.926</v>
      </c>
      <c r="X20" s="100">
        <v>19.971</v>
      </c>
      <c r="Y20" s="100">
        <v>1.853</v>
      </c>
      <c r="Z20" s="100">
        <v>0</v>
      </c>
      <c r="AA20" s="100">
        <v>2.5000000000000001E-2</v>
      </c>
      <c r="AC20" s="99">
        <v>59.662999999999997</v>
      </c>
      <c r="AD20" s="99">
        <v>8.5910000000000011</v>
      </c>
      <c r="AF20" s="83">
        <f t="shared" si="55"/>
        <v>8.8086582602500935E-2</v>
      </c>
      <c r="AG20" s="22">
        <f t="shared" si="0"/>
        <v>1.6784366329460233E-4</v>
      </c>
      <c r="AH20" s="126">
        <f t="shared" si="52"/>
        <v>910.42902070588093</v>
      </c>
      <c r="AI20" s="126">
        <f t="shared" si="1"/>
        <v>910.42905857267237</v>
      </c>
      <c r="AJ20" s="126">
        <f t="shared" si="2"/>
        <v>-3.7866791444685077E-5</v>
      </c>
      <c r="AK20" s="12"/>
      <c r="AL20" s="25">
        <f t="shared" si="53"/>
        <v>3.79206719129406</v>
      </c>
      <c r="AN20" s="4">
        <v>15.999000000000001</v>
      </c>
      <c r="AO20" s="4">
        <v>28.085000000000001</v>
      </c>
      <c r="AP20" s="4">
        <v>47.866999999999997</v>
      </c>
      <c r="AQ20" s="4">
        <v>26.9815386</v>
      </c>
      <c r="AR20" s="4">
        <v>51.996099999999998</v>
      </c>
      <c r="AS20" s="4">
        <v>55.844999999999999</v>
      </c>
      <c r="AT20" s="4">
        <v>54.938045000000002</v>
      </c>
      <c r="AU20" s="4">
        <v>24.305</v>
      </c>
      <c r="AV20" s="4">
        <v>40.078000000000003</v>
      </c>
      <c r="AW20" s="4">
        <v>22.989769280000001</v>
      </c>
      <c r="AX20" s="4">
        <v>39.098300000000002</v>
      </c>
      <c r="AY20" s="4">
        <v>58.693399999999997</v>
      </c>
      <c r="BA20" s="4">
        <f t="shared" si="56"/>
        <v>60.082999999999998</v>
      </c>
      <c r="BB20" s="4">
        <f t="shared" si="57"/>
        <v>79.864999999999995</v>
      </c>
      <c r="BC20" s="4">
        <f t="shared" si="58"/>
        <v>101.9600772</v>
      </c>
      <c r="BD20" s="4">
        <f t="shared" si="59"/>
        <v>151.98919999999998</v>
      </c>
      <c r="BE20" s="4">
        <f t="shared" si="60"/>
        <v>71.843999999999994</v>
      </c>
      <c r="BF20" s="4">
        <f t="shared" si="61"/>
        <v>70.937044999999998</v>
      </c>
      <c r="BG20" s="4">
        <f t="shared" si="62"/>
        <v>40.304000000000002</v>
      </c>
      <c r="BH20" s="4">
        <f t="shared" si="63"/>
        <v>56.077000000000005</v>
      </c>
      <c r="BI20" s="4">
        <f t="shared" si="64"/>
        <v>61.978538560000004</v>
      </c>
      <c r="BJ20" s="4">
        <f t="shared" si="65"/>
        <v>94.195599999999999</v>
      </c>
      <c r="BK20" s="4">
        <f t="shared" si="66"/>
        <v>74.692399999999992</v>
      </c>
      <c r="BM20" s="4">
        <f t="shared" si="3"/>
        <v>0.67308556496846039</v>
      </c>
      <c r="BN20" s="4">
        <f t="shared" si="4"/>
        <v>0</v>
      </c>
      <c r="BO20" s="4">
        <f t="shared" si="5"/>
        <v>9.8215465877911858E-5</v>
      </c>
      <c r="BP20" s="4">
        <f t="shared" si="6"/>
        <v>2.6059646781200906E-5</v>
      </c>
      <c r="BQ20" s="4">
        <f t="shared" si="7"/>
        <v>0.14415260842937477</v>
      </c>
      <c r="BR20" s="4">
        <f t="shared" si="8"/>
        <v>2.0370174709138226E-3</v>
      </c>
      <c r="BS20" s="4">
        <f t="shared" si="9"/>
        <v>1.1936532354108771</v>
      </c>
      <c r="BT20" s="4">
        <f t="shared" si="10"/>
        <v>2.8921610382311316E-4</v>
      </c>
      <c r="BU20" s="4">
        <f t="shared" si="11"/>
        <v>0</v>
      </c>
      <c r="BV20" s="4">
        <f t="shared" si="12"/>
        <v>2.760213852876355E-4</v>
      </c>
      <c r="BW20" s="4">
        <f t="shared" si="13"/>
        <v>5.1009205755873427E-3</v>
      </c>
      <c r="BY20" s="4">
        <f t="shared" si="14"/>
        <v>0.67308556496846039</v>
      </c>
      <c r="BZ20" s="4">
        <f t="shared" si="14"/>
        <v>0</v>
      </c>
      <c r="CA20" s="4">
        <f t="shared" si="15"/>
        <v>1.9643093175582372E-4</v>
      </c>
      <c r="CB20" s="4">
        <f t="shared" si="15"/>
        <v>5.2119293562401811E-5</v>
      </c>
      <c r="CC20" s="4">
        <f t="shared" si="16"/>
        <v>0.14415260842937477</v>
      </c>
      <c r="CD20" s="4">
        <f t="shared" si="16"/>
        <v>2.0370174709138226E-3</v>
      </c>
      <c r="CE20" s="4">
        <f t="shared" si="16"/>
        <v>1.1936532354108771</v>
      </c>
      <c r="CF20" s="4">
        <f t="shared" si="16"/>
        <v>2.8921610382311316E-4</v>
      </c>
      <c r="CG20" s="4">
        <f t="shared" si="17"/>
        <v>0</v>
      </c>
      <c r="CH20" s="4">
        <f t="shared" si="17"/>
        <v>5.52042770575271E-4</v>
      </c>
      <c r="CI20" s="4">
        <f t="shared" si="67"/>
        <v>5.1009205755873427E-3</v>
      </c>
      <c r="CK20" s="69">
        <f t="shared" si="18"/>
        <v>1.3461711299369208</v>
      </c>
      <c r="CL20" s="69">
        <f t="shared" si="18"/>
        <v>0</v>
      </c>
      <c r="CM20" s="69">
        <f t="shared" si="19"/>
        <v>2.9464639763373559E-4</v>
      </c>
      <c r="CN20" s="69">
        <f t="shared" si="19"/>
        <v>7.8178940343602717E-5</v>
      </c>
      <c r="CO20" s="69">
        <f t="shared" si="20"/>
        <v>0.14415260842937477</v>
      </c>
      <c r="CP20" s="69">
        <f t="shared" si="20"/>
        <v>2.0370174709138226E-3</v>
      </c>
      <c r="CQ20" s="69">
        <f t="shared" si="20"/>
        <v>1.1936532354108771</v>
      </c>
      <c r="CR20" s="69">
        <f t="shared" si="20"/>
        <v>2.8921610382311316E-4</v>
      </c>
      <c r="CS20" s="69">
        <f t="shared" si="20"/>
        <v>0</v>
      </c>
      <c r="CT20" s="69">
        <f t="shared" si="20"/>
        <v>2.760213852876355E-4</v>
      </c>
      <c r="CU20" s="69">
        <f t="shared" si="20"/>
        <v>5.1009205755873427E-3</v>
      </c>
      <c r="CV20" s="69">
        <f t="shared" si="21"/>
        <v>2.6920529746507622</v>
      </c>
      <c r="CW20" s="16">
        <f t="shared" si="22"/>
        <v>1.4858548615741549</v>
      </c>
      <c r="CY20" s="23">
        <f t="shared" si="23"/>
        <v>1.0001074589637735</v>
      </c>
      <c r="CZ20" s="23">
        <f t="shared" si="23"/>
        <v>0</v>
      </c>
      <c r="DA20" s="23">
        <f t="shared" si="23"/>
        <v>2.918678549129317E-4</v>
      </c>
      <c r="DB20" s="23">
        <f t="shared" si="23"/>
        <v>7.7441705721505288E-5</v>
      </c>
      <c r="DC20" s="23">
        <f t="shared" si="23"/>
        <v>0.21418985404338201</v>
      </c>
      <c r="DD20" s="23">
        <f t="shared" si="23"/>
        <v>3.0267123122687928E-3</v>
      </c>
      <c r="DE20" s="23">
        <f t="shared" si="23"/>
        <v>1.773595462868971</v>
      </c>
      <c r="DF20" s="23">
        <f t="shared" si="23"/>
        <v>4.2973315391110821E-4</v>
      </c>
      <c r="DG20" s="23">
        <f t="shared" si="23"/>
        <v>0</v>
      </c>
      <c r="DH20" s="23">
        <f t="shared" si="23"/>
        <v>8.202554344561323E-4</v>
      </c>
      <c r="DI20" s="23">
        <f t="shared" si="23"/>
        <v>7.5792276357400899E-3</v>
      </c>
      <c r="DJ20" s="16">
        <f t="shared" si="24"/>
        <v>0.89224698853491624</v>
      </c>
      <c r="DL20" s="4">
        <f t="shared" si="25"/>
        <v>0.86234042907311548</v>
      </c>
      <c r="DM20" s="4">
        <f t="shared" si="26"/>
        <v>8.0510862079759601E-3</v>
      </c>
      <c r="DN20" s="4">
        <f t="shared" si="27"/>
        <v>6.9890100083211781E-2</v>
      </c>
      <c r="DO20" s="4">
        <f t="shared" si="28"/>
        <v>4.8556081616325372E-3</v>
      </c>
      <c r="DP20" s="4">
        <f t="shared" si="29"/>
        <v>3.5493569400367464E-2</v>
      </c>
      <c r="DQ20" s="4">
        <f t="shared" si="30"/>
        <v>1.0854695173727635E-3</v>
      </c>
      <c r="DR20" s="4">
        <f t="shared" si="31"/>
        <v>0.34552401746724887</v>
      </c>
      <c r="DS20" s="4">
        <f t="shared" si="32"/>
        <v>0.35613531394332787</v>
      </c>
      <c r="DT20" s="4">
        <f t="shared" si="33"/>
        <v>2.9897445842582318E-2</v>
      </c>
      <c r="DU20" s="4">
        <f t="shared" si="34"/>
        <v>0</v>
      </c>
      <c r="DV20" s="4">
        <f t="shared" si="35"/>
        <v>3.3470607451360518E-4</v>
      </c>
      <c r="DX20" s="69">
        <f t="shared" si="54"/>
        <v>1.724680858146231</v>
      </c>
      <c r="DY20" s="69">
        <f t="shared" si="54"/>
        <v>1.610217241595192E-2</v>
      </c>
      <c r="DZ20" s="69">
        <f t="shared" si="36"/>
        <v>0.20967030024963534</v>
      </c>
      <c r="EA20" s="69">
        <f t="shared" si="36"/>
        <v>1.4566824484897611E-2</v>
      </c>
      <c r="EB20" s="69">
        <f t="shared" si="37"/>
        <v>3.5493569400367464E-2</v>
      </c>
      <c r="EC20" s="69">
        <f t="shared" si="37"/>
        <v>1.0854695173727635E-3</v>
      </c>
      <c r="ED20" s="69">
        <f t="shared" si="37"/>
        <v>0.34552401746724887</v>
      </c>
      <c r="EE20" s="69">
        <f t="shared" si="37"/>
        <v>0.35613531394332787</v>
      </c>
      <c r="EF20" s="69">
        <f t="shared" si="37"/>
        <v>2.9897445842582318E-2</v>
      </c>
      <c r="EG20" s="69">
        <f t="shared" si="37"/>
        <v>0</v>
      </c>
      <c r="EH20" s="69">
        <f t="shared" si="37"/>
        <v>3.3470607451360518E-4</v>
      </c>
      <c r="EI20" s="69">
        <f t="shared" si="38"/>
        <v>2.7334906775421288</v>
      </c>
      <c r="EJ20" s="69">
        <f t="shared" si="39"/>
        <v>2.1949955963980154</v>
      </c>
      <c r="EL20" s="23">
        <f t="shared" si="40"/>
        <v>1.8928334444114636</v>
      </c>
      <c r="EM20" s="23">
        <f t="shared" si="40"/>
        <v>1.7672098772728028E-2</v>
      </c>
      <c r="EN20" s="23">
        <f t="shared" si="41"/>
        <v>0.30681692382893289</v>
      </c>
      <c r="EO20" s="23">
        <f t="shared" si="41"/>
        <v>2.1316077065235365E-2</v>
      </c>
      <c r="EP20" s="23">
        <f t="shared" si="42"/>
        <v>7.7908228534253929E-2</v>
      </c>
      <c r="EQ20" s="23">
        <f t="shared" si="42"/>
        <v>2.382600810657495E-3</v>
      </c>
      <c r="ER20" s="23">
        <f t="shared" si="42"/>
        <v>0.75842369679036226</v>
      </c>
      <c r="ES20" s="23">
        <f t="shared" si="42"/>
        <v>0.78171544582742947</v>
      </c>
      <c r="ET20" s="23">
        <f t="shared" si="43"/>
        <v>0.13124952393603267</v>
      </c>
      <c r="EU20" s="23">
        <f t="shared" si="43"/>
        <v>0</v>
      </c>
      <c r="EV20" s="23">
        <f t="shared" si="44"/>
        <v>7.3467835964502936E-4</v>
      </c>
      <c r="EX20" s="14">
        <f t="shared" si="45"/>
        <v>-7.506081629537805</v>
      </c>
      <c r="EY20" s="4">
        <f t="shared" si="46"/>
        <v>2.0873551546807052</v>
      </c>
      <c r="EZ20" s="4">
        <f t="shared" si="47"/>
        <v>3.79206719129406</v>
      </c>
      <c r="FA20" s="4">
        <f t="shared" si="48"/>
        <v>3.79206719129406</v>
      </c>
      <c r="FC20" s="4">
        <f t="shared" si="49"/>
        <v>3.7920664202262353</v>
      </c>
    </row>
    <row r="21" spans="1:159" x14ac:dyDescent="0.2">
      <c r="A21" s="24" t="s">
        <v>98</v>
      </c>
      <c r="B21" s="24" t="s">
        <v>122</v>
      </c>
      <c r="C21" s="98">
        <v>40.387500000000003</v>
      </c>
      <c r="D21" s="98">
        <v>0</v>
      </c>
      <c r="E21" s="90">
        <f t="shared" si="50"/>
        <v>8.5780785723551314E-3</v>
      </c>
      <c r="F21" s="98">
        <v>3.6392451356928694E-3</v>
      </c>
      <c r="G21" s="98">
        <v>10.42</v>
      </c>
      <c r="H21" s="98">
        <v>0.14400000000000002</v>
      </c>
      <c r="I21" s="98">
        <v>48.1905</v>
      </c>
      <c r="J21" s="92">
        <f t="shared" si="51"/>
        <v>8.1971186329858337E-3</v>
      </c>
      <c r="K21" s="98">
        <v>0</v>
      </c>
      <c r="L21" s="98">
        <v>0</v>
      </c>
      <c r="M21" s="98">
        <v>0.38500000000000001</v>
      </c>
      <c r="N21" s="105">
        <v>45.4</v>
      </c>
      <c r="O21" s="123">
        <v>58.584467887512936</v>
      </c>
      <c r="P21" s="11"/>
      <c r="Q21" s="100">
        <v>51.743000000000002</v>
      </c>
      <c r="R21" s="100">
        <v>0.41499999999999998</v>
      </c>
      <c r="S21" s="100">
        <v>6.4740000000000002</v>
      </c>
      <c r="T21" s="100">
        <v>0.76500000000000001</v>
      </c>
      <c r="U21" s="100">
        <v>2.61</v>
      </c>
      <c r="V21" s="100">
        <v>9.4E-2</v>
      </c>
      <c r="W21" s="100">
        <v>14.135</v>
      </c>
      <c r="X21" s="100">
        <v>20.399000000000001</v>
      </c>
      <c r="Y21" s="100">
        <v>1.776</v>
      </c>
      <c r="Z21" s="100">
        <v>0</v>
      </c>
      <c r="AA21" s="100">
        <v>0.105</v>
      </c>
      <c r="AC21" s="99">
        <v>57.797333333333341</v>
      </c>
      <c r="AD21" s="99">
        <v>10.059000000000001</v>
      </c>
      <c r="AF21" s="83">
        <f t="shared" si="55"/>
        <v>0.1045460841166954</v>
      </c>
      <c r="AG21" s="22">
        <f t="shared" si="0"/>
        <v>1.4841651124080344E-4</v>
      </c>
      <c r="AH21" s="126">
        <f t="shared" si="52"/>
        <v>893.1928008839418</v>
      </c>
      <c r="AI21" s="126">
        <f t="shared" si="1"/>
        <v>893.19288233326893</v>
      </c>
      <c r="AJ21" s="126">
        <f t="shared" si="2"/>
        <v>-8.1449327126392745E-5</v>
      </c>
      <c r="AK21" s="12"/>
      <c r="AL21" s="25">
        <f t="shared" si="53"/>
        <v>5.4826555348585888</v>
      </c>
      <c r="AN21" s="4">
        <v>15.999000000000001</v>
      </c>
      <c r="AO21" s="4">
        <v>28.085000000000001</v>
      </c>
      <c r="AP21" s="4">
        <v>47.866999999999997</v>
      </c>
      <c r="AQ21" s="4">
        <v>26.9815386</v>
      </c>
      <c r="AR21" s="4">
        <v>51.996099999999998</v>
      </c>
      <c r="AS21" s="4">
        <v>55.844999999999999</v>
      </c>
      <c r="AT21" s="4">
        <v>54.938045000000002</v>
      </c>
      <c r="AU21" s="4">
        <v>24.305</v>
      </c>
      <c r="AV21" s="4">
        <v>40.078000000000003</v>
      </c>
      <c r="AW21" s="4">
        <v>22.989769280000001</v>
      </c>
      <c r="AX21" s="4">
        <v>39.098300000000002</v>
      </c>
      <c r="AY21" s="4">
        <v>58.693399999999997</v>
      </c>
      <c r="BA21" s="4">
        <f>AN21*2+AO21</f>
        <v>60.082999999999998</v>
      </c>
      <c r="BB21" s="4">
        <f>AN21*2+AP21</f>
        <v>79.864999999999995</v>
      </c>
      <c r="BC21" s="4">
        <f>AQ21*2+AN21*3</f>
        <v>101.9600772</v>
      </c>
      <c r="BD21" s="4">
        <f>AR21*2+AN21*3</f>
        <v>151.98919999999998</v>
      </c>
      <c r="BE21" s="4">
        <f>AS21+AN21</f>
        <v>71.843999999999994</v>
      </c>
      <c r="BF21" s="4">
        <f>AT21+AN21</f>
        <v>70.937044999999998</v>
      </c>
      <c r="BG21" s="4">
        <f>AU21+AN21</f>
        <v>40.304000000000002</v>
      </c>
      <c r="BH21" s="4">
        <f>AV21+AN21</f>
        <v>56.077000000000005</v>
      </c>
      <c r="BI21" s="4">
        <f>AW21*2+AN21</f>
        <v>61.978538560000004</v>
      </c>
      <c r="BJ21" s="4">
        <f>AX21*2+AN21</f>
        <v>94.195599999999999</v>
      </c>
      <c r="BK21" s="4">
        <f>AY21+AN21</f>
        <v>74.692399999999992</v>
      </c>
      <c r="BM21" s="4">
        <f t="shared" si="3"/>
        <v>0.67219513007006981</v>
      </c>
      <c r="BN21" s="4">
        <f t="shared" si="4"/>
        <v>0</v>
      </c>
      <c r="BO21" s="4">
        <f t="shared" si="5"/>
        <v>8.4131738695418837E-5</v>
      </c>
      <c r="BP21" s="4">
        <f t="shared" si="6"/>
        <v>2.3944103500070202E-5</v>
      </c>
      <c r="BQ21" s="4">
        <f t="shared" si="7"/>
        <v>0.14503646790267805</v>
      </c>
      <c r="BR21" s="4">
        <f t="shared" si="8"/>
        <v>2.029968967554259E-3</v>
      </c>
      <c r="BS21" s="4">
        <f t="shared" si="9"/>
        <v>1.19567536720921</v>
      </c>
      <c r="BT21" s="4">
        <f t="shared" si="10"/>
        <v>1.4617612627255082E-4</v>
      </c>
      <c r="BU21" s="4">
        <f t="shared" si="11"/>
        <v>0</v>
      </c>
      <c r="BV21" s="4">
        <f t="shared" si="12"/>
        <v>0</v>
      </c>
      <c r="BW21" s="4">
        <f t="shared" si="13"/>
        <v>5.1544735475095201E-3</v>
      </c>
      <c r="BY21" s="4">
        <f t="shared" si="14"/>
        <v>0.67219513007006981</v>
      </c>
      <c r="BZ21" s="4">
        <f t="shared" si="14"/>
        <v>0</v>
      </c>
      <c r="CA21" s="4">
        <f t="shared" si="15"/>
        <v>1.6826347739083767E-4</v>
      </c>
      <c r="CB21" s="4">
        <f t="shared" si="15"/>
        <v>4.7888207000140403E-5</v>
      </c>
      <c r="CC21" s="4">
        <f t="shared" si="16"/>
        <v>0.14503646790267805</v>
      </c>
      <c r="CD21" s="4">
        <f t="shared" si="16"/>
        <v>2.029968967554259E-3</v>
      </c>
      <c r="CE21" s="4">
        <f t="shared" si="16"/>
        <v>1.19567536720921</v>
      </c>
      <c r="CF21" s="4">
        <f t="shared" si="16"/>
        <v>1.4617612627255082E-4</v>
      </c>
      <c r="CG21" s="4">
        <f t="shared" si="17"/>
        <v>0</v>
      </c>
      <c r="CH21" s="4">
        <f t="shared" si="17"/>
        <v>0</v>
      </c>
      <c r="CI21" s="4">
        <f>BW21</f>
        <v>5.1544735475095201E-3</v>
      </c>
      <c r="CK21" s="69">
        <f t="shared" si="18"/>
        <v>1.3443902601401396</v>
      </c>
      <c r="CL21" s="69">
        <f t="shared" si="18"/>
        <v>0</v>
      </c>
      <c r="CM21" s="69">
        <f t="shared" si="19"/>
        <v>2.5239521608625651E-4</v>
      </c>
      <c r="CN21" s="69">
        <f t="shared" si="19"/>
        <v>7.1832310500210612E-5</v>
      </c>
      <c r="CO21" s="69">
        <f t="shared" si="20"/>
        <v>0.14503646790267805</v>
      </c>
      <c r="CP21" s="69">
        <f t="shared" si="20"/>
        <v>2.029968967554259E-3</v>
      </c>
      <c r="CQ21" s="69">
        <f t="shared" si="20"/>
        <v>1.19567536720921</v>
      </c>
      <c r="CR21" s="69">
        <f t="shared" si="20"/>
        <v>1.4617612627255082E-4</v>
      </c>
      <c r="CS21" s="69">
        <f t="shared" si="20"/>
        <v>0</v>
      </c>
      <c r="CT21" s="69">
        <f t="shared" si="20"/>
        <v>0</v>
      </c>
      <c r="CU21" s="69">
        <f t="shared" si="20"/>
        <v>5.1544735475095201E-3</v>
      </c>
      <c r="CV21" s="69">
        <f t="shared" si="21"/>
        <v>2.6927569414199506</v>
      </c>
      <c r="CW21" s="16">
        <f t="shared" si="22"/>
        <v>1.4854664149118157</v>
      </c>
      <c r="CY21" s="23">
        <f t="shared" si="23"/>
        <v>0.9985232899863683</v>
      </c>
      <c r="CZ21" s="23">
        <f t="shared" si="23"/>
        <v>0</v>
      </c>
      <c r="DA21" s="23">
        <f t="shared" si="23"/>
        <v>2.4994974452036302E-4</v>
      </c>
      <c r="DB21" s="23">
        <f t="shared" si="23"/>
        <v>7.113632316905348E-5</v>
      </c>
      <c r="DC21" s="23">
        <f t="shared" si="23"/>
        <v>0.21544680200686378</v>
      </c>
      <c r="DD21" s="23">
        <f t="shared" si="23"/>
        <v>3.0154507246150652E-3</v>
      </c>
      <c r="DE21" s="23">
        <f t="shared" si="23"/>
        <v>1.776135601126634</v>
      </c>
      <c r="DF21" s="23">
        <f t="shared" si="23"/>
        <v>2.1713972623978295E-4</v>
      </c>
      <c r="DG21" s="23">
        <f t="shared" si="23"/>
        <v>0</v>
      </c>
      <c r="DH21" s="23">
        <f t="shared" si="23"/>
        <v>0</v>
      </c>
      <c r="DI21" s="23">
        <f t="shared" si="23"/>
        <v>7.6567973413767558E-3</v>
      </c>
      <c r="DJ21" s="16">
        <f t="shared" si="24"/>
        <v>0.89182129663935261</v>
      </c>
      <c r="DL21" s="4">
        <f t="shared" si="25"/>
        <v>0.86119201770883613</v>
      </c>
      <c r="DM21" s="4">
        <f t="shared" si="26"/>
        <v>5.1962687034370503E-3</v>
      </c>
      <c r="DN21" s="4">
        <f t="shared" si="27"/>
        <v>6.3495440350647359E-2</v>
      </c>
      <c r="DO21" s="4">
        <f t="shared" si="28"/>
        <v>5.0332523626678742E-3</v>
      </c>
      <c r="DP21" s="4">
        <f t="shared" si="29"/>
        <v>3.6328712209787874E-2</v>
      </c>
      <c r="DQ21" s="4">
        <f t="shared" si="30"/>
        <v>1.3251186315979191E-3</v>
      </c>
      <c r="DR21" s="4">
        <f t="shared" si="31"/>
        <v>0.35070960698689951</v>
      </c>
      <c r="DS21" s="4">
        <f t="shared" si="32"/>
        <v>0.36376767658754927</v>
      </c>
      <c r="DT21" s="4">
        <f t="shared" si="33"/>
        <v>2.8655080311077278E-2</v>
      </c>
      <c r="DU21" s="4">
        <f t="shared" si="34"/>
        <v>0</v>
      </c>
      <c r="DV21" s="4">
        <f t="shared" si="35"/>
        <v>1.4057655129571416E-3</v>
      </c>
      <c r="DX21" s="69">
        <f t="shared" si="54"/>
        <v>1.7223840354176723</v>
      </c>
      <c r="DY21" s="69">
        <f t="shared" si="54"/>
        <v>1.0392537406874101E-2</v>
      </c>
      <c r="DZ21" s="69">
        <f t="shared" si="36"/>
        <v>0.19048632105194208</v>
      </c>
      <c r="EA21" s="69">
        <f t="shared" si="36"/>
        <v>1.5099757088003624E-2</v>
      </c>
      <c r="EB21" s="69">
        <f t="shared" si="37"/>
        <v>3.6328712209787874E-2</v>
      </c>
      <c r="EC21" s="69">
        <f t="shared" si="37"/>
        <v>1.3251186315979191E-3</v>
      </c>
      <c r="ED21" s="69">
        <f t="shared" si="37"/>
        <v>0.35070960698689951</v>
      </c>
      <c r="EE21" s="69">
        <f t="shared" si="37"/>
        <v>0.36376767658754927</v>
      </c>
      <c r="EF21" s="69">
        <f t="shared" si="37"/>
        <v>2.8655080311077278E-2</v>
      </c>
      <c r="EG21" s="69">
        <f t="shared" si="37"/>
        <v>0</v>
      </c>
      <c r="EH21" s="69">
        <f t="shared" si="37"/>
        <v>1.4057655129571416E-3</v>
      </c>
      <c r="EI21" s="69">
        <f t="shared" si="38"/>
        <v>2.7205546112043613</v>
      </c>
      <c r="EJ21" s="69">
        <f t="shared" si="39"/>
        <v>2.2054326626231049</v>
      </c>
      <c r="EL21" s="23">
        <f t="shared" si="40"/>
        <v>1.8993010046453627</v>
      </c>
      <c r="EM21" s="23">
        <f t="shared" si="40"/>
        <v>1.1460020722326283E-2</v>
      </c>
      <c r="EN21" s="23">
        <f t="shared" si="41"/>
        <v>0.28006983615390946</v>
      </c>
      <c r="EO21" s="23">
        <f t="shared" si="41"/>
        <v>2.2200998319705286E-2</v>
      </c>
      <c r="EP21" s="23">
        <f t="shared" si="42"/>
        <v>8.0120528498500973E-2</v>
      </c>
      <c r="EQ21" s="23">
        <f t="shared" si="42"/>
        <v>2.922459911976484E-3</v>
      </c>
      <c r="ER21" s="23">
        <f t="shared" si="42"/>
        <v>0.77346642234462049</v>
      </c>
      <c r="ES21" s="23">
        <f t="shared" si="42"/>
        <v>0.8022651155526993</v>
      </c>
      <c r="ET21" s="23">
        <f t="shared" si="43"/>
        <v>0.12639370013627613</v>
      </c>
      <c r="EU21" s="23">
        <f t="shared" si="43"/>
        <v>0</v>
      </c>
      <c r="EV21" s="23">
        <f t="shared" si="44"/>
        <v>3.1003211782648036E-3</v>
      </c>
      <c r="EX21" s="14">
        <f t="shared" si="45"/>
        <v>-8.2146533541954234</v>
      </c>
      <c r="EY21" s="4">
        <f t="shared" si="46"/>
        <v>3.216771556247076</v>
      </c>
      <c r="EZ21" s="4">
        <f t="shared" si="47"/>
        <v>5.4826555348585888</v>
      </c>
      <c r="FA21" s="4">
        <f t="shared" si="48"/>
        <v>5.4826555348585888</v>
      </c>
      <c r="FC21" s="4">
        <f t="shared" si="49"/>
        <v>5.4826538269474296</v>
      </c>
    </row>
    <row r="22" spans="1:159" x14ac:dyDescent="0.2">
      <c r="A22" s="24" t="s">
        <v>99</v>
      </c>
      <c r="B22" s="24" t="s">
        <v>123</v>
      </c>
      <c r="C22" s="98">
        <v>40.594000000000001</v>
      </c>
      <c r="D22" s="98">
        <v>0</v>
      </c>
      <c r="E22" s="90">
        <f t="shared" si="50"/>
        <v>1.231917891888887E-2</v>
      </c>
      <c r="F22" s="98">
        <v>2.1923163468029336E-2</v>
      </c>
      <c r="G22" s="98">
        <v>9.6720000000000006</v>
      </c>
      <c r="H22" s="98">
        <v>0.11</v>
      </c>
      <c r="I22" s="98">
        <v>48.75</v>
      </c>
      <c r="J22" s="92">
        <f t="shared" si="51"/>
        <v>0.17704933518572982</v>
      </c>
      <c r="K22" s="98">
        <v>0</v>
      </c>
      <c r="L22" s="98">
        <v>0</v>
      </c>
      <c r="M22" s="98">
        <v>0.34799999999999998</v>
      </c>
      <c r="N22" s="105">
        <v>65.2</v>
      </c>
      <c r="O22" s="123">
        <v>1265.3642769002765</v>
      </c>
      <c r="P22" s="11"/>
      <c r="Q22" s="100">
        <v>52.762</v>
      </c>
      <c r="R22" s="100">
        <v>8.2000000000000003E-2</v>
      </c>
      <c r="S22" s="100">
        <v>3.266</v>
      </c>
      <c r="T22" s="100">
        <v>3.3410000000000002</v>
      </c>
      <c r="U22" s="100">
        <v>3.1080000000000001</v>
      </c>
      <c r="V22" s="100">
        <v>0.14000000000000001</v>
      </c>
      <c r="W22" s="100">
        <v>15.923999999999999</v>
      </c>
      <c r="X22" s="100">
        <v>18.401</v>
      </c>
      <c r="Y22" s="100">
        <v>1.597</v>
      </c>
      <c r="Z22" s="100">
        <v>0</v>
      </c>
      <c r="AA22" s="100">
        <v>3.3000000000000002E-2</v>
      </c>
      <c r="AC22" s="99">
        <v>24.631</v>
      </c>
      <c r="AD22" s="99">
        <v>44.146500000000003</v>
      </c>
      <c r="AF22" s="83">
        <f t="shared" si="55"/>
        <v>0.54594004943029917</v>
      </c>
      <c r="AG22" s="22">
        <f t="shared" si="0"/>
        <v>5.0014936132876733E-4</v>
      </c>
      <c r="AH22" s="126">
        <f t="shared" si="52"/>
        <v>996.7844164419173</v>
      </c>
      <c r="AI22" s="126">
        <f t="shared" si="1"/>
        <v>996.78439858708589</v>
      </c>
      <c r="AJ22" s="126">
        <f t="shared" si="2"/>
        <v>1.7854831412478234E-5</v>
      </c>
      <c r="AK22" s="12"/>
      <c r="AL22" s="25">
        <f t="shared" si="53"/>
        <v>-1.7635633837881055</v>
      </c>
      <c r="AN22" s="4">
        <v>15.999000000000001</v>
      </c>
      <c r="AO22" s="4">
        <v>28.085000000000001</v>
      </c>
      <c r="AP22" s="4">
        <v>47.866999999999997</v>
      </c>
      <c r="AQ22" s="4">
        <v>26.9815386</v>
      </c>
      <c r="AR22" s="4">
        <v>51.996099999999998</v>
      </c>
      <c r="AS22" s="4">
        <v>55.844999999999999</v>
      </c>
      <c r="AT22" s="4">
        <v>54.938045000000002</v>
      </c>
      <c r="AU22" s="4">
        <v>24.305</v>
      </c>
      <c r="AV22" s="4">
        <v>40.078000000000003</v>
      </c>
      <c r="AW22" s="4">
        <v>22.989769280000001</v>
      </c>
      <c r="AX22" s="4">
        <v>39.098300000000002</v>
      </c>
      <c r="AY22" s="4">
        <v>58.693399999999997</v>
      </c>
      <c r="BA22" s="4">
        <f t="shared" ref="BA22" si="68">AN22*2+AO22</f>
        <v>60.082999999999998</v>
      </c>
      <c r="BB22" s="4">
        <f t="shared" ref="BB22" si="69">AN22*2+AP22</f>
        <v>79.864999999999995</v>
      </c>
      <c r="BC22" s="4">
        <f t="shared" ref="BC22" si="70">AQ22*2+AN22*3</f>
        <v>101.9600772</v>
      </c>
      <c r="BD22" s="4">
        <f t="shared" ref="BD22" si="71">AR22*2+AN22*3</f>
        <v>151.98919999999998</v>
      </c>
      <c r="BE22" s="4">
        <f t="shared" ref="BE22" si="72">AS22+AN22</f>
        <v>71.843999999999994</v>
      </c>
      <c r="BF22" s="4">
        <f t="shared" ref="BF22" si="73">AT22+AN22</f>
        <v>70.937044999999998</v>
      </c>
      <c r="BG22" s="4">
        <f t="shared" ref="BG22" si="74">AU22+AN22</f>
        <v>40.304000000000002</v>
      </c>
      <c r="BH22" s="4">
        <f t="shared" ref="BH22" si="75">AV22+AN22</f>
        <v>56.077000000000005</v>
      </c>
      <c r="BI22" s="4">
        <f t="shared" ref="BI22" si="76">AW22*2+AN22</f>
        <v>61.978538560000004</v>
      </c>
      <c r="BJ22" s="4">
        <f t="shared" ref="BJ22" si="77">AX22*2+AN22</f>
        <v>94.195599999999999</v>
      </c>
      <c r="BK22" s="4">
        <f t="shared" ref="BK22" si="78">AY22+AN22</f>
        <v>74.692399999999992</v>
      </c>
      <c r="BM22" s="4">
        <f t="shared" si="3"/>
        <v>0.67563204234142771</v>
      </c>
      <c r="BN22" s="4">
        <f t="shared" si="4"/>
        <v>0</v>
      </c>
      <c r="BO22" s="4">
        <f t="shared" si="5"/>
        <v>1.2082355424980857E-4</v>
      </c>
      <c r="BP22" s="4">
        <f t="shared" si="6"/>
        <v>1.442415873498205E-4</v>
      </c>
      <c r="BQ22" s="4">
        <f t="shared" si="7"/>
        <v>0.13462502087857026</v>
      </c>
      <c r="BR22" s="4">
        <f t="shared" si="8"/>
        <v>1.5506707391039478E-3</v>
      </c>
      <c r="BS22" s="4">
        <f t="shared" si="9"/>
        <v>1.2095573640333466</v>
      </c>
      <c r="BT22" s="4">
        <f t="shared" si="10"/>
        <v>3.157254046859315E-3</v>
      </c>
      <c r="BU22" s="4">
        <f t="shared" si="11"/>
        <v>0</v>
      </c>
      <c r="BV22" s="4">
        <f t="shared" si="12"/>
        <v>0</v>
      </c>
      <c r="BW22" s="4">
        <f t="shared" si="13"/>
        <v>4.6591085572293836E-3</v>
      </c>
      <c r="BY22" s="4">
        <f t="shared" si="14"/>
        <v>0.67563204234142771</v>
      </c>
      <c r="BZ22" s="4">
        <f t="shared" si="14"/>
        <v>0</v>
      </c>
      <c r="CA22" s="4">
        <f t="shared" si="15"/>
        <v>2.4164710849961714E-4</v>
      </c>
      <c r="CB22" s="4">
        <f t="shared" si="15"/>
        <v>2.8848317469964101E-4</v>
      </c>
      <c r="CC22" s="4">
        <f t="shared" si="16"/>
        <v>0.13462502087857026</v>
      </c>
      <c r="CD22" s="4">
        <f t="shared" si="16"/>
        <v>1.5506707391039478E-3</v>
      </c>
      <c r="CE22" s="4">
        <f t="shared" si="16"/>
        <v>1.2095573640333466</v>
      </c>
      <c r="CF22" s="4">
        <f t="shared" si="16"/>
        <v>3.157254046859315E-3</v>
      </c>
      <c r="CG22" s="4">
        <f t="shared" si="17"/>
        <v>0</v>
      </c>
      <c r="CH22" s="4">
        <f t="shared" si="17"/>
        <v>0</v>
      </c>
      <c r="CI22" s="4">
        <f t="shared" ref="CI22" si="79">BW22</f>
        <v>4.6591085572293836E-3</v>
      </c>
      <c r="CK22" s="69">
        <f t="shared" si="18"/>
        <v>1.3512640846828554</v>
      </c>
      <c r="CL22" s="69">
        <f t="shared" si="18"/>
        <v>0</v>
      </c>
      <c r="CM22" s="69">
        <f t="shared" si="19"/>
        <v>3.624706627494257E-4</v>
      </c>
      <c r="CN22" s="69">
        <f t="shared" si="19"/>
        <v>4.3272476204946151E-4</v>
      </c>
      <c r="CO22" s="69">
        <f t="shared" si="20"/>
        <v>0.13462502087857026</v>
      </c>
      <c r="CP22" s="69">
        <f t="shared" si="20"/>
        <v>1.5506707391039478E-3</v>
      </c>
      <c r="CQ22" s="69">
        <f t="shared" si="20"/>
        <v>1.2095573640333466</v>
      </c>
      <c r="CR22" s="69">
        <f t="shared" si="20"/>
        <v>3.157254046859315E-3</v>
      </c>
      <c r="CS22" s="69">
        <f t="shared" si="20"/>
        <v>0</v>
      </c>
      <c r="CT22" s="69">
        <f t="shared" si="20"/>
        <v>0</v>
      </c>
      <c r="CU22" s="69">
        <f t="shared" si="20"/>
        <v>4.6591085572293836E-3</v>
      </c>
      <c r="CV22" s="69">
        <f t="shared" si="21"/>
        <v>2.7056086983627634</v>
      </c>
      <c r="CW22" s="16">
        <f t="shared" si="22"/>
        <v>1.4784103859588076</v>
      </c>
      <c r="CY22" s="23">
        <f t="shared" si="23"/>
        <v>0.99886142848412751</v>
      </c>
      <c r="CZ22" s="23">
        <f t="shared" si="23"/>
        <v>0</v>
      </c>
      <c r="DA22" s="23">
        <f t="shared" si="23"/>
        <v>3.5725359494274885E-4</v>
      </c>
      <c r="DB22" s="23">
        <f t="shared" si="23"/>
        <v>4.2649652165031838E-4</v>
      </c>
      <c r="DC22" s="23">
        <f t="shared" si="23"/>
        <v>0.19903102907679959</v>
      </c>
      <c r="DD22" s="23">
        <f t="shared" si="23"/>
        <v>2.2925277258936971E-3</v>
      </c>
      <c r="DE22" s="23">
        <f t="shared" si="23"/>
        <v>1.7882221693998579</v>
      </c>
      <c r="DF22" s="23">
        <f t="shared" si="23"/>
        <v>4.6677171739872873E-3</v>
      </c>
      <c r="DG22" s="23">
        <f t="shared" si="23"/>
        <v>0</v>
      </c>
      <c r="DH22" s="23">
        <f t="shared" si="23"/>
        <v>0</v>
      </c>
      <c r="DI22" s="23">
        <f t="shared" si="23"/>
        <v>6.888074480317476E-3</v>
      </c>
      <c r="DJ22" s="16">
        <f t="shared" si="24"/>
        <v>0.89984616493289926</v>
      </c>
      <c r="DL22" s="4">
        <f t="shared" si="25"/>
        <v>0.87815188988565818</v>
      </c>
      <c r="DM22" s="4">
        <f t="shared" si="26"/>
        <v>1.0267326112815378E-3</v>
      </c>
      <c r="DN22" s="4">
        <f t="shared" si="27"/>
        <v>3.2032145224778236E-2</v>
      </c>
      <c r="DO22" s="4">
        <f t="shared" si="28"/>
        <v>2.1981825024409634E-2</v>
      </c>
      <c r="DP22" s="4">
        <f t="shared" si="29"/>
        <v>4.3260397527977286E-2</v>
      </c>
      <c r="DQ22" s="4">
        <f t="shared" si="30"/>
        <v>1.9735809406777518E-3</v>
      </c>
      <c r="DR22" s="4">
        <f t="shared" si="31"/>
        <v>0.39509726081778479</v>
      </c>
      <c r="DS22" s="4">
        <f t="shared" si="32"/>
        <v>0.32813809583251596</v>
      </c>
      <c r="DT22" s="4">
        <f t="shared" si="33"/>
        <v>2.5766983815760366E-2</v>
      </c>
      <c r="DU22" s="4">
        <f t="shared" si="34"/>
        <v>0</v>
      </c>
      <c r="DV22" s="4">
        <f t="shared" si="35"/>
        <v>4.4181201835795885E-4</v>
      </c>
      <c r="DX22" s="69">
        <f t="shared" si="54"/>
        <v>1.7563037797713164</v>
      </c>
      <c r="DY22" s="69">
        <f t="shared" si="54"/>
        <v>2.0534652225630756E-3</v>
      </c>
      <c r="DZ22" s="69">
        <f t="shared" si="36"/>
        <v>9.6096435674334707E-2</v>
      </c>
      <c r="EA22" s="69">
        <f t="shared" si="36"/>
        <v>6.5945475073228899E-2</v>
      </c>
      <c r="EB22" s="69">
        <f t="shared" si="37"/>
        <v>4.3260397527977286E-2</v>
      </c>
      <c r="EC22" s="69">
        <f t="shared" si="37"/>
        <v>1.9735809406777518E-3</v>
      </c>
      <c r="ED22" s="69">
        <f t="shared" si="37"/>
        <v>0.39509726081778479</v>
      </c>
      <c r="EE22" s="69">
        <f t="shared" si="37"/>
        <v>0.32813809583251596</v>
      </c>
      <c r="EF22" s="69">
        <f t="shared" si="37"/>
        <v>2.5766983815760366E-2</v>
      </c>
      <c r="EG22" s="69">
        <f t="shared" si="37"/>
        <v>0</v>
      </c>
      <c r="EH22" s="69">
        <f t="shared" si="37"/>
        <v>4.4181201835795885E-4</v>
      </c>
      <c r="EI22" s="69">
        <f t="shared" si="38"/>
        <v>2.715077286694517</v>
      </c>
      <c r="EJ22" s="69">
        <f t="shared" si="39"/>
        <v>2.2098818436600483</v>
      </c>
      <c r="EL22" s="23">
        <f t="shared" si="40"/>
        <v>1.9406119174340739</v>
      </c>
      <c r="EM22" s="23">
        <f t="shared" si="40"/>
        <v>2.2689577559647403E-3</v>
      </c>
      <c r="EN22" s="23">
        <f t="shared" si="41"/>
        <v>0.14157451229143866</v>
      </c>
      <c r="EO22" s="23">
        <f t="shared" si="41"/>
        <v>9.7154472023909894E-2</v>
      </c>
      <c r="EP22" s="23">
        <f t="shared" si="42"/>
        <v>9.5600367046593041E-2</v>
      </c>
      <c r="EQ22" s="23">
        <f t="shared" si="42"/>
        <v>4.3613806877972824E-3</v>
      </c>
      <c r="ER22" s="23">
        <f t="shared" si="42"/>
        <v>0.87311826316104124</v>
      </c>
      <c r="ES22" s="23">
        <f t="shared" si="42"/>
        <v>0.72514642019345799</v>
      </c>
      <c r="ET22" s="23">
        <f t="shared" si="43"/>
        <v>0.11388397940066228</v>
      </c>
      <c r="EU22" s="23">
        <f t="shared" si="43"/>
        <v>0</v>
      </c>
      <c r="EV22" s="23">
        <f t="shared" si="44"/>
        <v>9.7635235768005321E-4</v>
      </c>
      <c r="EX22" s="14">
        <f t="shared" si="45"/>
        <v>-5.0457034690257059</v>
      </c>
      <c r="EY22" s="4">
        <f t="shared" si="46"/>
        <v>-1.7635633837881055</v>
      </c>
      <c r="EZ22" s="4">
        <f t="shared" si="47"/>
        <v>-2.2877056131685487</v>
      </c>
      <c r="FA22" s="4">
        <f t="shared" si="48"/>
        <v>-1.7635633837881055</v>
      </c>
      <c r="FC22" s="4">
        <f t="shared" si="49"/>
        <v>-1.7635630679865268</v>
      </c>
    </row>
    <row r="23" spans="1:159" x14ac:dyDescent="0.2">
      <c r="A23" s="24" t="s">
        <v>100</v>
      </c>
      <c r="B23" s="24" t="s">
        <v>123</v>
      </c>
      <c r="C23" s="98">
        <v>40.826000000000001</v>
      </c>
      <c r="D23" s="98">
        <v>0</v>
      </c>
      <c r="E23" s="90">
        <f t="shared" si="50"/>
        <v>1.2338073365083482E-2</v>
      </c>
      <c r="F23" s="98">
        <v>2.30923988529909E-2</v>
      </c>
      <c r="G23" s="98">
        <v>10.183</v>
      </c>
      <c r="H23" s="98">
        <v>0.14899999999999999</v>
      </c>
      <c r="I23" s="98">
        <v>48.817</v>
      </c>
      <c r="J23" s="92">
        <f t="shared" si="51"/>
        <v>0.15038986583873371</v>
      </c>
      <c r="K23" s="98">
        <v>0</v>
      </c>
      <c r="L23" s="98">
        <v>0</v>
      </c>
      <c r="M23" s="98">
        <v>0.379</v>
      </c>
      <c r="N23" s="105">
        <v>65.3</v>
      </c>
      <c r="O23" s="123">
        <v>1074.8301519490647</v>
      </c>
      <c r="P23" s="11"/>
      <c r="Q23" s="100">
        <v>52.606000000000002</v>
      </c>
      <c r="R23" s="100">
        <v>6.7000000000000004E-2</v>
      </c>
      <c r="S23" s="100">
        <v>3.0009999999999999</v>
      </c>
      <c r="T23" s="100">
        <v>3.6949999999999998</v>
      </c>
      <c r="U23" s="100">
        <v>2.4689999999999999</v>
      </c>
      <c r="V23" s="100">
        <v>0.113</v>
      </c>
      <c r="W23" s="100">
        <v>15.279</v>
      </c>
      <c r="X23" s="100">
        <v>19.649999999999999</v>
      </c>
      <c r="Y23" s="100">
        <v>1.4830000000000001</v>
      </c>
      <c r="Z23" s="100">
        <v>0</v>
      </c>
      <c r="AA23" s="100"/>
      <c r="AC23" s="99">
        <v>24.324249999999999</v>
      </c>
      <c r="AD23" s="99">
        <v>45.135750000000002</v>
      </c>
      <c r="AF23" s="83">
        <f t="shared" si="55"/>
        <v>0.55452553162158713</v>
      </c>
      <c r="AG23" s="22">
        <f t="shared" si="0"/>
        <v>5.0723345488898862E-4</v>
      </c>
      <c r="AH23" s="126">
        <f t="shared" si="52"/>
        <v>997.59536137656528</v>
      </c>
      <c r="AI23" s="126">
        <f t="shared" si="1"/>
        <v>997.59558213230298</v>
      </c>
      <c r="AJ23" s="126">
        <f t="shared" si="2"/>
        <v>-2.207557377005287E-4</v>
      </c>
      <c r="AK23" s="12"/>
      <c r="AL23" s="25">
        <f t="shared" si="53"/>
        <v>-1.2097303084810942</v>
      </c>
      <c r="AN23" s="4">
        <v>15.999000000000001</v>
      </c>
      <c r="AO23" s="4">
        <v>28.085000000000001</v>
      </c>
      <c r="AP23" s="4">
        <v>47.866999999999997</v>
      </c>
      <c r="AQ23" s="4">
        <v>26.9815386</v>
      </c>
      <c r="AR23" s="4">
        <v>51.996099999999998</v>
      </c>
      <c r="AS23" s="4">
        <v>55.844999999999999</v>
      </c>
      <c r="AT23" s="4">
        <v>54.938045000000002</v>
      </c>
      <c r="AU23" s="4">
        <v>24.305</v>
      </c>
      <c r="AV23" s="4">
        <v>40.078000000000003</v>
      </c>
      <c r="AW23" s="4">
        <v>22.989769280000001</v>
      </c>
      <c r="AX23" s="4">
        <v>39.098300000000002</v>
      </c>
      <c r="AY23" s="4">
        <v>58.693399999999997</v>
      </c>
      <c r="BA23" s="4">
        <f>AN23*2+AO23</f>
        <v>60.082999999999998</v>
      </c>
      <c r="BB23" s="4">
        <f>AN23*2+AP23</f>
        <v>79.864999999999995</v>
      </c>
      <c r="BC23" s="4">
        <f>AQ23*2+AN23*3</f>
        <v>101.9600772</v>
      </c>
      <c r="BD23" s="4">
        <f>AR23*2+AN23*3</f>
        <v>151.98919999999998</v>
      </c>
      <c r="BE23" s="4">
        <f>AS23+AN23</f>
        <v>71.843999999999994</v>
      </c>
      <c r="BF23" s="4">
        <f>AT23+AN23</f>
        <v>70.937044999999998</v>
      </c>
      <c r="BG23" s="4">
        <f>AU23+AN23</f>
        <v>40.304000000000002</v>
      </c>
      <c r="BH23" s="4">
        <f>AV23+AN23</f>
        <v>56.077000000000005</v>
      </c>
      <c r="BI23" s="4">
        <f>AW23*2+AN23</f>
        <v>61.978538560000004</v>
      </c>
      <c r="BJ23" s="4">
        <f>AX23*2+AN23</f>
        <v>94.195599999999999</v>
      </c>
      <c r="BK23" s="4">
        <f>AY23+AN23</f>
        <v>74.692399999999992</v>
      </c>
      <c r="BM23" s="4">
        <f t="shared" si="3"/>
        <v>0.67949336750828027</v>
      </c>
      <c r="BN23" s="4">
        <f t="shared" si="4"/>
        <v>0</v>
      </c>
      <c r="BO23" s="4">
        <f t="shared" si="5"/>
        <v>1.2100886644957819E-4</v>
      </c>
      <c r="BP23" s="4">
        <f t="shared" si="6"/>
        <v>1.519344720084776E-4</v>
      </c>
      <c r="BQ23" s="4">
        <f t="shared" si="7"/>
        <v>0.14173765380546741</v>
      </c>
      <c r="BR23" s="4">
        <f t="shared" si="8"/>
        <v>2.100454001149893E-3</v>
      </c>
      <c r="BS23" s="4">
        <f t="shared" si="9"/>
        <v>1.2112197300516077</v>
      </c>
      <c r="BT23" s="4">
        <f t="shared" si="10"/>
        <v>2.68184578060049E-3</v>
      </c>
      <c r="BU23" s="4">
        <f t="shared" si="11"/>
        <v>0</v>
      </c>
      <c r="BV23" s="4">
        <f t="shared" si="12"/>
        <v>0</v>
      </c>
      <c r="BW23" s="4">
        <f t="shared" si="13"/>
        <v>5.0741440896262544E-3</v>
      </c>
      <c r="BY23" s="4">
        <f t="shared" si="14"/>
        <v>0.67949336750828027</v>
      </c>
      <c r="BZ23" s="4">
        <f t="shared" si="14"/>
        <v>0</v>
      </c>
      <c r="CA23" s="4">
        <f t="shared" si="15"/>
        <v>2.4201773289915637E-4</v>
      </c>
      <c r="CB23" s="4">
        <f t="shared" si="15"/>
        <v>3.0386894401695521E-4</v>
      </c>
      <c r="CC23" s="4">
        <f t="shared" si="16"/>
        <v>0.14173765380546741</v>
      </c>
      <c r="CD23" s="4">
        <f t="shared" si="16"/>
        <v>2.100454001149893E-3</v>
      </c>
      <c r="CE23" s="4">
        <f t="shared" si="16"/>
        <v>1.2112197300516077</v>
      </c>
      <c r="CF23" s="4">
        <f t="shared" si="16"/>
        <v>2.68184578060049E-3</v>
      </c>
      <c r="CG23" s="4">
        <f t="shared" si="17"/>
        <v>0</v>
      </c>
      <c r="CH23" s="4">
        <f t="shared" si="17"/>
        <v>0</v>
      </c>
      <c r="CI23" s="4">
        <f>BW23</f>
        <v>5.0741440896262544E-3</v>
      </c>
      <c r="CK23" s="69">
        <f t="shared" si="18"/>
        <v>1.3589867350165605</v>
      </c>
      <c r="CL23" s="69">
        <f t="shared" si="18"/>
        <v>0</v>
      </c>
      <c r="CM23" s="69">
        <f t="shared" si="19"/>
        <v>3.6302659934873456E-4</v>
      </c>
      <c r="CN23" s="69">
        <f t="shared" si="19"/>
        <v>4.5580341602543281E-4</v>
      </c>
      <c r="CO23" s="69">
        <f t="shared" si="20"/>
        <v>0.14173765380546741</v>
      </c>
      <c r="CP23" s="69">
        <f t="shared" si="20"/>
        <v>2.100454001149893E-3</v>
      </c>
      <c r="CQ23" s="69">
        <f t="shared" si="20"/>
        <v>1.2112197300516077</v>
      </c>
      <c r="CR23" s="69">
        <f t="shared" si="20"/>
        <v>2.68184578060049E-3</v>
      </c>
      <c r="CS23" s="69">
        <f t="shared" si="20"/>
        <v>0</v>
      </c>
      <c r="CT23" s="69">
        <f t="shared" si="20"/>
        <v>0</v>
      </c>
      <c r="CU23" s="69">
        <f t="shared" si="20"/>
        <v>5.0741440896262544E-3</v>
      </c>
      <c r="CV23" s="69">
        <f t="shared" si="21"/>
        <v>2.7226193927603868</v>
      </c>
      <c r="CW23" s="16">
        <f t="shared" si="22"/>
        <v>1.4691734036113338</v>
      </c>
      <c r="CY23" s="23">
        <f t="shared" si="23"/>
        <v>0.99829358347346697</v>
      </c>
      <c r="CZ23" s="23">
        <f t="shared" si="23"/>
        <v>0</v>
      </c>
      <c r="DA23" s="23">
        <f t="shared" si="23"/>
        <v>3.5556601637775221E-4</v>
      </c>
      <c r="DB23" s="23">
        <f t="shared" si="23"/>
        <v>4.4643617073317194E-4</v>
      </c>
      <c r="DC23" s="23">
        <f t="shared" si="23"/>
        <v>0.20823719126126347</v>
      </c>
      <c r="DD23" s="23">
        <f t="shared" si="23"/>
        <v>3.0859311539984326E-3</v>
      </c>
      <c r="DE23" s="23">
        <f t="shared" si="23"/>
        <v>1.7794918133211213</v>
      </c>
      <c r="DF23" s="23">
        <f t="shared" si="23"/>
        <v>3.9400964934455159E-3</v>
      </c>
      <c r="DG23" s="23">
        <f t="shared" si="23"/>
        <v>0</v>
      </c>
      <c r="DH23" s="23">
        <f t="shared" si="23"/>
        <v>0</v>
      </c>
      <c r="DI23" s="23">
        <f t="shared" si="23"/>
        <v>7.4547975425705371E-3</v>
      </c>
      <c r="DJ23" s="16">
        <f t="shared" si="24"/>
        <v>0.8952386412930502</v>
      </c>
      <c r="DL23" s="4">
        <f t="shared" si="25"/>
        <v>0.87555548158380914</v>
      </c>
      <c r="DM23" s="4">
        <f t="shared" si="26"/>
        <v>8.389156701934516E-4</v>
      </c>
      <c r="DN23" s="4">
        <f t="shared" si="27"/>
        <v>2.9433088738383181E-2</v>
      </c>
      <c r="DO23" s="4">
        <f t="shared" si="28"/>
        <v>2.4310937882428489E-2</v>
      </c>
      <c r="DP23" s="4">
        <f t="shared" si="29"/>
        <v>3.4366126607649906E-2</v>
      </c>
      <c r="DQ23" s="4">
        <f t="shared" si="30"/>
        <v>1.5929617592613282E-3</v>
      </c>
      <c r="DR23" s="4">
        <f t="shared" si="31"/>
        <v>0.37909388646288206</v>
      </c>
      <c r="DS23" s="4">
        <f t="shared" si="32"/>
        <v>0.35041104196016187</v>
      </c>
      <c r="DT23" s="4">
        <f t="shared" si="33"/>
        <v>2.3927637444441218E-2</v>
      </c>
      <c r="DU23" s="4">
        <f t="shared" si="34"/>
        <v>0</v>
      </c>
      <c r="DV23" s="4">
        <f t="shared" si="35"/>
        <v>0</v>
      </c>
      <c r="DX23" s="69">
        <f t="shared" si="54"/>
        <v>1.7511109631676183</v>
      </c>
      <c r="DY23" s="69">
        <f t="shared" si="54"/>
        <v>1.6778313403869032E-3</v>
      </c>
      <c r="DZ23" s="69">
        <f t="shared" si="36"/>
        <v>8.8299266215149538E-2</v>
      </c>
      <c r="EA23" s="69">
        <f t="shared" si="36"/>
        <v>7.293281364728546E-2</v>
      </c>
      <c r="EB23" s="69">
        <f t="shared" si="37"/>
        <v>3.4366126607649906E-2</v>
      </c>
      <c r="EC23" s="69">
        <f t="shared" si="37"/>
        <v>1.5929617592613282E-3</v>
      </c>
      <c r="ED23" s="69">
        <f t="shared" si="37"/>
        <v>0.37909388646288206</v>
      </c>
      <c r="EE23" s="69">
        <f t="shared" si="37"/>
        <v>0.35041104196016187</v>
      </c>
      <c r="EF23" s="69">
        <f t="shared" si="37"/>
        <v>2.3927637444441218E-2</v>
      </c>
      <c r="EG23" s="69">
        <f t="shared" si="37"/>
        <v>0</v>
      </c>
      <c r="EH23" s="69">
        <f t="shared" si="37"/>
        <v>0</v>
      </c>
      <c r="EI23" s="69">
        <f t="shared" si="38"/>
        <v>2.7034125286048365</v>
      </c>
      <c r="EJ23" s="69">
        <f t="shared" si="39"/>
        <v>2.2194171020937192</v>
      </c>
      <c r="EL23" s="23">
        <f t="shared" si="40"/>
        <v>1.9432228096590085</v>
      </c>
      <c r="EM23" s="23">
        <f t="shared" si="40"/>
        <v>1.8619037856417607E-3</v>
      </c>
      <c r="EN23" s="23">
        <f t="shared" si="41"/>
        <v>0.13064860102681936</v>
      </c>
      <c r="EO23" s="23">
        <f t="shared" si="41"/>
        <v>0.10791222260839971</v>
      </c>
      <c r="EP23" s="23">
        <f t="shared" si="42"/>
        <v>7.6272769125736217E-2</v>
      </c>
      <c r="EQ23" s="23">
        <f t="shared" si="42"/>
        <v>3.5354465714858901E-3</v>
      </c>
      <c r="ER23" s="23">
        <f t="shared" si="42"/>
        <v>0.84136745491489506</v>
      </c>
      <c r="ES23" s="23">
        <f t="shared" si="42"/>
        <v>0.77770825928886311</v>
      </c>
      <c r="ET23" s="23">
        <f t="shared" si="43"/>
        <v>0.10621081551378178</v>
      </c>
      <c r="EU23" s="23">
        <f t="shared" si="43"/>
        <v>0</v>
      </c>
      <c r="EV23" s="23">
        <f t="shared" si="44"/>
        <v>0</v>
      </c>
      <c r="EX23" s="14">
        <f t="shared" si="45"/>
        <v>-5.2851462520600387</v>
      </c>
      <c r="EY23" s="4">
        <f t="shared" si="46"/>
        <v>-1.2097303084810942</v>
      </c>
      <c r="EZ23" s="4">
        <f t="shared" si="47"/>
        <v>-1.5646162109564288</v>
      </c>
      <c r="FA23" s="4">
        <f t="shared" si="48"/>
        <v>-1.2097303084810942</v>
      </c>
      <c r="FC23" s="4">
        <f t="shared" si="49"/>
        <v>-1.2097342080438296</v>
      </c>
    </row>
    <row r="24" spans="1:159" x14ac:dyDescent="0.2">
      <c r="A24" s="24" t="s">
        <v>101</v>
      </c>
      <c r="B24" s="24" t="s">
        <v>123</v>
      </c>
      <c r="C24" s="98">
        <v>41.207000000000001</v>
      </c>
      <c r="D24" s="98">
        <v>0</v>
      </c>
      <c r="E24" s="90">
        <f t="shared" si="50"/>
        <v>1.048641763801123E-2</v>
      </c>
      <c r="F24" s="98">
        <v>1.97308471212264E-2</v>
      </c>
      <c r="G24" s="98">
        <v>8.9090000000000007</v>
      </c>
      <c r="H24" s="98">
        <v>0.128</v>
      </c>
      <c r="I24" s="98">
        <v>49.338999999999999</v>
      </c>
      <c r="J24" s="92">
        <f t="shared" si="51"/>
        <v>0.12911144840180219</v>
      </c>
      <c r="K24" s="98">
        <v>0</v>
      </c>
      <c r="L24" s="98">
        <v>0</v>
      </c>
      <c r="M24" s="98">
        <v>0.41599999999999998</v>
      </c>
      <c r="N24" s="105">
        <v>55.5</v>
      </c>
      <c r="O24" s="123">
        <v>922.75418247185655</v>
      </c>
      <c r="P24" s="11"/>
      <c r="Q24" s="100">
        <v>54.438000000000002</v>
      </c>
      <c r="R24" s="100">
        <v>7.8E-2</v>
      </c>
      <c r="S24" s="100">
        <v>1.95</v>
      </c>
      <c r="T24" s="100">
        <v>1.905</v>
      </c>
      <c r="U24" s="100">
        <v>2.4830000000000001</v>
      </c>
      <c r="V24" s="100">
        <v>0.08</v>
      </c>
      <c r="W24" s="100">
        <v>17.327999999999999</v>
      </c>
      <c r="X24" s="100">
        <v>19.564</v>
      </c>
      <c r="Y24" s="100">
        <v>1.2230000000000001</v>
      </c>
      <c r="Z24" s="100">
        <v>0</v>
      </c>
      <c r="AA24" s="100">
        <v>4.3999999999999997E-2</v>
      </c>
      <c r="AC24" s="99">
        <v>27.329000000000001</v>
      </c>
      <c r="AD24" s="99">
        <v>42.2395</v>
      </c>
      <c r="AF24" s="83">
        <f t="shared" si="55"/>
        <v>0.50904388535756373</v>
      </c>
      <c r="AG24" s="22">
        <f t="shared" si="0"/>
        <v>3.8371025789495517E-4</v>
      </c>
      <c r="AH24" s="126">
        <f t="shared" si="52"/>
        <v>964.55354187309035</v>
      </c>
      <c r="AI24" s="126">
        <f t="shared" si="1"/>
        <v>964.5535262588869</v>
      </c>
      <c r="AJ24" s="126">
        <f t="shared" si="2"/>
        <v>1.5614203448421904E-5</v>
      </c>
      <c r="AK24" s="12"/>
      <c r="AL24" s="25">
        <f t="shared" si="53"/>
        <v>-1.4329802049829365</v>
      </c>
      <c r="AN24" s="4">
        <v>15.999000000000001</v>
      </c>
      <c r="AO24" s="4">
        <v>28.085000000000001</v>
      </c>
      <c r="AP24" s="4">
        <v>47.866999999999997</v>
      </c>
      <c r="AQ24" s="4">
        <v>26.9815386</v>
      </c>
      <c r="AR24" s="4">
        <v>51.996099999999998</v>
      </c>
      <c r="AS24" s="4">
        <v>55.844999999999999</v>
      </c>
      <c r="AT24" s="4">
        <v>54.938045000000002</v>
      </c>
      <c r="AU24" s="4">
        <v>24.305</v>
      </c>
      <c r="AV24" s="4">
        <v>40.078000000000003</v>
      </c>
      <c r="AW24" s="4">
        <v>22.989769280000001</v>
      </c>
      <c r="AX24" s="4">
        <v>39.098300000000002</v>
      </c>
      <c r="AY24" s="4">
        <v>58.693399999999997</v>
      </c>
      <c r="BA24" s="4">
        <f t="shared" ref="BA24:BA25" si="80">AN24*2+AO24</f>
        <v>60.082999999999998</v>
      </c>
      <c r="BB24" s="4">
        <f t="shared" ref="BB24:BB25" si="81">AN24*2+AP24</f>
        <v>79.864999999999995</v>
      </c>
      <c r="BC24" s="4">
        <f t="shared" ref="BC24:BC25" si="82">AQ24*2+AN24*3</f>
        <v>101.9600772</v>
      </c>
      <c r="BD24" s="4">
        <f t="shared" ref="BD24:BD25" si="83">AR24*2+AN24*3</f>
        <v>151.98919999999998</v>
      </c>
      <c r="BE24" s="4">
        <f t="shared" ref="BE24:BE25" si="84">AS24+AN24</f>
        <v>71.843999999999994</v>
      </c>
      <c r="BF24" s="4">
        <f t="shared" ref="BF24:BF25" si="85">AT24+AN24</f>
        <v>70.937044999999998</v>
      </c>
      <c r="BG24" s="4">
        <f t="shared" ref="BG24:BG25" si="86">AU24+AN24</f>
        <v>40.304000000000002</v>
      </c>
      <c r="BH24" s="4">
        <f t="shared" ref="BH24:BH25" si="87">AV24+AN24</f>
        <v>56.077000000000005</v>
      </c>
      <c r="BI24" s="4">
        <f t="shared" ref="BI24:BI25" si="88">AW24*2+AN24</f>
        <v>61.978538560000004</v>
      </c>
      <c r="BJ24" s="4">
        <f t="shared" ref="BJ24:BJ25" si="89">AX24*2+AN24</f>
        <v>94.195599999999999</v>
      </c>
      <c r="BK24" s="4">
        <f t="shared" ref="BK24:BK25" si="90">AY24+AN24</f>
        <v>74.692399999999992</v>
      </c>
      <c r="BM24" s="4">
        <f t="shared" si="3"/>
        <v>0.68583459547625791</v>
      </c>
      <c r="BN24" s="4">
        <f t="shared" si="4"/>
        <v>0</v>
      </c>
      <c r="BO24" s="4">
        <f t="shared" si="5"/>
        <v>1.0284827087215298E-4</v>
      </c>
      <c r="BP24" s="4">
        <f t="shared" si="6"/>
        <v>1.2981742861483843E-4</v>
      </c>
      <c r="BQ24" s="4">
        <f t="shared" si="7"/>
        <v>0.12400478815210736</v>
      </c>
      <c r="BR24" s="4">
        <f t="shared" si="8"/>
        <v>1.8044168600482302E-3</v>
      </c>
      <c r="BS24" s="4">
        <f t="shared" si="9"/>
        <v>1.2241712981341801</v>
      </c>
      <c r="BT24" s="4">
        <f t="shared" si="10"/>
        <v>2.3023957844000601E-3</v>
      </c>
      <c r="BU24" s="4">
        <f t="shared" si="11"/>
        <v>0</v>
      </c>
      <c r="BV24" s="4">
        <f t="shared" si="12"/>
        <v>0</v>
      </c>
      <c r="BW24" s="4">
        <f t="shared" si="13"/>
        <v>5.5695090799063899E-3</v>
      </c>
      <c r="BY24" s="4">
        <f t="shared" si="14"/>
        <v>0.68583459547625791</v>
      </c>
      <c r="BZ24" s="4">
        <f t="shared" si="14"/>
        <v>0</v>
      </c>
      <c r="CA24" s="4">
        <f t="shared" si="15"/>
        <v>2.0569654174430597E-4</v>
      </c>
      <c r="CB24" s="4">
        <f t="shared" si="15"/>
        <v>2.5963485722967685E-4</v>
      </c>
      <c r="CC24" s="4">
        <f t="shared" si="16"/>
        <v>0.12400478815210736</v>
      </c>
      <c r="CD24" s="4">
        <f t="shared" si="16"/>
        <v>1.8044168600482302E-3</v>
      </c>
      <c r="CE24" s="4">
        <f t="shared" si="16"/>
        <v>1.2241712981341801</v>
      </c>
      <c r="CF24" s="4">
        <f t="shared" si="16"/>
        <v>2.3023957844000601E-3</v>
      </c>
      <c r="CG24" s="4">
        <f t="shared" si="17"/>
        <v>0</v>
      </c>
      <c r="CH24" s="4">
        <f t="shared" si="17"/>
        <v>0</v>
      </c>
      <c r="CI24" s="4">
        <f t="shared" ref="CI24:CI25" si="91">BW24</f>
        <v>5.5695090799063899E-3</v>
      </c>
      <c r="CK24" s="69">
        <f t="shared" si="18"/>
        <v>1.3716691909525158</v>
      </c>
      <c r="CL24" s="69">
        <f t="shared" si="18"/>
        <v>0</v>
      </c>
      <c r="CM24" s="69">
        <f t="shared" si="19"/>
        <v>3.0854481261645894E-4</v>
      </c>
      <c r="CN24" s="69">
        <f t="shared" si="19"/>
        <v>3.8945228584451525E-4</v>
      </c>
      <c r="CO24" s="69">
        <f t="shared" si="20"/>
        <v>0.12400478815210736</v>
      </c>
      <c r="CP24" s="69">
        <f t="shared" si="20"/>
        <v>1.8044168600482302E-3</v>
      </c>
      <c r="CQ24" s="69">
        <f t="shared" si="20"/>
        <v>1.2241712981341801</v>
      </c>
      <c r="CR24" s="69">
        <f t="shared" si="20"/>
        <v>2.3023957844000601E-3</v>
      </c>
      <c r="CS24" s="69">
        <f t="shared" si="20"/>
        <v>0</v>
      </c>
      <c r="CT24" s="69">
        <f t="shared" si="20"/>
        <v>0</v>
      </c>
      <c r="CU24" s="69">
        <f t="shared" si="20"/>
        <v>5.5695090799063899E-3</v>
      </c>
      <c r="CV24" s="69">
        <f t="shared" si="21"/>
        <v>2.7302195960616196</v>
      </c>
      <c r="CW24" s="16">
        <f t="shared" si="22"/>
        <v>1.46508361663291</v>
      </c>
      <c r="CY24" s="23">
        <f t="shared" si="23"/>
        <v>1.0048050295523248</v>
      </c>
      <c r="CZ24" s="23">
        <f t="shared" si="23"/>
        <v>0</v>
      </c>
      <c r="DA24" s="23">
        <f t="shared" si="23"/>
        <v>3.0136263330763014E-4</v>
      </c>
      <c r="DB24" s="23">
        <f t="shared" si="23"/>
        <v>3.8038677563402421E-4</v>
      </c>
      <c r="DC24" s="23">
        <f t="shared" si="23"/>
        <v>0.18167738350568727</v>
      </c>
      <c r="DD24" s="23">
        <f t="shared" si="23"/>
        <v>2.6436215792328605E-3</v>
      </c>
      <c r="DE24" s="23">
        <f t="shared" si="23"/>
        <v>1.7935133128486289</v>
      </c>
      <c r="DF24" s="23">
        <f t="shared" si="23"/>
        <v>3.3732023427292058E-3</v>
      </c>
      <c r="DG24" s="23">
        <f t="shared" si="23"/>
        <v>0</v>
      </c>
      <c r="DH24" s="23">
        <f t="shared" si="23"/>
        <v>0</v>
      </c>
      <c r="DI24" s="23">
        <f t="shared" si="23"/>
        <v>8.1597965056590845E-3</v>
      </c>
      <c r="DJ24" s="16">
        <f t="shared" si="24"/>
        <v>0.90802033249700087</v>
      </c>
      <c r="DL24" s="4">
        <f t="shared" si="25"/>
        <v>0.90604663548757558</v>
      </c>
      <c r="DM24" s="4">
        <f t="shared" si="26"/>
        <v>9.76648093658048E-4</v>
      </c>
      <c r="DN24" s="4">
        <f t="shared" si="27"/>
        <v>1.9125132635737157E-2</v>
      </c>
      <c r="DO24" s="4">
        <f t="shared" si="28"/>
        <v>1.2533785295270982E-2</v>
      </c>
      <c r="DP24" s="4">
        <f t="shared" si="29"/>
        <v>3.4560993263181343E-2</v>
      </c>
      <c r="DQ24" s="4">
        <f t="shared" si="30"/>
        <v>1.1277605375301439E-3</v>
      </c>
      <c r="DR24" s="4">
        <f t="shared" si="31"/>
        <v>0.42993251290194517</v>
      </c>
      <c r="DS24" s="4">
        <f t="shared" si="32"/>
        <v>0.34887743638211743</v>
      </c>
      <c r="DT24" s="4">
        <f t="shared" si="33"/>
        <v>1.9732636948450177E-2</v>
      </c>
      <c r="DU24" s="4">
        <f t="shared" si="34"/>
        <v>0</v>
      </c>
      <c r="DV24" s="4">
        <f t="shared" si="35"/>
        <v>5.8908269114394502E-4</v>
      </c>
      <c r="DX24" s="69">
        <f t="shared" si="54"/>
        <v>1.8120932709751512</v>
      </c>
      <c r="DY24" s="69">
        <f t="shared" si="54"/>
        <v>1.953296187316096E-3</v>
      </c>
      <c r="DZ24" s="69">
        <f t="shared" si="36"/>
        <v>5.7375397907211467E-2</v>
      </c>
      <c r="EA24" s="69">
        <f t="shared" si="36"/>
        <v>3.7601355885812947E-2</v>
      </c>
      <c r="EB24" s="69">
        <f t="shared" si="37"/>
        <v>3.4560993263181343E-2</v>
      </c>
      <c r="EC24" s="69">
        <f t="shared" si="37"/>
        <v>1.1277605375301439E-3</v>
      </c>
      <c r="ED24" s="69">
        <f t="shared" si="37"/>
        <v>0.42993251290194517</v>
      </c>
      <c r="EE24" s="69">
        <f t="shared" si="37"/>
        <v>0.34887743638211743</v>
      </c>
      <c r="EF24" s="69">
        <f t="shared" si="37"/>
        <v>1.9732636948450177E-2</v>
      </c>
      <c r="EG24" s="69">
        <f t="shared" si="37"/>
        <v>0</v>
      </c>
      <c r="EH24" s="69">
        <f t="shared" si="37"/>
        <v>5.8908269114394502E-4</v>
      </c>
      <c r="EI24" s="69">
        <f t="shared" si="38"/>
        <v>2.7438437436798599</v>
      </c>
      <c r="EJ24" s="69">
        <f t="shared" si="39"/>
        <v>2.186713443074277</v>
      </c>
      <c r="EL24" s="23">
        <f t="shared" si="40"/>
        <v>1.9812643578729008</v>
      </c>
      <c r="EM24" s="23">
        <f t="shared" si="40"/>
        <v>2.1356495155549189E-3</v>
      </c>
      <c r="EN24" s="23">
        <f t="shared" si="41"/>
        <v>8.3642369270290035E-2</v>
      </c>
      <c r="EO24" s="23">
        <f t="shared" si="41"/>
        <v>5.48155935955515E-2</v>
      </c>
      <c r="EP24" s="23">
        <f t="shared" si="42"/>
        <v>7.557498857459817E-2</v>
      </c>
      <c r="EQ24" s="23">
        <f t="shared" si="42"/>
        <v>2.4660891279858384E-3</v>
      </c>
      <c r="ER24" s="23">
        <f t="shared" si="42"/>
        <v>0.9401392055773885</v>
      </c>
      <c r="ES24" s="23">
        <f t="shared" si="42"/>
        <v>0.76289498012206702</v>
      </c>
      <c r="ET24" s="23">
        <f t="shared" si="43"/>
        <v>8.6299244964960359E-2</v>
      </c>
      <c r="EU24" s="23">
        <f t="shared" si="43"/>
        <v>0</v>
      </c>
      <c r="EV24" s="23">
        <f t="shared" si="44"/>
        <v>1.2881550398068369E-3</v>
      </c>
      <c r="EX24" s="14">
        <f t="shared" si="45"/>
        <v>-5.4212578378493648</v>
      </c>
      <c r="EY24" s="4">
        <f t="shared" si="46"/>
        <v>-1.4329802049829365</v>
      </c>
      <c r="EZ24" s="4">
        <f t="shared" si="47"/>
        <v>-1.48198844400854</v>
      </c>
      <c r="FA24" s="4">
        <f t="shared" si="48"/>
        <v>-1.4329802049829365</v>
      </c>
      <c r="FC24" s="4">
        <f t="shared" si="49"/>
        <v>-1.4329799142392026</v>
      </c>
    </row>
    <row r="25" spans="1:159" x14ac:dyDescent="0.2">
      <c r="A25" s="24" t="s">
        <v>102</v>
      </c>
      <c r="B25" s="24" t="s">
        <v>123</v>
      </c>
      <c r="C25" s="98">
        <v>41.533999999999999</v>
      </c>
      <c r="D25" s="98">
        <v>0</v>
      </c>
      <c r="E25" s="90">
        <f t="shared" si="50"/>
        <v>7.0665228767859464E-3</v>
      </c>
      <c r="F25" s="98">
        <v>9.3246521950684762E-3</v>
      </c>
      <c r="G25" s="98">
        <v>8.6289999999999996</v>
      </c>
      <c r="H25" s="98">
        <v>0.13800000000000001</v>
      </c>
      <c r="I25" s="98">
        <v>49.99</v>
      </c>
      <c r="J25" s="92">
        <f t="shared" si="51"/>
        <v>2.3629001964573328E-3</v>
      </c>
      <c r="K25" s="98">
        <v>0</v>
      </c>
      <c r="L25" s="98">
        <v>0</v>
      </c>
      <c r="M25" s="98">
        <v>0.43099999999999999</v>
      </c>
      <c r="N25" s="105">
        <v>37.4</v>
      </c>
      <c r="O25" s="123">
        <v>16.887549989053799</v>
      </c>
      <c r="P25" s="11"/>
      <c r="Q25" s="100">
        <v>53.677999999999997</v>
      </c>
      <c r="R25" s="100">
        <v>6.2E-2</v>
      </c>
      <c r="S25" s="100">
        <v>2.823</v>
      </c>
      <c r="T25" s="100">
        <v>1.321</v>
      </c>
      <c r="U25" s="100">
        <v>1.972</v>
      </c>
      <c r="V25" s="100">
        <v>6.4000000000000001E-2</v>
      </c>
      <c r="W25" s="100">
        <v>16.608000000000001</v>
      </c>
      <c r="X25" s="100">
        <v>22.059000000000001</v>
      </c>
      <c r="Y25" s="100">
        <v>0.72499999999999998</v>
      </c>
      <c r="Z25" s="100">
        <v>0</v>
      </c>
      <c r="AA25" s="100">
        <v>0.11700000000000001</v>
      </c>
      <c r="AC25" s="99">
        <v>30.777500000000003</v>
      </c>
      <c r="AD25" s="99">
        <v>39.548000000000002</v>
      </c>
      <c r="AF25" s="83">
        <f t="shared" si="55"/>
        <v>0.46294389825386562</v>
      </c>
      <c r="AG25" s="22">
        <f t="shared" si="0"/>
        <v>2.2960028841803088E-4</v>
      </c>
      <c r="AH25" s="126">
        <f t="shared" si="52"/>
        <v>903.42097541360772</v>
      </c>
      <c r="AI25" s="126">
        <f t="shared" si="1"/>
        <v>903.42101084991918</v>
      </c>
      <c r="AJ25" s="126">
        <f t="shared" si="2"/>
        <v>-3.5436311463854508E-5</v>
      </c>
      <c r="AK25" s="12"/>
      <c r="AL25" s="25">
        <f t="shared" si="53"/>
        <v>9.3450593198634841</v>
      </c>
      <c r="AN25" s="4">
        <v>15.999000000000001</v>
      </c>
      <c r="AO25" s="4">
        <v>28.085000000000001</v>
      </c>
      <c r="AP25" s="4">
        <v>47.866999999999997</v>
      </c>
      <c r="AQ25" s="4">
        <v>26.9815386</v>
      </c>
      <c r="AR25" s="4">
        <v>51.996099999999998</v>
      </c>
      <c r="AS25" s="4">
        <v>55.844999999999999</v>
      </c>
      <c r="AT25" s="4">
        <v>54.938045000000002</v>
      </c>
      <c r="AU25" s="4">
        <v>24.305</v>
      </c>
      <c r="AV25" s="4">
        <v>40.078000000000003</v>
      </c>
      <c r="AW25" s="4">
        <v>22.989769280000001</v>
      </c>
      <c r="AX25" s="4">
        <v>39.098300000000002</v>
      </c>
      <c r="AY25" s="4">
        <v>58.693399999999997</v>
      </c>
      <c r="BA25" s="4">
        <f t="shared" si="80"/>
        <v>60.082999999999998</v>
      </c>
      <c r="BB25" s="4">
        <f t="shared" si="81"/>
        <v>79.864999999999995</v>
      </c>
      <c r="BC25" s="4">
        <f t="shared" si="82"/>
        <v>101.9600772</v>
      </c>
      <c r="BD25" s="4">
        <f t="shared" si="83"/>
        <v>151.98919999999998</v>
      </c>
      <c r="BE25" s="4">
        <f t="shared" si="84"/>
        <v>71.843999999999994</v>
      </c>
      <c r="BF25" s="4">
        <f t="shared" si="85"/>
        <v>70.937044999999998</v>
      </c>
      <c r="BG25" s="4">
        <f t="shared" si="86"/>
        <v>40.304000000000002</v>
      </c>
      <c r="BH25" s="4">
        <f t="shared" si="87"/>
        <v>56.077000000000005</v>
      </c>
      <c r="BI25" s="4">
        <f t="shared" si="88"/>
        <v>61.978538560000004</v>
      </c>
      <c r="BJ25" s="4">
        <f t="shared" si="89"/>
        <v>94.195599999999999</v>
      </c>
      <c r="BK25" s="4">
        <f t="shared" si="90"/>
        <v>74.692399999999992</v>
      </c>
      <c r="BM25" s="4">
        <f t="shared" si="3"/>
        <v>0.69127706672436462</v>
      </c>
      <c r="BN25" s="4">
        <f t="shared" si="4"/>
        <v>0</v>
      </c>
      <c r="BO25" s="4">
        <f t="shared" si="5"/>
        <v>6.9306762713847243E-5</v>
      </c>
      <c r="BP25" s="4">
        <f t="shared" si="6"/>
        <v>6.1350755152790316E-5</v>
      </c>
      <c r="BQ25" s="4">
        <f t="shared" si="7"/>
        <v>0.12010745504147877</v>
      </c>
      <c r="BR25" s="4">
        <f t="shared" si="8"/>
        <v>1.9453869272394982E-3</v>
      </c>
      <c r="BS25" s="4">
        <f t="shared" si="9"/>
        <v>1.2403235410877331</v>
      </c>
      <c r="BT25" s="4">
        <f t="shared" si="10"/>
        <v>4.2136708391271516E-5</v>
      </c>
      <c r="BU25" s="4">
        <f t="shared" si="11"/>
        <v>0</v>
      </c>
      <c r="BV25" s="4">
        <f t="shared" si="12"/>
        <v>0</v>
      </c>
      <c r="BW25" s="4">
        <f t="shared" si="13"/>
        <v>5.7703327246145528E-3</v>
      </c>
      <c r="BY25" s="4">
        <f t="shared" si="14"/>
        <v>0.69127706672436462</v>
      </c>
      <c r="BZ25" s="4">
        <f t="shared" si="14"/>
        <v>0</v>
      </c>
      <c r="CA25" s="4">
        <f t="shared" si="15"/>
        <v>1.3861352542769449E-4</v>
      </c>
      <c r="CB25" s="4">
        <f t="shared" si="15"/>
        <v>1.2270151030558063E-4</v>
      </c>
      <c r="CC25" s="4">
        <f t="shared" si="16"/>
        <v>0.12010745504147877</v>
      </c>
      <c r="CD25" s="4">
        <f t="shared" si="16"/>
        <v>1.9453869272394982E-3</v>
      </c>
      <c r="CE25" s="4">
        <f t="shared" si="16"/>
        <v>1.2403235410877331</v>
      </c>
      <c r="CF25" s="4">
        <f t="shared" si="16"/>
        <v>4.2136708391271516E-5</v>
      </c>
      <c r="CG25" s="4">
        <f t="shared" si="17"/>
        <v>0</v>
      </c>
      <c r="CH25" s="4">
        <f t="shared" si="17"/>
        <v>0</v>
      </c>
      <c r="CI25" s="4">
        <f t="shared" si="91"/>
        <v>5.7703327246145528E-3</v>
      </c>
      <c r="CK25" s="69">
        <f t="shared" si="18"/>
        <v>1.3825541334487292</v>
      </c>
      <c r="CL25" s="69">
        <f t="shared" si="18"/>
        <v>0</v>
      </c>
      <c r="CM25" s="69">
        <f t="shared" si="19"/>
        <v>2.0792028814154172E-4</v>
      </c>
      <c r="CN25" s="69">
        <f t="shared" si="19"/>
        <v>1.8405226545837095E-4</v>
      </c>
      <c r="CO25" s="69">
        <f t="shared" si="20"/>
        <v>0.12010745504147877</v>
      </c>
      <c r="CP25" s="69">
        <f t="shared" si="20"/>
        <v>1.9453869272394982E-3</v>
      </c>
      <c r="CQ25" s="69">
        <f t="shared" si="20"/>
        <v>1.2403235410877331</v>
      </c>
      <c r="CR25" s="69">
        <f t="shared" si="20"/>
        <v>4.2136708391271516E-5</v>
      </c>
      <c r="CS25" s="69">
        <f t="shared" si="20"/>
        <v>0</v>
      </c>
      <c r="CT25" s="69">
        <f t="shared" si="20"/>
        <v>0</v>
      </c>
      <c r="CU25" s="69">
        <f t="shared" si="20"/>
        <v>5.7703327246145528E-3</v>
      </c>
      <c r="CV25" s="69">
        <f t="shared" si="21"/>
        <v>2.7511349584917864</v>
      </c>
      <c r="CW25" s="16">
        <f t="shared" si="22"/>
        <v>1.4539453935741706</v>
      </c>
      <c r="CY25" s="23">
        <f t="shared" si="23"/>
        <v>1.0050791068473546</v>
      </c>
      <c r="CZ25" s="23">
        <f t="shared" si="23"/>
        <v>0</v>
      </c>
      <c r="DA25" s="23">
        <f t="shared" si="23"/>
        <v>2.0153649678267258E-4</v>
      </c>
      <c r="DB25" s="23">
        <f t="shared" si="23"/>
        <v>1.7840129569339258E-4</v>
      </c>
      <c r="DC25" s="23">
        <f t="shared" si="23"/>
        <v>0.17462968099147486</v>
      </c>
      <c r="DD25" s="23">
        <f t="shared" si="23"/>
        <v>2.8284863615792785E-3</v>
      </c>
      <c r="DE25" s="23">
        <f t="shared" si="23"/>
        <v>1.8033626991061131</v>
      </c>
      <c r="DF25" s="23">
        <f t="shared" si="23"/>
        <v>6.1264473065867324E-5</v>
      </c>
      <c r="DG25" s="23">
        <f t="shared" si="23"/>
        <v>0</v>
      </c>
      <c r="DH25" s="23">
        <f t="shared" si="23"/>
        <v>0</v>
      </c>
      <c r="DI25" s="23">
        <f t="shared" si="23"/>
        <v>8.3897486843436224E-3</v>
      </c>
      <c r="DJ25" s="16">
        <f t="shared" si="24"/>
        <v>0.91171367354668009</v>
      </c>
      <c r="DL25" s="4">
        <f t="shared" si="25"/>
        <v>0.8933974668375414</v>
      </c>
      <c r="DM25" s="4">
        <f t="shared" si="26"/>
        <v>7.7631002316408946E-4</v>
      </c>
      <c r="DN25" s="4">
        <f t="shared" si="27"/>
        <v>2.7687307400351791E-2</v>
      </c>
      <c r="DO25" s="4">
        <f t="shared" si="28"/>
        <v>8.6914070210251781E-3</v>
      </c>
      <c r="DP25" s="4">
        <f t="shared" si="29"/>
        <v>2.7448360336284172E-2</v>
      </c>
      <c r="DQ25" s="4">
        <f t="shared" si="30"/>
        <v>9.022084300241151E-4</v>
      </c>
      <c r="DR25" s="4">
        <f t="shared" si="31"/>
        <v>0.41206828106391424</v>
      </c>
      <c r="DS25" s="4">
        <f t="shared" si="32"/>
        <v>0.3933698307684077</v>
      </c>
      <c r="DT25" s="4">
        <f t="shared" si="33"/>
        <v>1.1697597536898099E-2</v>
      </c>
      <c r="DU25" s="4">
        <f t="shared" si="34"/>
        <v>0</v>
      </c>
      <c r="DV25" s="4">
        <f t="shared" si="35"/>
        <v>1.5664244287236723E-3</v>
      </c>
      <c r="DX25" s="69">
        <f t="shared" si="54"/>
        <v>1.7867949336750828</v>
      </c>
      <c r="DY25" s="69">
        <f t="shared" si="54"/>
        <v>1.5526200463281789E-3</v>
      </c>
      <c r="DZ25" s="69">
        <f t="shared" si="36"/>
        <v>8.3061922201055377E-2</v>
      </c>
      <c r="EA25" s="69">
        <f t="shared" si="36"/>
        <v>2.6074221063075533E-2</v>
      </c>
      <c r="EB25" s="69">
        <f t="shared" si="37"/>
        <v>2.7448360336284172E-2</v>
      </c>
      <c r="EC25" s="69">
        <f t="shared" si="37"/>
        <v>9.022084300241151E-4</v>
      </c>
      <c r="ED25" s="69">
        <f t="shared" si="37"/>
        <v>0.41206828106391424</v>
      </c>
      <c r="EE25" s="69">
        <f t="shared" si="37"/>
        <v>0.3933698307684077</v>
      </c>
      <c r="EF25" s="69">
        <f t="shared" si="37"/>
        <v>1.1697597536898099E-2</v>
      </c>
      <c r="EG25" s="69">
        <f t="shared" si="37"/>
        <v>0</v>
      </c>
      <c r="EH25" s="69">
        <f t="shared" si="37"/>
        <v>1.5664244287236723E-3</v>
      </c>
      <c r="EI25" s="69">
        <f t="shared" si="38"/>
        <v>2.7445363995497938</v>
      </c>
      <c r="EJ25" s="69">
        <f t="shared" si="39"/>
        <v>2.18616156848356</v>
      </c>
      <c r="EL25" s="23">
        <f t="shared" si="40"/>
        <v>1.9531112073807988</v>
      </c>
      <c r="EM25" s="23">
        <f t="shared" si="40"/>
        <v>1.6971391378699146E-3</v>
      </c>
      <c r="EN25" s="23">
        <f t="shared" si="41"/>
        <v>0.12105785474687911</v>
      </c>
      <c r="EO25" s="23">
        <f t="shared" si="41"/>
        <v>3.8001640010826856E-2</v>
      </c>
      <c r="EP25" s="23">
        <f t="shared" si="42"/>
        <v>6.0006550485072946E-2</v>
      </c>
      <c r="EQ25" s="23">
        <f t="shared" si="42"/>
        <v>1.9723733964806095E-3</v>
      </c>
      <c r="ER25" s="23">
        <f t="shared" si="42"/>
        <v>0.90084783965301118</v>
      </c>
      <c r="ES25" s="23">
        <f t="shared" si="42"/>
        <v>0.85997000622677477</v>
      </c>
      <c r="ET25" s="23">
        <f t="shared" si="43"/>
        <v>5.1145676357509155E-2</v>
      </c>
      <c r="EU25" s="23">
        <f t="shared" si="43"/>
        <v>0</v>
      </c>
      <c r="EV25" s="23">
        <f t="shared" si="44"/>
        <v>3.4244568860095077E-3</v>
      </c>
      <c r="EX25" s="14">
        <f t="shared" si="45"/>
        <v>-9.5494526746764805</v>
      </c>
      <c r="EY25" s="4">
        <f t="shared" si="46"/>
        <v>6.2260785613026943</v>
      </c>
      <c r="EZ25" s="4">
        <f t="shared" si="47"/>
        <v>9.3450593198634841</v>
      </c>
      <c r="FA25" s="4">
        <f t="shared" si="48"/>
        <v>9.3450593198634841</v>
      </c>
      <c r="FC25" s="4">
        <f t="shared" si="49"/>
        <v>9.3450585896640455</v>
      </c>
    </row>
    <row r="26" spans="1:159" ht="5.25" customHeight="1" x14ac:dyDescent="0.2">
      <c r="AH26" s="109"/>
      <c r="AI26" s="109"/>
    </row>
    <row r="27" spans="1:159" s="1" customFormat="1" ht="13.5" x14ac:dyDescent="0.2">
      <c r="A27" s="5"/>
      <c r="B27" s="5"/>
      <c r="C27" s="96" t="s">
        <v>75</v>
      </c>
      <c r="D27" s="97"/>
      <c r="E27" s="94" t="s">
        <v>206</v>
      </c>
      <c r="F27" s="97"/>
      <c r="G27" s="97"/>
      <c r="H27" s="97"/>
      <c r="I27" s="97"/>
      <c r="J27" s="94" t="s">
        <v>206</v>
      </c>
      <c r="K27" s="97"/>
      <c r="L27" s="97"/>
      <c r="M27" s="97"/>
      <c r="N27" s="104" t="s">
        <v>207</v>
      </c>
      <c r="O27" s="122" t="s">
        <v>196</v>
      </c>
      <c r="Q27" s="96" t="s">
        <v>77</v>
      </c>
      <c r="R27" s="97"/>
      <c r="S27" s="97"/>
      <c r="T27" s="97"/>
      <c r="U27" s="97"/>
      <c r="V27" s="97"/>
      <c r="W27" s="97"/>
      <c r="X27" s="97"/>
      <c r="Y27" s="97"/>
      <c r="Z27" s="97"/>
      <c r="AA27" s="97"/>
      <c r="AC27" s="96" t="s">
        <v>78</v>
      </c>
      <c r="AD27" s="97"/>
      <c r="AF27" s="82"/>
      <c r="AG27" s="21"/>
      <c r="AH27" s="130"/>
      <c r="AI27" s="131" t="s">
        <v>110</v>
      </c>
      <c r="AJ27" s="125" t="s">
        <v>76</v>
      </c>
      <c r="AL27" s="50" t="s">
        <v>119</v>
      </c>
      <c r="AM27" s="6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M27" s="8" t="s">
        <v>79</v>
      </c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 t="s">
        <v>82</v>
      </c>
      <c r="BZ27" s="8"/>
      <c r="CA27" s="8"/>
      <c r="CB27" s="8"/>
      <c r="CC27" s="8"/>
      <c r="CD27" s="8"/>
      <c r="CE27" s="8"/>
      <c r="CF27" s="8"/>
      <c r="CG27" s="8"/>
      <c r="CH27" s="8"/>
      <c r="CI27" s="8"/>
      <c r="CK27" s="71" t="s">
        <v>83</v>
      </c>
      <c r="CL27" s="71"/>
      <c r="CM27" s="71"/>
      <c r="CN27" s="71"/>
      <c r="CO27" s="71"/>
      <c r="CP27" s="71"/>
      <c r="CQ27" s="71"/>
      <c r="CR27" s="71"/>
      <c r="CS27" s="71"/>
      <c r="CT27" s="71"/>
      <c r="CU27" s="71"/>
      <c r="CV27" s="71"/>
      <c r="CW27" s="20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0"/>
      <c r="DL27" s="8" t="s">
        <v>84</v>
      </c>
      <c r="DM27" s="8"/>
      <c r="DN27" s="8"/>
      <c r="DO27" s="8"/>
      <c r="DP27" s="8"/>
      <c r="DQ27" s="8"/>
      <c r="DR27" s="8"/>
      <c r="DS27" s="8"/>
      <c r="DT27" s="8"/>
      <c r="DU27" s="8"/>
      <c r="DV27" s="8"/>
      <c r="DX27" s="71" t="s">
        <v>85</v>
      </c>
      <c r="DY27" s="71"/>
      <c r="DZ27" s="71"/>
      <c r="EA27" s="71"/>
      <c r="EB27" s="71"/>
      <c r="EC27" s="71"/>
      <c r="ED27" s="71"/>
      <c r="EE27" s="71"/>
      <c r="EF27" s="71"/>
      <c r="EG27" s="71"/>
      <c r="EH27" s="71"/>
      <c r="EI27" s="71"/>
      <c r="EJ27" s="7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X27" s="19"/>
      <c r="EY27" s="17"/>
      <c r="EZ27" s="18"/>
      <c r="FA27" s="8"/>
      <c r="FB27" s="9"/>
      <c r="FC27" s="7"/>
    </row>
    <row r="28" spans="1:159" x14ac:dyDescent="0.2">
      <c r="A28" s="24" t="s">
        <v>89</v>
      </c>
      <c r="B28" s="24" t="s">
        <v>122</v>
      </c>
      <c r="C28" s="98">
        <v>40.429500000000004</v>
      </c>
      <c r="D28" s="98">
        <v>0</v>
      </c>
      <c r="E28" s="90">
        <f>N28/(26.9815*10000)*101.9601/2</f>
        <v>1.4832140262772639E-2</v>
      </c>
      <c r="F28" s="98">
        <v>5.7438688286236854E-3</v>
      </c>
      <c r="G28" s="98">
        <v>10.7225</v>
      </c>
      <c r="H28" s="98">
        <v>0.14549999999999999</v>
      </c>
      <c r="I28" s="98">
        <v>47.600499999999997</v>
      </c>
      <c r="J28" s="92">
        <f>O28/40.078*56.077/10000</f>
        <v>4.4811013273155224E-2</v>
      </c>
      <c r="K28" s="98">
        <v>0</v>
      </c>
      <c r="L28" s="98">
        <v>0</v>
      </c>
      <c r="M28" s="98">
        <v>0.38950000000000001</v>
      </c>
      <c r="N28" s="105">
        <v>78.5</v>
      </c>
      <c r="O28" s="123">
        <v>320.26245875519646</v>
      </c>
      <c r="P28" s="11"/>
      <c r="Q28" s="100">
        <v>53.548999999999999</v>
      </c>
      <c r="R28" s="100">
        <v>0.64300000000000002</v>
      </c>
      <c r="S28" s="100">
        <v>7.4009999999999998</v>
      </c>
      <c r="T28" s="100">
        <v>0.66400000000000003</v>
      </c>
      <c r="U28" s="100">
        <v>2.7509999999999999</v>
      </c>
      <c r="V28" s="100">
        <v>9.1999999999999998E-2</v>
      </c>
      <c r="W28" s="100">
        <v>13.853</v>
      </c>
      <c r="X28" s="100">
        <v>19.248999999999999</v>
      </c>
      <c r="Y28" s="100">
        <v>2.0009999999999999</v>
      </c>
      <c r="Z28" s="100">
        <v>0</v>
      </c>
      <c r="AA28" s="100">
        <v>3.2000000000000001E-2</v>
      </c>
      <c r="AC28" s="99">
        <v>60.227374999999995</v>
      </c>
      <c r="AD28" s="99">
        <v>7.9163750000000004</v>
      </c>
      <c r="AF28" s="83">
        <f>AD28/151.9892/(AD28/151.9892+AC28/101.9601)</f>
        <v>8.1030933161227975E-2</v>
      </c>
      <c r="AG28" s="22">
        <f t="shared" ref="AG28:AG39" si="92">E28/AC28</f>
        <v>2.4626908050986182E-4</v>
      </c>
      <c r="AH28" s="126">
        <f>10000/(0.575+0.884*AF28-0.897*LN(AG28))-273</f>
        <v>961.58599257214269</v>
      </c>
      <c r="AI28" s="126">
        <f t="shared" ref="AI28:AI39" si="93">9525/(3.64-2.328*DJ28-0.0334*AL28*10-LN(DF28))-273</f>
        <v>961.58599257214269</v>
      </c>
      <c r="AJ28" s="126">
        <f t="shared" ref="AJ28:AJ39" si="94">AH28-AI28</f>
        <v>0</v>
      </c>
      <c r="AK28" s="12"/>
      <c r="AL28" s="25">
        <f t="shared" ref="AL28:AL39" si="95">FC28</f>
        <v>1.7704863016520931</v>
      </c>
      <c r="AN28" s="4">
        <v>15.999000000000001</v>
      </c>
      <c r="AO28" s="4">
        <v>28.085000000000001</v>
      </c>
      <c r="AP28" s="4">
        <v>47.866999999999997</v>
      </c>
      <c r="AQ28" s="4">
        <v>26.9815386</v>
      </c>
      <c r="AR28" s="4">
        <v>51.996099999999998</v>
      </c>
      <c r="AS28" s="4">
        <v>55.844999999999999</v>
      </c>
      <c r="AT28" s="4">
        <v>54.938045000000002</v>
      </c>
      <c r="AU28" s="4">
        <v>24.305</v>
      </c>
      <c r="AV28" s="4">
        <v>40.078000000000003</v>
      </c>
      <c r="AW28" s="4">
        <v>22.989769280000001</v>
      </c>
      <c r="AX28" s="4">
        <v>39.098300000000002</v>
      </c>
      <c r="AY28" s="4">
        <v>58.693399999999997</v>
      </c>
      <c r="BA28" s="4">
        <f>AN28*2+AO28</f>
        <v>60.082999999999998</v>
      </c>
      <c r="BB28" s="4">
        <f>AN28*2+AP28</f>
        <v>79.864999999999995</v>
      </c>
      <c r="BC28" s="4">
        <f>AQ28*2+AN28*3</f>
        <v>101.9600772</v>
      </c>
      <c r="BD28" s="4">
        <f>AR28*2+AN28*3</f>
        <v>151.98919999999998</v>
      </c>
      <c r="BE28" s="4">
        <f>AS28+AN28</f>
        <v>71.843999999999994</v>
      </c>
      <c r="BF28" s="4">
        <f>AT28+AN28</f>
        <v>70.937044999999998</v>
      </c>
      <c r="BG28" s="4">
        <f>AU28+AN28</f>
        <v>40.304000000000002</v>
      </c>
      <c r="BH28" s="4">
        <f>AV28+AN28</f>
        <v>56.077000000000005</v>
      </c>
      <c r="BI28" s="4">
        <f>AW28*2+AN28</f>
        <v>61.978538560000004</v>
      </c>
      <c r="BJ28" s="4">
        <f>AX28*2+AN28</f>
        <v>94.195599999999999</v>
      </c>
      <c r="BK28" s="4">
        <f>AY28+AN28</f>
        <v>74.692399999999992</v>
      </c>
      <c r="BM28" s="4">
        <f t="shared" ref="BM28:BM39" si="96">C28/BA28</f>
        <v>0.67289416307441385</v>
      </c>
      <c r="BN28" s="4">
        <f t="shared" ref="BN28:BN39" si="97">D28/BB28</f>
        <v>0</v>
      </c>
      <c r="BO28" s="4">
        <f t="shared" ref="BO28:BO39" si="98">E28/BC28</f>
        <v>1.4547007681917133E-4</v>
      </c>
      <c r="BP28" s="4">
        <f t="shared" ref="BP28:BP39" si="99">F28/BD28</f>
        <v>3.7791295885652965E-5</v>
      </c>
      <c r="BQ28" s="4">
        <f t="shared" ref="BQ28:BQ39" si="100">G28/BE28</f>
        <v>0.14924697956683927</v>
      </c>
      <c r="BR28" s="4">
        <f t="shared" ref="BR28:BR39" si="101">H28/BF28</f>
        <v>2.051114477632949E-3</v>
      </c>
      <c r="BS28" s="4">
        <f t="shared" ref="BS28:BS39" si="102">I28/BG28</f>
        <v>1.1810366216752679</v>
      </c>
      <c r="BT28" s="4">
        <f t="shared" ref="BT28:BT39" si="103">J28/BH28</f>
        <v>7.990979059713469E-4</v>
      </c>
      <c r="BU28" s="4">
        <f t="shared" ref="BU28:BU39" si="104">K28/BI28</f>
        <v>0</v>
      </c>
      <c r="BV28" s="4">
        <f t="shared" ref="BV28:BV39" si="105">L28/BJ28</f>
        <v>0</v>
      </c>
      <c r="BW28" s="4">
        <f t="shared" ref="BW28:BW39" si="106">M28/BK28</f>
        <v>5.2147206409219691E-3</v>
      </c>
      <c r="BY28" s="4">
        <f>BM28</f>
        <v>0.67289416307441385</v>
      </c>
      <c r="BZ28" s="4">
        <f t="shared" ref="BY28:BZ39" si="107">BN28</f>
        <v>0</v>
      </c>
      <c r="CA28" s="4">
        <f t="shared" ref="CA28:CB39" si="108">BO28*2</f>
        <v>2.9094015363834267E-4</v>
      </c>
      <c r="CB28" s="4">
        <f t="shared" si="108"/>
        <v>7.5582591771305931E-5</v>
      </c>
      <c r="CC28" s="4">
        <f t="shared" ref="CC28:CF39" si="109">BQ28</f>
        <v>0.14924697956683927</v>
      </c>
      <c r="CD28" s="4">
        <f t="shared" si="109"/>
        <v>2.051114477632949E-3</v>
      </c>
      <c r="CE28" s="4">
        <f t="shared" si="109"/>
        <v>1.1810366216752679</v>
      </c>
      <c r="CF28" s="4">
        <f t="shared" si="109"/>
        <v>7.990979059713469E-4</v>
      </c>
      <c r="CG28" s="4">
        <f t="shared" ref="CG28:CH39" si="110">BU28*2</f>
        <v>0</v>
      </c>
      <c r="CH28" s="4">
        <f t="shared" si="110"/>
        <v>0</v>
      </c>
      <c r="CI28" s="4">
        <f>BW28</f>
        <v>5.2147206409219691E-3</v>
      </c>
      <c r="CK28" s="69">
        <f t="shared" ref="CK28:CL39" si="111">BM28*2</f>
        <v>1.3457883261488277</v>
      </c>
      <c r="CL28" s="69">
        <f t="shared" si="111"/>
        <v>0</v>
      </c>
      <c r="CM28" s="69">
        <f t="shared" ref="CM28:CN39" si="112">BO28*3</f>
        <v>4.36410230457514E-4</v>
      </c>
      <c r="CN28" s="69">
        <f t="shared" si="112"/>
        <v>1.133738876569589E-4</v>
      </c>
      <c r="CO28" s="69">
        <f t="shared" ref="CO28:CU39" si="113">BQ28</f>
        <v>0.14924697956683927</v>
      </c>
      <c r="CP28" s="69">
        <f t="shared" si="113"/>
        <v>2.051114477632949E-3</v>
      </c>
      <c r="CQ28" s="69">
        <f t="shared" si="113"/>
        <v>1.1810366216752679</v>
      </c>
      <c r="CR28" s="69">
        <f t="shared" si="113"/>
        <v>7.990979059713469E-4</v>
      </c>
      <c r="CS28" s="69">
        <f t="shared" si="113"/>
        <v>0</v>
      </c>
      <c r="CT28" s="69">
        <f t="shared" si="113"/>
        <v>0</v>
      </c>
      <c r="CU28" s="69">
        <f t="shared" si="113"/>
        <v>5.2147206409219691E-3</v>
      </c>
      <c r="CV28" s="69">
        <f t="shared" ref="CV28:CV39" si="114">SUM(CK28:CU28)</f>
        <v>2.684686644533576</v>
      </c>
      <c r="CW28" s="16">
        <f t="shared" ref="CW28:CW39" si="115">4/CV28</f>
        <v>1.4899317982396936</v>
      </c>
      <c r="CY28" s="23">
        <f t="shared" ref="CY28:DI39" si="116">BY28*$CW28</f>
        <v>1.0025664104144552</v>
      </c>
      <c r="CZ28" s="23">
        <f t="shared" si="116"/>
        <v>0</v>
      </c>
      <c r="DA28" s="23">
        <f t="shared" si="116"/>
        <v>4.3348098629050861E-4</v>
      </c>
      <c r="DB28" s="23">
        <f t="shared" si="116"/>
        <v>1.1261290687343851E-4</v>
      </c>
      <c r="DC28" s="23">
        <f t="shared" si="116"/>
        <v>0.22236782064786365</v>
      </c>
      <c r="DD28" s="23">
        <f t="shared" si="116"/>
        <v>3.0560206820551294E-3</v>
      </c>
      <c r="DE28" s="23">
        <f t="shared" si="116"/>
        <v>1.7596640175195646</v>
      </c>
      <c r="DF28" s="23">
        <f t="shared" si="116"/>
        <v>1.1906013800134624E-3</v>
      </c>
      <c r="DG28" s="23">
        <f t="shared" si="116"/>
        <v>0</v>
      </c>
      <c r="DH28" s="23">
        <f t="shared" si="116"/>
        <v>0</v>
      </c>
      <c r="DI28" s="23">
        <f t="shared" si="116"/>
        <v>7.7695781018465165E-3</v>
      </c>
      <c r="DJ28" s="16">
        <f t="shared" ref="DJ28:DJ39" si="117">DE28/(DE28+DC28)</f>
        <v>0.88780814900861371</v>
      </c>
      <c r="DL28" s="4">
        <f t="shared" ref="DL28:DL39" si="118">Q28/BA28</f>
        <v>0.89125043689562777</v>
      </c>
      <c r="DM28" s="4">
        <f t="shared" ref="DM28:DM39" si="119">R28/BB28</f>
        <v>8.0510862079759601E-3</v>
      </c>
      <c r="DN28" s="4">
        <f t="shared" ref="DN28:DN39" si="120">S28/BC28</f>
        <v>7.2587234172867027E-2</v>
      </c>
      <c r="DO28" s="4">
        <f t="shared" ref="DO28:DO39" si="121">T28/BD28</f>
        <v>4.3687314624986521E-3</v>
      </c>
      <c r="DP28" s="4">
        <f t="shared" ref="DP28:DP39" si="122">U28/BE28</f>
        <v>3.8291297811925841E-2</v>
      </c>
      <c r="DQ28" s="4">
        <f t="shared" ref="DQ28:DQ39" si="123">V28/BF28</f>
        <v>1.2969246181596655E-3</v>
      </c>
      <c r="DR28" s="4">
        <f t="shared" ref="DR28:DR39" si="124">W28/BG28</f>
        <v>0.34371278285033741</v>
      </c>
      <c r="DS28" s="4">
        <f t="shared" ref="DS28:DS39" si="125">X28/BH28</f>
        <v>0.34326016013695448</v>
      </c>
      <c r="DT28" s="4">
        <f t="shared" ref="DT28:DT39" si="126">Y28/BI28</f>
        <v>3.2285369201838755E-2</v>
      </c>
      <c r="DU28" s="4">
        <f t="shared" ref="DU28:DU39" si="127">Z28/BJ28</f>
        <v>0</v>
      </c>
      <c r="DV28" s="4">
        <f t="shared" ref="DV28:DV39" si="128">AA28/BK28</f>
        <v>4.2842377537741461E-4</v>
      </c>
      <c r="DX28" s="69">
        <f t="shared" ref="DX28:DY39" si="129">DL28*2</f>
        <v>1.7825008737912555</v>
      </c>
      <c r="DY28" s="69">
        <f t="shared" si="129"/>
        <v>1.610217241595192E-2</v>
      </c>
      <c r="DZ28" s="69">
        <f t="shared" ref="DZ28:EA39" si="130">DN28*3</f>
        <v>0.21776170251860108</v>
      </c>
      <c r="EA28" s="69">
        <f t="shared" si="130"/>
        <v>1.3106194387495957E-2</v>
      </c>
      <c r="EB28" s="69">
        <f t="shared" ref="EB28:EH39" si="131">DP28</f>
        <v>3.8291297811925841E-2</v>
      </c>
      <c r="EC28" s="69">
        <f t="shared" si="131"/>
        <v>1.2969246181596655E-3</v>
      </c>
      <c r="ED28" s="69">
        <f t="shared" si="131"/>
        <v>0.34371278285033741</v>
      </c>
      <c r="EE28" s="69">
        <f t="shared" si="131"/>
        <v>0.34326016013695448</v>
      </c>
      <c r="EF28" s="69">
        <f t="shared" si="131"/>
        <v>3.2285369201838755E-2</v>
      </c>
      <c r="EG28" s="69">
        <f t="shared" si="131"/>
        <v>0</v>
      </c>
      <c r="EH28" s="69">
        <f t="shared" si="131"/>
        <v>4.2842377537741461E-4</v>
      </c>
      <c r="EI28" s="69">
        <f t="shared" ref="EI28:EI39" si="132">SUM(DX28:EH28)</f>
        <v>2.7887459015078986</v>
      </c>
      <c r="EJ28" s="69">
        <f>6/EI28</f>
        <v>2.1515047307665247</v>
      </c>
      <c r="EL28" s="23">
        <f t="shared" ref="EL28:EM39" si="133">DL28*$EJ28</f>
        <v>1.9175295312786751</v>
      </c>
      <c r="EM28" s="23">
        <f t="shared" si="133"/>
        <v>1.7321950064269398E-2</v>
      </c>
      <c r="EN28" s="23">
        <f t="shared" ref="EN28:EO39" si="134">2*DN28*$EJ28</f>
        <v>0.31234355543236192</v>
      </c>
      <c r="EO28" s="23">
        <f t="shared" si="134"/>
        <v>1.8798692818028817E-2</v>
      </c>
      <c r="EP28" s="23">
        <f t="shared" ref="EP28:ES39" si="135">DP28*$EJ28</f>
        <v>8.238390838954833E-2</v>
      </c>
      <c r="EQ28" s="23">
        <f t="shared" si="135"/>
        <v>2.7903394514180889E-3</v>
      </c>
      <c r="ER28" s="23">
        <f t="shared" si="135"/>
        <v>0.73949967832742813</v>
      </c>
      <c r="ES28" s="23">
        <f t="shared" si="135"/>
        <v>0.7385258584183324</v>
      </c>
      <c r="ET28" s="23">
        <f t="shared" ref="ET28:EU39" si="136">2*DT28*$EJ28</f>
        <v>0.13892424914459989</v>
      </c>
      <c r="EU28" s="23">
        <f t="shared" si="136"/>
        <v>0</v>
      </c>
      <c r="EV28" s="23">
        <f t="shared" ref="EV28:EV39" si="137">DV28*$EJ28</f>
        <v>9.217557794973625E-4</v>
      </c>
      <c r="EX28" s="14">
        <f t="shared" ref="EX28:EX39" si="138">LN(DF28/ES28)</f>
        <v>-6.4301975753156588</v>
      </c>
      <c r="EY28" s="4">
        <f t="shared" ref="EY28:EY39" si="139">(-(AH28+273)*EX28-11982+3.61*(AH28+273))/56.2/10</f>
        <v>0.73574250736922153</v>
      </c>
      <c r="EZ28" s="4">
        <f t="shared" ref="EZ28:EZ39" si="140">(-(AH28+273)*EX28-5792-1.25*(AH28+273))/42.5/10</f>
        <v>1.4197632123315045</v>
      </c>
      <c r="FA28" s="4">
        <f t="shared" ref="FA28:FA39" si="141">IF(AH28&gt;(1275.25-273+2.827*EY28*10), EY28, EZ28)</f>
        <v>1.4197632123315045</v>
      </c>
      <c r="FC28" s="4">
        <f t="shared" ref="FC28:FC39" si="142">(3.64-2.328*DJ28-9525/(AH28+273)-LN(DF28))/0.0334/10</f>
        <v>1.7704863016520931</v>
      </c>
    </row>
    <row r="29" spans="1:159" x14ac:dyDescent="0.2">
      <c r="A29" s="24" t="s">
        <v>91</v>
      </c>
      <c r="B29" s="24" t="s">
        <v>122</v>
      </c>
      <c r="C29" s="98">
        <v>41.015500000000003</v>
      </c>
      <c r="D29" s="98">
        <v>0</v>
      </c>
      <c r="E29" s="90">
        <f t="shared" ref="E29:E39" si="143">N29/(26.9815*10000)*101.9601/2</f>
        <v>4.8180837796267806E-3</v>
      </c>
      <c r="F29" s="98">
        <v>1.7538530774423467E-3</v>
      </c>
      <c r="G29" s="98">
        <v>10.093</v>
      </c>
      <c r="H29" s="98">
        <v>0.1545</v>
      </c>
      <c r="I29" s="98">
        <v>48.32</v>
      </c>
      <c r="J29" s="92">
        <f t="shared" ref="J29:J39" si="144">O29/40.078*56.077/10000</f>
        <v>2.0875097147346831E-2</v>
      </c>
      <c r="K29" s="98">
        <v>0</v>
      </c>
      <c r="L29" s="98">
        <v>0</v>
      </c>
      <c r="M29" s="98">
        <v>0.38100000000000001</v>
      </c>
      <c r="N29" s="105">
        <v>25.5</v>
      </c>
      <c r="O29" s="123">
        <v>149.19345604639452</v>
      </c>
      <c r="P29" s="11"/>
      <c r="Q29" s="100">
        <v>53.131999999999998</v>
      </c>
      <c r="R29" s="100">
        <v>0.50700000000000001</v>
      </c>
      <c r="S29" s="100">
        <v>6.6689999999999996</v>
      </c>
      <c r="T29" s="100">
        <v>0.78800000000000003</v>
      </c>
      <c r="U29" s="100">
        <v>2.3090000000000002</v>
      </c>
      <c r="V29" s="100">
        <v>8.3000000000000004E-2</v>
      </c>
      <c r="W29" s="100">
        <v>13.917999999999999</v>
      </c>
      <c r="X29" s="100">
        <v>20.655000000000001</v>
      </c>
      <c r="Y29" s="100">
        <v>1.746</v>
      </c>
      <c r="Z29" s="100">
        <v>0</v>
      </c>
      <c r="AA29" s="100">
        <v>0.03</v>
      </c>
      <c r="AC29" s="99">
        <v>59.251624999999997</v>
      </c>
      <c r="AD29" s="99">
        <v>9.5721250000000015</v>
      </c>
      <c r="AF29" s="83">
        <f>AD29/151.9892/(AD29/151.9892+AC29/101.9601)</f>
        <v>9.7777569881644946E-2</v>
      </c>
      <c r="AG29" s="22">
        <f t="shared" si="92"/>
        <v>8.1315639522574793E-5</v>
      </c>
      <c r="AH29" s="126">
        <f t="shared" ref="AH29:AH39" si="145">10000/(0.575+0.884*AF29-0.897*LN(AG29))-273</f>
        <v>824.85887759639559</v>
      </c>
      <c r="AI29" s="126">
        <f t="shared" si="93"/>
        <v>824.85887759639559</v>
      </c>
      <c r="AJ29" s="126">
        <f t="shared" si="94"/>
        <v>0</v>
      </c>
      <c r="AK29" s="12"/>
      <c r="AL29" s="25">
        <f t="shared" si="95"/>
        <v>1.1607811782168538</v>
      </c>
      <c r="AN29" s="4">
        <v>15.999000000000001</v>
      </c>
      <c r="AO29" s="4">
        <v>28.085000000000001</v>
      </c>
      <c r="AP29" s="4">
        <v>47.866999999999997</v>
      </c>
      <c r="AQ29" s="4">
        <v>26.9815386</v>
      </c>
      <c r="AR29" s="4">
        <v>51.996099999999998</v>
      </c>
      <c r="AS29" s="4">
        <v>55.844999999999999</v>
      </c>
      <c r="AT29" s="4">
        <v>54.938045000000002</v>
      </c>
      <c r="AU29" s="4">
        <v>24.305</v>
      </c>
      <c r="AV29" s="4">
        <v>40.078000000000003</v>
      </c>
      <c r="AW29" s="4">
        <v>22.989769280000001</v>
      </c>
      <c r="AX29" s="4">
        <v>39.098300000000002</v>
      </c>
      <c r="AY29" s="4">
        <v>58.693399999999997</v>
      </c>
      <c r="BA29" s="4">
        <f>AN29*2+AO29</f>
        <v>60.082999999999998</v>
      </c>
      <c r="BB29" s="4">
        <f>AN29*2+AP29</f>
        <v>79.864999999999995</v>
      </c>
      <c r="BC29" s="4">
        <f>AQ29*2+AN29*3</f>
        <v>101.9600772</v>
      </c>
      <c r="BD29" s="4">
        <f>AR29*2+AN29*3</f>
        <v>151.98919999999998</v>
      </c>
      <c r="BE29" s="4">
        <f>AS29+AN29</f>
        <v>71.843999999999994</v>
      </c>
      <c r="BF29" s="4">
        <f>AT29+AN29</f>
        <v>70.937044999999998</v>
      </c>
      <c r="BG29" s="4">
        <f>AU29+AN29</f>
        <v>40.304000000000002</v>
      </c>
      <c r="BH29" s="4">
        <f>AV29+AN29</f>
        <v>56.077000000000005</v>
      </c>
      <c r="BI29" s="4">
        <f>AW29*2+AN29</f>
        <v>61.978538560000004</v>
      </c>
      <c r="BJ29" s="4">
        <f>AX29*2+AN29</f>
        <v>94.195599999999999</v>
      </c>
      <c r="BK29" s="4">
        <f>AY29+AN29</f>
        <v>74.692399999999992</v>
      </c>
      <c r="BM29" s="4">
        <f t="shared" si="96"/>
        <v>0.68264733784930853</v>
      </c>
      <c r="BN29" s="4">
        <f t="shared" si="97"/>
        <v>0</v>
      </c>
      <c r="BO29" s="4">
        <f t="shared" si="98"/>
        <v>4.7254610941259475E-5</v>
      </c>
      <c r="BP29" s="4">
        <f t="shared" si="99"/>
        <v>1.1539326987985639E-5</v>
      </c>
      <c r="BQ29" s="4">
        <f t="shared" si="100"/>
        <v>0.14048493959133679</v>
      </c>
      <c r="BR29" s="4">
        <f t="shared" si="101"/>
        <v>2.1779875381050902E-3</v>
      </c>
      <c r="BS29" s="4">
        <f t="shared" si="102"/>
        <v>1.1988884477967447</v>
      </c>
      <c r="BT29" s="4">
        <f t="shared" si="103"/>
        <v>3.7225773752780692E-4</v>
      </c>
      <c r="BU29" s="4">
        <f t="shared" si="104"/>
        <v>0</v>
      </c>
      <c r="BV29" s="4">
        <f t="shared" si="105"/>
        <v>0</v>
      </c>
      <c r="BW29" s="4">
        <f t="shared" si="106"/>
        <v>5.1009205755873427E-3</v>
      </c>
      <c r="BY29" s="4">
        <f t="shared" si="107"/>
        <v>0.68264733784930853</v>
      </c>
      <c r="BZ29" s="4">
        <f t="shared" si="107"/>
        <v>0</v>
      </c>
      <c r="CA29" s="4">
        <f t="shared" si="108"/>
        <v>9.4509221882518949E-5</v>
      </c>
      <c r="CB29" s="4">
        <f t="shared" si="108"/>
        <v>2.3078653975971279E-5</v>
      </c>
      <c r="CC29" s="4">
        <f t="shared" si="109"/>
        <v>0.14048493959133679</v>
      </c>
      <c r="CD29" s="4">
        <f t="shared" si="109"/>
        <v>2.1779875381050902E-3</v>
      </c>
      <c r="CE29" s="4">
        <f t="shared" si="109"/>
        <v>1.1988884477967447</v>
      </c>
      <c r="CF29" s="4">
        <f t="shared" si="109"/>
        <v>3.7225773752780692E-4</v>
      </c>
      <c r="CG29" s="4">
        <f t="shared" si="110"/>
        <v>0</v>
      </c>
      <c r="CH29" s="4">
        <f t="shared" si="110"/>
        <v>0</v>
      </c>
      <c r="CI29" s="4">
        <f>BW29</f>
        <v>5.1009205755873427E-3</v>
      </c>
      <c r="CK29" s="69">
        <f t="shared" si="111"/>
        <v>1.3652946756986171</v>
      </c>
      <c r="CL29" s="69">
        <f t="shared" si="111"/>
        <v>0</v>
      </c>
      <c r="CM29" s="69">
        <f t="shared" si="112"/>
        <v>1.4176383282377841E-4</v>
      </c>
      <c r="CN29" s="69">
        <f t="shared" si="112"/>
        <v>3.4617980963956919E-5</v>
      </c>
      <c r="CO29" s="69">
        <f t="shared" si="113"/>
        <v>0.14048493959133679</v>
      </c>
      <c r="CP29" s="69">
        <f t="shared" si="113"/>
        <v>2.1779875381050902E-3</v>
      </c>
      <c r="CQ29" s="69">
        <f t="shared" si="113"/>
        <v>1.1988884477967447</v>
      </c>
      <c r="CR29" s="69">
        <f t="shared" si="113"/>
        <v>3.7225773752780692E-4</v>
      </c>
      <c r="CS29" s="69">
        <f t="shared" si="113"/>
        <v>0</v>
      </c>
      <c r="CT29" s="69">
        <f t="shared" si="113"/>
        <v>0</v>
      </c>
      <c r="CU29" s="69">
        <f t="shared" si="113"/>
        <v>5.1009205755873427E-3</v>
      </c>
      <c r="CV29" s="69">
        <f t="shared" si="114"/>
        <v>2.7124956107517071</v>
      </c>
      <c r="CW29" s="16">
        <f t="shared" si="115"/>
        <v>1.4746567641049528</v>
      </c>
      <c r="CY29" s="23">
        <f t="shared" si="116"/>
        <v>1.0066705142577219</v>
      </c>
      <c r="CZ29" s="23">
        <f t="shared" si="116"/>
        <v>0</v>
      </c>
      <c r="DA29" s="23">
        <f t="shared" si="116"/>
        <v>1.3936866331935239E-4</v>
      </c>
      <c r="DB29" s="23">
        <f t="shared" si="116"/>
        <v>3.403309319210371E-5</v>
      </c>
      <c r="DC29" s="23">
        <f t="shared" si="116"/>
        <v>0.20716706642324048</v>
      </c>
      <c r="DD29" s="23">
        <f t="shared" si="116"/>
        <v>3.2117840552029651E-3</v>
      </c>
      <c r="DE29" s="23">
        <f t="shared" si="116"/>
        <v>1.7679489589507573</v>
      </c>
      <c r="DF29" s="23">
        <f t="shared" si="116"/>
        <v>5.4895239063578664E-4</v>
      </c>
      <c r="DG29" s="23">
        <f t="shared" si="116"/>
        <v>0</v>
      </c>
      <c r="DH29" s="23">
        <f t="shared" si="116"/>
        <v>0</v>
      </c>
      <c r="DI29" s="23">
        <f t="shared" si="116"/>
        <v>7.5221070299520045E-3</v>
      </c>
      <c r="DJ29" s="16">
        <f t="shared" si="117"/>
        <v>0.8951114447142352</v>
      </c>
      <c r="DL29" s="4">
        <f t="shared" si="118"/>
        <v>0.88431003778106954</v>
      </c>
      <c r="DM29" s="4">
        <f t="shared" si="119"/>
        <v>6.3482126087773122E-3</v>
      </c>
      <c r="DN29" s="4">
        <f t="shared" si="120"/>
        <v>6.5407953614221068E-2</v>
      </c>
      <c r="DO29" s="4">
        <f t="shared" si="121"/>
        <v>5.1845789042905691E-3</v>
      </c>
      <c r="DP29" s="4">
        <f t="shared" si="122"/>
        <v>3.2139079115862147E-2</v>
      </c>
      <c r="DQ29" s="4">
        <f t="shared" si="123"/>
        <v>1.1700515576875243E-3</v>
      </c>
      <c r="DR29" s="4">
        <f t="shared" si="124"/>
        <v>0.34532552600238187</v>
      </c>
      <c r="DS29" s="4">
        <f t="shared" si="125"/>
        <v>0.36833282807568163</v>
      </c>
      <c r="DT29" s="4">
        <f t="shared" si="126"/>
        <v>2.817104179230908E-2</v>
      </c>
      <c r="DU29" s="4">
        <f t="shared" si="127"/>
        <v>0</v>
      </c>
      <c r="DV29" s="4">
        <f t="shared" si="128"/>
        <v>4.0164728941632618E-4</v>
      </c>
      <c r="DX29" s="69">
        <f t="shared" si="129"/>
        <v>1.7686200755621391</v>
      </c>
      <c r="DY29" s="69">
        <f t="shared" si="129"/>
        <v>1.2696425217554624E-2</v>
      </c>
      <c r="DZ29" s="69">
        <f t="shared" si="130"/>
        <v>0.19622386084266319</v>
      </c>
      <c r="EA29" s="69">
        <f t="shared" si="130"/>
        <v>1.5553736712871708E-2</v>
      </c>
      <c r="EB29" s="69">
        <f t="shared" si="131"/>
        <v>3.2139079115862147E-2</v>
      </c>
      <c r="EC29" s="69">
        <f t="shared" si="131"/>
        <v>1.1700515576875243E-3</v>
      </c>
      <c r="ED29" s="69">
        <f t="shared" si="131"/>
        <v>0.34532552600238187</v>
      </c>
      <c r="EE29" s="69">
        <f t="shared" si="131"/>
        <v>0.36833282807568163</v>
      </c>
      <c r="EF29" s="69">
        <f t="shared" si="131"/>
        <v>2.817104179230908E-2</v>
      </c>
      <c r="EG29" s="69">
        <f t="shared" si="131"/>
        <v>0</v>
      </c>
      <c r="EH29" s="69">
        <f t="shared" si="131"/>
        <v>4.0164728941632618E-4</v>
      </c>
      <c r="EI29" s="69">
        <f t="shared" si="132"/>
        <v>2.7686342721685673</v>
      </c>
      <c r="EJ29" s="69">
        <f>6/EI29</f>
        <v>2.1671334709370713</v>
      </c>
      <c r="EL29" s="23">
        <f t="shared" si="133"/>
        <v>1.9164178815609818</v>
      </c>
      <c r="EM29" s="23">
        <f t="shared" si="133"/>
        <v>1.3757424025106057E-2</v>
      </c>
      <c r="EN29" s="23">
        <f t="shared" si="134"/>
        <v>0.2834955310857557</v>
      </c>
      <c r="EO29" s="23">
        <f t="shared" si="134"/>
        <v>2.2471348952404678E-2</v>
      </c>
      <c r="EP29" s="23">
        <f t="shared" si="135"/>
        <v>6.9649674077079476E-2</v>
      </c>
      <c r="EQ29" s="23">
        <f t="shared" si="135"/>
        <v>2.5356578933866912E-3</v>
      </c>
      <c r="ER29" s="23">
        <f t="shared" si="135"/>
        <v>0.74836650576871167</v>
      </c>
      <c r="ES29" s="23">
        <f t="shared" si="135"/>
        <v>0.79822640016771951</v>
      </c>
      <c r="ET29" s="23">
        <f t="shared" si="136"/>
        <v>0.12210081515856014</v>
      </c>
      <c r="EU29" s="23">
        <f t="shared" si="136"/>
        <v>0</v>
      </c>
      <c r="EV29" s="23">
        <f t="shared" si="137"/>
        <v>8.7042328440526935E-4</v>
      </c>
      <c r="EX29" s="14">
        <f t="shared" si="138"/>
        <v>-7.2821358280816515</v>
      </c>
      <c r="EY29" s="4">
        <f t="shared" si="139"/>
        <v>-4.2654777855501036E-2</v>
      </c>
      <c r="EZ29" s="4">
        <f t="shared" si="140"/>
        <v>1.9539620464158265</v>
      </c>
      <c r="FA29" s="4">
        <f t="shared" si="141"/>
        <v>1.9539620464158265</v>
      </c>
      <c r="FC29" s="4">
        <f t="shared" si="142"/>
        <v>1.1607811782168538</v>
      </c>
    </row>
    <row r="30" spans="1:159" x14ac:dyDescent="0.2">
      <c r="A30" s="24" t="s">
        <v>93</v>
      </c>
      <c r="B30" s="24" t="s">
        <v>122</v>
      </c>
      <c r="C30" s="98">
        <v>40.644500000000001</v>
      </c>
      <c r="D30" s="98">
        <v>0</v>
      </c>
      <c r="E30" s="90">
        <f t="shared" si="143"/>
        <v>4.2323559475937215E-3</v>
      </c>
      <c r="F30" s="98">
        <v>1.5784677696981122E-3</v>
      </c>
      <c r="G30" s="98">
        <v>10.081</v>
      </c>
      <c r="H30" s="98">
        <v>0.13950000000000001</v>
      </c>
      <c r="I30" s="98">
        <v>48.487499999999997</v>
      </c>
      <c r="J30" s="92">
        <f t="shared" si="144"/>
        <v>1.8983856909205558E-2</v>
      </c>
      <c r="K30" s="98">
        <v>0</v>
      </c>
      <c r="L30" s="98">
        <v>0</v>
      </c>
      <c r="M30" s="98">
        <v>0.41849999999999998</v>
      </c>
      <c r="N30" s="105">
        <v>22.4</v>
      </c>
      <c r="O30" s="123">
        <v>135.67684027446913</v>
      </c>
      <c r="P30" s="11"/>
      <c r="Q30" s="100">
        <v>53.948</v>
      </c>
      <c r="R30" s="100">
        <v>0.31</v>
      </c>
      <c r="S30" s="100">
        <v>4.8849999999999998</v>
      </c>
      <c r="T30" s="100">
        <v>0.629</v>
      </c>
      <c r="U30" s="100">
        <v>2.3570000000000002</v>
      </c>
      <c r="V30" s="100">
        <v>5.6000000000000001E-2</v>
      </c>
      <c r="W30" s="100">
        <v>14.917</v>
      </c>
      <c r="X30" s="100">
        <v>22.408999999999999</v>
      </c>
      <c r="Y30" s="100">
        <v>1.008</v>
      </c>
      <c r="Z30" s="100">
        <v>0</v>
      </c>
      <c r="AA30" s="100">
        <v>5.8999999999999997E-2</v>
      </c>
      <c r="AC30" s="99">
        <v>57.688999999999993</v>
      </c>
      <c r="AD30" s="99">
        <v>11.581</v>
      </c>
      <c r="AF30" s="83">
        <f t="shared" ref="AF30:AF39" si="146">AD30/151.9892/(AD30/151.9892+AC30/101.9601)</f>
        <v>0.11868642154189818</v>
      </c>
      <c r="AG30" s="22">
        <f t="shared" si="92"/>
        <v>7.336504268740526E-5</v>
      </c>
      <c r="AH30" s="126">
        <f t="shared" si="145"/>
        <v>811.66748407325827</v>
      </c>
      <c r="AI30" s="126">
        <f t="shared" si="93"/>
        <v>811.66748407325827</v>
      </c>
      <c r="AJ30" s="126">
        <f t="shared" si="94"/>
        <v>0</v>
      </c>
      <c r="AK30" s="12"/>
      <c r="AL30" s="25">
        <f t="shared" si="95"/>
        <v>1.1171857647811878</v>
      </c>
      <c r="AN30" s="4">
        <v>15.999000000000001</v>
      </c>
      <c r="AO30" s="4">
        <v>28.085000000000001</v>
      </c>
      <c r="AP30" s="4">
        <v>47.866999999999997</v>
      </c>
      <c r="AQ30" s="4">
        <v>26.9815386</v>
      </c>
      <c r="AR30" s="4">
        <v>51.996099999999998</v>
      </c>
      <c r="AS30" s="4">
        <v>55.844999999999999</v>
      </c>
      <c r="AT30" s="4">
        <v>54.938045000000002</v>
      </c>
      <c r="AU30" s="4">
        <v>24.305</v>
      </c>
      <c r="AV30" s="4">
        <v>40.078000000000003</v>
      </c>
      <c r="AW30" s="4">
        <v>22.989769280000001</v>
      </c>
      <c r="AX30" s="4">
        <v>39.098300000000002</v>
      </c>
      <c r="AY30" s="4">
        <v>58.693399999999997</v>
      </c>
      <c r="BA30" s="4">
        <f>AN30*2+AO30</f>
        <v>60.082999999999998</v>
      </c>
      <c r="BB30" s="4">
        <f>AN30*2+AP30</f>
        <v>79.864999999999995</v>
      </c>
      <c r="BC30" s="4">
        <f>AQ30*2+AN30*3</f>
        <v>101.9600772</v>
      </c>
      <c r="BD30" s="4">
        <f>AR30*2+AN30*3</f>
        <v>151.98919999999998</v>
      </c>
      <c r="BE30" s="4">
        <f>AS30+AN30</f>
        <v>71.843999999999994</v>
      </c>
      <c r="BF30" s="4">
        <f>AT30+AN30</f>
        <v>70.937044999999998</v>
      </c>
      <c r="BG30" s="4">
        <f>AU30+AN30</f>
        <v>40.304000000000002</v>
      </c>
      <c r="BH30" s="4">
        <f>AV30+AN30</f>
        <v>56.077000000000005</v>
      </c>
      <c r="BI30" s="4">
        <f>AW30*2+AN30</f>
        <v>61.978538560000004</v>
      </c>
      <c r="BJ30" s="4">
        <f>AX30*2+AN30</f>
        <v>94.195599999999999</v>
      </c>
      <c r="BK30" s="4">
        <f>AY30+AN30</f>
        <v>74.692399999999992</v>
      </c>
      <c r="BM30" s="4">
        <f t="shared" si="96"/>
        <v>0.67647254631093656</v>
      </c>
      <c r="BN30" s="4">
        <f t="shared" si="97"/>
        <v>0</v>
      </c>
      <c r="BO30" s="4">
        <f t="shared" si="98"/>
        <v>4.1509932748400482E-5</v>
      </c>
      <c r="BP30" s="4">
        <f t="shared" si="99"/>
        <v>1.0385394289187076E-5</v>
      </c>
      <c r="BQ30" s="4">
        <f t="shared" si="100"/>
        <v>0.14031791102945271</v>
      </c>
      <c r="BR30" s="4">
        <f t="shared" si="101"/>
        <v>1.9665324373181886E-3</v>
      </c>
      <c r="BS30" s="4">
        <f t="shared" si="102"/>
        <v>1.2030443628423977</v>
      </c>
      <c r="BT30" s="4">
        <f t="shared" si="103"/>
        <v>3.3853196335762532E-4</v>
      </c>
      <c r="BU30" s="4">
        <f t="shared" si="104"/>
        <v>0</v>
      </c>
      <c r="BV30" s="4">
        <f t="shared" si="105"/>
        <v>0</v>
      </c>
      <c r="BW30" s="4">
        <f t="shared" si="106"/>
        <v>5.6029796873577507E-3</v>
      </c>
      <c r="BY30" s="4">
        <f t="shared" si="107"/>
        <v>0.67647254631093656</v>
      </c>
      <c r="BZ30" s="4">
        <f t="shared" si="107"/>
        <v>0</v>
      </c>
      <c r="CA30" s="4">
        <f t="shared" si="108"/>
        <v>8.3019865496800963E-5</v>
      </c>
      <c r="CB30" s="4">
        <f t="shared" si="108"/>
        <v>2.0770788578374152E-5</v>
      </c>
      <c r="CC30" s="4">
        <f t="shared" si="109"/>
        <v>0.14031791102945271</v>
      </c>
      <c r="CD30" s="4">
        <f t="shared" si="109"/>
        <v>1.9665324373181886E-3</v>
      </c>
      <c r="CE30" s="4">
        <f t="shared" si="109"/>
        <v>1.2030443628423977</v>
      </c>
      <c r="CF30" s="4">
        <f t="shared" si="109"/>
        <v>3.3853196335762532E-4</v>
      </c>
      <c r="CG30" s="4">
        <f t="shared" si="110"/>
        <v>0</v>
      </c>
      <c r="CH30" s="4">
        <f t="shared" si="110"/>
        <v>0</v>
      </c>
      <c r="CI30" s="4">
        <f>BW30</f>
        <v>5.6029796873577507E-3</v>
      </c>
      <c r="CK30" s="69">
        <f t="shared" si="111"/>
        <v>1.3529450926218731</v>
      </c>
      <c r="CL30" s="69">
        <f t="shared" si="111"/>
        <v>0</v>
      </c>
      <c r="CM30" s="69">
        <f t="shared" si="112"/>
        <v>1.2452979824520145E-4</v>
      </c>
      <c r="CN30" s="69">
        <f t="shared" si="112"/>
        <v>3.1156182867561227E-5</v>
      </c>
      <c r="CO30" s="69">
        <f t="shared" si="113"/>
        <v>0.14031791102945271</v>
      </c>
      <c r="CP30" s="69">
        <f t="shared" si="113"/>
        <v>1.9665324373181886E-3</v>
      </c>
      <c r="CQ30" s="69">
        <f t="shared" si="113"/>
        <v>1.2030443628423977</v>
      </c>
      <c r="CR30" s="69">
        <f t="shared" si="113"/>
        <v>3.3853196335762532E-4</v>
      </c>
      <c r="CS30" s="69">
        <f t="shared" si="113"/>
        <v>0</v>
      </c>
      <c r="CT30" s="69">
        <f t="shared" si="113"/>
        <v>0</v>
      </c>
      <c r="CU30" s="69">
        <f t="shared" si="113"/>
        <v>5.6029796873577507E-3</v>
      </c>
      <c r="CV30" s="69">
        <f t="shared" si="114"/>
        <v>2.7043710965628698</v>
      </c>
      <c r="CW30" s="16">
        <f t="shared" si="115"/>
        <v>1.4790869511524563</v>
      </c>
      <c r="CY30" s="23">
        <f t="shared" si="116"/>
        <v>1.000561716061382</v>
      </c>
      <c r="CZ30" s="23">
        <f t="shared" si="116"/>
        <v>0</v>
      </c>
      <c r="DA30" s="23">
        <f t="shared" si="116"/>
        <v>1.2279359974275034E-4</v>
      </c>
      <c r="DB30" s="23">
        <f t="shared" si="116"/>
        <v>3.0721802351419685E-5</v>
      </c>
      <c r="DC30" s="23">
        <f t="shared" si="116"/>
        <v>0.20754239121663481</v>
      </c>
      <c r="DD30" s="23">
        <f t="shared" si="116"/>
        <v>2.9086724670553685E-3</v>
      </c>
      <c r="DE30" s="23">
        <f t="shared" si="116"/>
        <v>1.7794072187377112</v>
      </c>
      <c r="DF30" s="23">
        <f t="shared" si="116"/>
        <v>5.0071820955028504E-4</v>
      </c>
      <c r="DG30" s="23">
        <f t="shared" si="116"/>
        <v>0</v>
      </c>
      <c r="DH30" s="23">
        <f t="shared" si="116"/>
        <v>0</v>
      </c>
      <c r="DI30" s="23">
        <f t="shared" si="116"/>
        <v>8.2872941431431178E-3</v>
      </c>
      <c r="DJ30" s="16">
        <f t="shared" si="117"/>
        <v>0.89554722969476641</v>
      </c>
      <c r="DL30" s="4">
        <f t="shared" si="118"/>
        <v>0.89789125043689566</v>
      </c>
      <c r="DM30" s="4">
        <f t="shared" si="119"/>
        <v>3.8815501158204471E-3</v>
      </c>
      <c r="DN30" s="4">
        <f t="shared" si="120"/>
        <v>4.7910909192603081E-2</v>
      </c>
      <c r="DO30" s="4">
        <f t="shared" si="121"/>
        <v>4.1384519426380297E-3</v>
      </c>
      <c r="DP30" s="4">
        <f t="shared" si="122"/>
        <v>3.2807193363398483E-2</v>
      </c>
      <c r="DQ30" s="4">
        <f t="shared" si="123"/>
        <v>7.8943237627110072E-4</v>
      </c>
      <c r="DR30" s="4">
        <f t="shared" si="124"/>
        <v>0.37011214767764983</v>
      </c>
      <c r="DS30" s="4">
        <f t="shared" si="125"/>
        <v>0.39961124881858867</v>
      </c>
      <c r="DT30" s="4">
        <f t="shared" si="126"/>
        <v>1.6263694230611428E-2</v>
      </c>
      <c r="DU30" s="4">
        <f t="shared" si="127"/>
        <v>0</v>
      </c>
      <c r="DV30" s="4">
        <f t="shared" si="128"/>
        <v>7.8990633585210811E-4</v>
      </c>
      <c r="DX30" s="69">
        <f t="shared" si="129"/>
        <v>1.7957825008737913</v>
      </c>
      <c r="DY30" s="69">
        <f t="shared" si="129"/>
        <v>7.7631002316408942E-3</v>
      </c>
      <c r="DZ30" s="69">
        <f t="shared" si="130"/>
        <v>0.14373272757780925</v>
      </c>
      <c r="EA30" s="69">
        <f t="shared" si="130"/>
        <v>1.2415355827914089E-2</v>
      </c>
      <c r="EB30" s="69">
        <f t="shared" si="131"/>
        <v>3.2807193363398483E-2</v>
      </c>
      <c r="EC30" s="69">
        <f t="shared" si="131"/>
        <v>7.8943237627110072E-4</v>
      </c>
      <c r="ED30" s="69">
        <f t="shared" si="131"/>
        <v>0.37011214767764983</v>
      </c>
      <c r="EE30" s="69">
        <f t="shared" si="131"/>
        <v>0.39961124881858867</v>
      </c>
      <c r="EF30" s="69">
        <f t="shared" si="131"/>
        <v>1.6263694230611428E-2</v>
      </c>
      <c r="EG30" s="69">
        <f t="shared" si="131"/>
        <v>0</v>
      </c>
      <c r="EH30" s="69">
        <f t="shared" si="131"/>
        <v>7.8990633585210811E-4</v>
      </c>
      <c r="EI30" s="69">
        <f t="shared" si="132"/>
        <v>2.7800673073135274</v>
      </c>
      <c r="EJ30" s="69">
        <f>6/EI30</f>
        <v>2.1582211280337678</v>
      </c>
      <c r="EL30" s="23">
        <f t="shared" si="133"/>
        <v>1.9378478673695672</v>
      </c>
      <c r="EM30" s="23">
        <f t="shared" si="133"/>
        <v>8.3772434694856079E-3</v>
      </c>
      <c r="EN30" s="23">
        <f t="shared" si="134"/>
        <v>0.20680467296556646</v>
      </c>
      <c r="EO30" s="23">
        <f t="shared" si="134"/>
        <v>1.7863388839907571E-2</v>
      </c>
      <c r="EP30" s="23">
        <f t="shared" si="135"/>
        <v>7.0805177868375813E-2</v>
      </c>
      <c r="EQ30" s="23">
        <f t="shared" si="135"/>
        <v>1.7037696336221929E-3</v>
      </c>
      <c r="ER30" s="23">
        <f t="shared" si="135"/>
        <v>0.79878385685985787</v>
      </c>
      <c r="ES30" s="23">
        <f t="shared" si="135"/>
        <v>0.86244944020023706</v>
      </c>
      <c r="ET30" s="23">
        <f t="shared" si="136"/>
        <v>7.0201297016772954E-2</v>
      </c>
      <c r="EU30" s="23">
        <f t="shared" si="136"/>
        <v>0</v>
      </c>
      <c r="EV30" s="23">
        <f t="shared" si="137"/>
        <v>1.704792543203757E-3</v>
      </c>
      <c r="EX30" s="14">
        <f t="shared" si="138"/>
        <v>-7.4514883192520296</v>
      </c>
      <c r="EY30" s="4">
        <f t="shared" si="139"/>
        <v>2.8535062898278618E-2</v>
      </c>
      <c r="EZ30" s="4">
        <f t="shared" si="140"/>
        <v>2.1989476064771707</v>
      </c>
      <c r="FA30" s="4">
        <f t="shared" si="141"/>
        <v>2.1989476064771707</v>
      </c>
      <c r="FC30" s="4">
        <f t="shared" si="142"/>
        <v>1.1171857647811878</v>
      </c>
    </row>
    <row r="31" spans="1:159" x14ac:dyDescent="0.2">
      <c r="A31" s="24" t="s">
        <v>94</v>
      </c>
      <c r="B31" s="24" t="s">
        <v>122</v>
      </c>
      <c r="C31" s="98">
        <v>40.668999999999997</v>
      </c>
      <c r="D31" s="98">
        <v>0</v>
      </c>
      <c r="E31" s="90">
        <f t="shared" si="143"/>
        <v>1.4737668031799565E-2</v>
      </c>
      <c r="F31" s="98">
        <v>9.6754228105569474E-3</v>
      </c>
      <c r="G31" s="98">
        <v>9.5530000000000008</v>
      </c>
      <c r="H31" s="98">
        <v>0.14099999999999999</v>
      </c>
      <c r="I31" s="98">
        <v>47.445</v>
      </c>
      <c r="J31" s="92">
        <f t="shared" si="144"/>
        <v>4.3063485956904929E-2</v>
      </c>
      <c r="K31" s="98">
        <v>0</v>
      </c>
      <c r="L31" s="98">
        <v>0</v>
      </c>
      <c r="M31" s="98">
        <v>0.374</v>
      </c>
      <c r="N31" s="105">
        <v>78</v>
      </c>
      <c r="O31" s="123">
        <v>307.77295329294293</v>
      </c>
      <c r="P31" s="11"/>
      <c r="Q31" s="100">
        <v>53.612000000000002</v>
      </c>
      <c r="R31" s="100">
        <v>0.18</v>
      </c>
      <c r="S31" s="100">
        <v>4.1390000000000002</v>
      </c>
      <c r="T31" s="100">
        <v>0.76900000000000002</v>
      </c>
      <c r="U31" s="100">
        <v>2.5289999999999999</v>
      </c>
      <c r="V31" s="100">
        <v>7.8E-2</v>
      </c>
      <c r="W31" s="100">
        <v>15.577999999999999</v>
      </c>
      <c r="X31" s="100">
        <v>21.824999999999999</v>
      </c>
      <c r="Y31" s="100">
        <v>0.72499999999999998</v>
      </c>
      <c r="Z31" s="100">
        <v>0</v>
      </c>
      <c r="AA31" s="100">
        <v>6.8000000000000005E-2</v>
      </c>
      <c r="AC31" s="99">
        <v>53.850499999999997</v>
      </c>
      <c r="AD31" s="99">
        <v>14.707999999999998</v>
      </c>
      <c r="AF31" s="83">
        <f t="shared" si="146"/>
        <v>0.15485120263410565</v>
      </c>
      <c r="AG31" s="22">
        <f t="shared" si="92"/>
        <v>2.7367745948133379E-4</v>
      </c>
      <c r="AH31" s="126">
        <f t="shared" si="145"/>
        <v>966.08335773787894</v>
      </c>
      <c r="AI31" s="126">
        <f t="shared" si="93"/>
        <v>966.08335773787894</v>
      </c>
      <c r="AJ31" s="126">
        <f t="shared" si="94"/>
        <v>0</v>
      </c>
      <c r="AK31" s="12"/>
      <c r="AL31" s="25">
        <f t="shared" si="95"/>
        <v>1.8849902354758417</v>
      </c>
      <c r="AN31" s="4">
        <v>15.999000000000001</v>
      </c>
      <c r="AO31" s="4">
        <v>28.085000000000001</v>
      </c>
      <c r="AP31" s="4">
        <v>47.866999999999997</v>
      </c>
      <c r="AQ31" s="4">
        <v>26.9815386</v>
      </c>
      <c r="AR31" s="4">
        <v>51.996099999999998</v>
      </c>
      <c r="AS31" s="4">
        <v>55.844999999999999</v>
      </c>
      <c r="AT31" s="4">
        <v>54.938045000000002</v>
      </c>
      <c r="AU31" s="4">
        <v>24.305</v>
      </c>
      <c r="AV31" s="4">
        <v>40.078000000000003</v>
      </c>
      <c r="AW31" s="4">
        <v>22.989769280000001</v>
      </c>
      <c r="AX31" s="4">
        <v>39.098300000000002</v>
      </c>
      <c r="AY31" s="4">
        <v>58.693399999999997</v>
      </c>
      <c r="BA31" s="4">
        <f>AN31*2+AO31</f>
        <v>60.082999999999998</v>
      </c>
      <c r="BB31" s="4">
        <f>AN31*2+AP31</f>
        <v>79.864999999999995</v>
      </c>
      <c r="BC31" s="4">
        <f>AQ31*2+AN31*3</f>
        <v>101.9600772</v>
      </c>
      <c r="BD31" s="4">
        <f>AR31*2+AN31*3</f>
        <v>151.98919999999998</v>
      </c>
      <c r="BE31" s="4">
        <f>AS31+AN31</f>
        <v>71.843999999999994</v>
      </c>
      <c r="BF31" s="4">
        <f>AT31+AN31</f>
        <v>70.937044999999998</v>
      </c>
      <c r="BG31" s="4">
        <f>AU31+AN31</f>
        <v>40.304000000000002</v>
      </c>
      <c r="BH31" s="4">
        <f>AV31+AN31</f>
        <v>56.077000000000005</v>
      </c>
      <c r="BI31" s="4">
        <f>AW31*2+AN31</f>
        <v>61.978538560000004</v>
      </c>
      <c r="BJ31" s="4">
        <f>AX31*2+AN31</f>
        <v>94.195599999999999</v>
      </c>
      <c r="BK31" s="4">
        <f>AY31+AN31</f>
        <v>74.692399999999992</v>
      </c>
      <c r="BM31" s="4">
        <f t="shared" si="96"/>
        <v>0.6768803155634705</v>
      </c>
      <c r="BN31" s="4">
        <f t="shared" si="97"/>
        <v>0</v>
      </c>
      <c r="BO31" s="4">
        <f t="shared" si="98"/>
        <v>1.445435158203231E-4</v>
      </c>
      <c r="BP31" s="4">
        <f t="shared" si="99"/>
        <v>6.3658620550387449E-5</v>
      </c>
      <c r="BQ31" s="4">
        <f t="shared" si="100"/>
        <v>0.13296865430655311</v>
      </c>
      <c r="BR31" s="4">
        <f t="shared" si="101"/>
        <v>1.9876779473968782E-3</v>
      </c>
      <c r="BS31" s="4">
        <f t="shared" si="102"/>
        <v>1.1771784438269155</v>
      </c>
      <c r="BT31" s="4">
        <f t="shared" si="103"/>
        <v>7.6793491015754987E-4</v>
      </c>
      <c r="BU31" s="4">
        <f t="shared" si="104"/>
        <v>0</v>
      </c>
      <c r="BV31" s="4">
        <f t="shared" si="105"/>
        <v>0</v>
      </c>
      <c r="BW31" s="4">
        <f t="shared" si="106"/>
        <v>5.0072028747235337E-3</v>
      </c>
      <c r="BY31" s="4">
        <f t="shared" si="107"/>
        <v>0.6768803155634705</v>
      </c>
      <c r="BZ31" s="4">
        <f t="shared" si="107"/>
        <v>0</v>
      </c>
      <c r="CA31" s="4">
        <f t="shared" si="108"/>
        <v>2.890870316406462E-4</v>
      </c>
      <c r="CB31" s="4">
        <f t="shared" si="108"/>
        <v>1.273172411007749E-4</v>
      </c>
      <c r="CC31" s="4">
        <f t="shared" si="109"/>
        <v>0.13296865430655311</v>
      </c>
      <c r="CD31" s="4">
        <f t="shared" si="109"/>
        <v>1.9876779473968782E-3</v>
      </c>
      <c r="CE31" s="4">
        <f t="shared" si="109"/>
        <v>1.1771784438269155</v>
      </c>
      <c r="CF31" s="4">
        <f t="shared" si="109"/>
        <v>7.6793491015754987E-4</v>
      </c>
      <c r="CG31" s="4">
        <f t="shared" si="110"/>
        <v>0</v>
      </c>
      <c r="CH31" s="4">
        <f t="shared" si="110"/>
        <v>0</v>
      </c>
      <c r="CI31" s="4">
        <f>BW31</f>
        <v>5.0072028747235337E-3</v>
      </c>
      <c r="CK31" s="69">
        <f t="shared" si="111"/>
        <v>1.353760631126941</v>
      </c>
      <c r="CL31" s="69">
        <f t="shared" si="111"/>
        <v>0</v>
      </c>
      <c r="CM31" s="69">
        <f t="shared" si="112"/>
        <v>4.3363054746096931E-4</v>
      </c>
      <c r="CN31" s="69">
        <f t="shared" si="112"/>
        <v>1.9097586165116233E-4</v>
      </c>
      <c r="CO31" s="69">
        <f t="shared" si="113"/>
        <v>0.13296865430655311</v>
      </c>
      <c r="CP31" s="69">
        <f t="shared" si="113"/>
        <v>1.9876779473968782E-3</v>
      </c>
      <c r="CQ31" s="69">
        <f t="shared" si="113"/>
        <v>1.1771784438269155</v>
      </c>
      <c r="CR31" s="69">
        <f t="shared" si="113"/>
        <v>7.6793491015754987E-4</v>
      </c>
      <c r="CS31" s="69">
        <f t="shared" si="113"/>
        <v>0</v>
      </c>
      <c r="CT31" s="69">
        <f t="shared" si="113"/>
        <v>0</v>
      </c>
      <c r="CU31" s="69">
        <f t="shared" si="113"/>
        <v>5.0072028747235337E-3</v>
      </c>
      <c r="CV31" s="69">
        <f t="shared" si="114"/>
        <v>2.6722951514017996</v>
      </c>
      <c r="CW31" s="16">
        <f t="shared" si="115"/>
        <v>1.4968406457279726</v>
      </c>
      <c r="CY31" s="23">
        <f t="shared" si="116"/>
        <v>1.013181968628579</v>
      </c>
      <c r="CZ31" s="23">
        <f t="shared" si="116"/>
        <v>0</v>
      </c>
      <c r="DA31" s="23">
        <f t="shared" si="116"/>
        <v>4.3271721911256771E-4</v>
      </c>
      <c r="DB31" s="23">
        <f t="shared" si="116"/>
        <v>1.9057362138158787E-4</v>
      </c>
      <c r="DC31" s="23">
        <f t="shared" si="116"/>
        <v>0.19903288637380051</v>
      </c>
      <c r="DD31" s="23">
        <f t="shared" si="116"/>
        <v>2.9752371422807943E-3</v>
      </c>
      <c r="DE31" s="23">
        <f t="shared" si="116"/>
        <v>1.7620485419949301</v>
      </c>
      <c r="DF31" s="23">
        <f t="shared" si="116"/>
        <v>1.1494761867972797E-3</v>
      </c>
      <c r="DG31" s="23">
        <f t="shared" si="116"/>
        <v>0</v>
      </c>
      <c r="DH31" s="23">
        <f t="shared" si="116"/>
        <v>0</v>
      </c>
      <c r="DI31" s="23">
        <f t="shared" si="116"/>
        <v>7.4949847842921353E-3</v>
      </c>
      <c r="DJ31" s="16">
        <f t="shared" si="117"/>
        <v>0.89850860678469624</v>
      </c>
      <c r="DL31" s="4">
        <f t="shared" si="118"/>
        <v>0.89229898640214378</v>
      </c>
      <c r="DM31" s="4">
        <f t="shared" si="119"/>
        <v>2.2538032930570339E-3</v>
      </c>
      <c r="DN31" s="4">
        <f t="shared" si="120"/>
        <v>4.059431998939287E-2</v>
      </c>
      <c r="DO31" s="4">
        <f t="shared" si="121"/>
        <v>5.0595700220805173E-3</v>
      </c>
      <c r="DP31" s="4">
        <f t="shared" si="122"/>
        <v>3.5201269417070323E-2</v>
      </c>
      <c r="DQ31" s="4">
        <f t="shared" si="123"/>
        <v>1.0995665240918903E-3</v>
      </c>
      <c r="DR31" s="4">
        <f t="shared" si="124"/>
        <v>0.38651250496228656</v>
      </c>
      <c r="DS31" s="4">
        <f t="shared" si="125"/>
        <v>0.38919699698628668</v>
      </c>
      <c r="DT31" s="4">
        <f t="shared" si="126"/>
        <v>1.1697597536898099E-2</v>
      </c>
      <c r="DU31" s="4">
        <f t="shared" si="127"/>
        <v>0</v>
      </c>
      <c r="DV31" s="4">
        <f t="shared" si="128"/>
        <v>9.1040052267700607E-4</v>
      </c>
      <c r="DX31" s="69">
        <f t="shared" si="129"/>
        <v>1.7845979728042876</v>
      </c>
      <c r="DY31" s="69">
        <f t="shared" si="129"/>
        <v>4.5076065861140678E-3</v>
      </c>
      <c r="DZ31" s="69">
        <f t="shared" si="130"/>
        <v>0.12178295996817862</v>
      </c>
      <c r="EA31" s="69">
        <f t="shared" si="130"/>
        <v>1.5178710066241552E-2</v>
      </c>
      <c r="EB31" s="69">
        <f t="shared" si="131"/>
        <v>3.5201269417070323E-2</v>
      </c>
      <c r="EC31" s="69">
        <f t="shared" si="131"/>
        <v>1.0995665240918903E-3</v>
      </c>
      <c r="ED31" s="69">
        <f t="shared" si="131"/>
        <v>0.38651250496228656</v>
      </c>
      <c r="EE31" s="69">
        <f t="shared" si="131"/>
        <v>0.38919699698628668</v>
      </c>
      <c r="EF31" s="69">
        <f t="shared" si="131"/>
        <v>1.1697597536898099E-2</v>
      </c>
      <c r="EG31" s="69">
        <f t="shared" si="131"/>
        <v>0</v>
      </c>
      <c r="EH31" s="69">
        <f t="shared" si="131"/>
        <v>9.1040052267700607E-4</v>
      </c>
      <c r="EI31" s="69">
        <f t="shared" si="132"/>
        <v>2.7506855853741317</v>
      </c>
      <c r="EJ31" s="69">
        <f>6/EI31</f>
        <v>2.1812743818861131</v>
      </c>
      <c r="EL31" s="23">
        <f t="shared" si="133"/>
        <v>1.9463489200219415</v>
      </c>
      <c r="EM31" s="23">
        <f t="shared" si="133"/>
        <v>4.9161633849558678E-3</v>
      </c>
      <c r="EN31" s="23">
        <f t="shared" si="134"/>
        <v>0.17709470048590004</v>
      </c>
      <c r="EO31" s="23">
        <f t="shared" si="134"/>
        <v>2.2072620945046376E-2</v>
      </c>
      <c r="EP31" s="23">
        <f t="shared" si="135"/>
        <v>7.6783627189326603E-2</v>
      </c>
      <c r="EQ31" s="23">
        <f t="shared" si="135"/>
        <v>2.3984562901812E-3</v>
      </c>
      <c r="ER31" s="23">
        <f t="shared" si="135"/>
        <v>0.84308982535286481</v>
      </c>
      <c r="ES31" s="23">
        <f t="shared" si="135"/>
        <v>0.84894543903319386</v>
      </c>
      <c r="ET31" s="23">
        <f t="shared" si="136"/>
        <v>5.1031339673699841E-2</v>
      </c>
      <c r="EU31" s="23">
        <f t="shared" si="136"/>
        <v>0</v>
      </c>
      <c r="EV31" s="23">
        <f t="shared" si="137"/>
        <v>1.9858333373710805E-3</v>
      </c>
      <c r="EX31" s="14">
        <f t="shared" si="138"/>
        <v>-6.6046885704009952</v>
      </c>
      <c r="EY31" s="4">
        <f t="shared" si="139"/>
        <v>1.2008018008170804</v>
      </c>
      <c r="EZ31" s="4">
        <f t="shared" si="140"/>
        <v>1.9833070434190776</v>
      </c>
      <c r="FA31" s="4">
        <f t="shared" si="141"/>
        <v>1.9833070434190776</v>
      </c>
      <c r="FC31" s="4">
        <f t="shared" si="142"/>
        <v>1.8849902354758417</v>
      </c>
    </row>
    <row r="32" spans="1:159" x14ac:dyDescent="0.2">
      <c r="A32" s="24" t="s">
        <v>95</v>
      </c>
      <c r="B32" s="24" t="s">
        <v>122</v>
      </c>
      <c r="C32" s="98">
        <v>40.587000000000003</v>
      </c>
      <c r="D32" s="98">
        <v>0</v>
      </c>
      <c r="E32" s="90">
        <f t="shared" si="143"/>
        <v>1.347174013676037E-2</v>
      </c>
      <c r="F32" s="98">
        <v>5.071558482270787E-3</v>
      </c>
      <c r="G32" s="98">
        <v>10.077</v>
      </c>
      <c r="H32" s="98">
        <v>0.157</v>
      </c>
      <c r="I32" s="98">
        <v>47.664000000000001</v>
      </c>
      <c r="J32" s="92">
        <f t="shared" si="144"/>
        <v>4.0825077469133712E-2</v>
      </c>
      <c r="K32" s="98">
        <v>0</v>
      </c>
      <c r="L32" s="98">
        <v>0</v>
      </c>
      <c r="M32" s="98">
        <v>0.42499999999999999</v>
      </c>
      <c r="N32" s="105">
        <v>71.3</v>
      </c>
      <c r="O32" s="123">
        <v>291.77514039765703</v>
      </c>
      <c r="P32" s="11"/>
      <c r="Q32" s="100">
        <v>52.655000000000001</v>
      </c>
      <c r="R32" s="100">
        <v>0.63800000000000001</v>
      </c>
      <c r="S32" s="100">
        <v>6.7629999999999999</v>
      </c>
      <c r="T32" s="100">
        <v>0.82599999999999996</v>
      </c>
      <c r="U32" s="100">
        <v>2.6480000000000001</v>
      </c>
      <c r="V32" s="100">
        <v>7.8E-2</v>
      </c>
      <c r="W32" s="100">
        <v>14.1</v>
      </c>
      <c r="X32" s="100">
        <v>19.574999999999999</v>
      </c>
      <c r="Y32" s="100">
        <v>1.786</v>
      </c>
      <c r="Z32" s="100">
        <v>0</v>
      </c>
      <c r="AA32" s="100">
        <v>6.6000000000000003E-2</v>
      </c>
      <c r="AC32" s="99">
        <v>60.066374999999994</v>
      </c>
      <c r="AD32" s="99">
        <v>8.7909999999999986</v>
      </c>
      <c r="AF32" s="83">
        <f t="shared" si="146"/>
        <v>8.9402719492538738E-2</v>
      </c>
      <c r="AG32" s="22">
        <f t="shared" si="92"/>
        <v>2.2428089154306999E-4</v>
      </c>
      <c r="AH32" s="126">
        <f t="shared" si="145"/>
        <v>947.82616876100565</v>
      </c>
      <c r="AI32" s="126">
        <f t="shared" si="93"/>
        <v>947.82616876100565</v>
      </c>
      <c r="AJ32" s="126">
        <f t="shared" si="94"/>
        <v>0</v>
      </c>
      <c r="AK32" s="12"/>
      <c r="AL32" s="25">
        <f t="shared" si="95"/>
        <v>1.7442472557345852</v>
      </c>
      <c r="AN32" s="4">
        <v>15.999000000000001</v>
      </c>
      <c r="AO32" s="4">
        <v>28.085000000000001</v>
      </c>
      <c r="AP32" s="4">
        <v>47.866999999999997</v>
      </c>
      <c r="AQ32" s="4">
        <v>26.9815386</v>
      </c>
      <c r="AR32" s="4">
        <v>51.996099999999998</v>
      </c>
      <c r="AS32" s="4">
        <v>55.844999999999999</v>
      </c>
      <c r="AT32" s="4">
        <v>54.938045000000002</v>
      </c>
      <c r="AU32" s="4">
        <v>24.305</v>
      </c>
      <c r="AV32" s="4">
        <v>40.078000000000003</v>
      </c>
      <c r="AW32" s="4">
        <v>22.989769280000001</v>
      </c>
      <c r="AX32" s="4">
        <v>39.098300000000002</v>
      </c>
      <c r="AY32" s="4">
        <v>58.693399999999997</v>
      </c>
      <c r="BA32" s="4">
        <f>AN32*2+AO32</f>
        <v>60.082999999999998</v>
      </c>
      <c r="BB32" s="4">
        <f>AN32*2+AP32</f>
        <v>79.864999999999995</v>
      </c>
      <c r="BC32" s="4">
        <f>AQ32*2+AN32*3</f>
        <v>101.9600772</v>
      </c>
      <c r="BD32" s="4">
        <f>AR32*2+AN32*3</f>
        <v>151.98919999999998</v>
      </c>
      <c r="BE32" s="4">
        <f>AS32+AN32</f>
        <v>71.843999999999994</v>
      </c>
      <c r="BF32" s="4">
        <f>AT32+AN32</f>
        <v>70.937044999999998</v>
      </c>
      <c r="BG32" s="4">
        <f>AU32+AN32</f>
        <v>40.304000000000002</v>
      </c>
      <c r="BH32" s="4">
        <f>AV32+AN32</f>
        <v>56.077000000000005</v>
      </c>
      <c r="BI32" s="4">
        <f>AW32*2+AN32</f>
        <v>61.978538560000004</v>
      </c>
      <c r="BJ32" s="4">
        <f>AX32*2+AN32</f>
        <v>94.195599999999999</v>
      </c>
      <c r="BK32" s="4">
        <f>AY32+AN32</f>
        <v>74.692399999999992</v>
      </c>
      <c r="BM32" s="4">
        <f t="shared" si="96"/>
        <v>0.67551553684070376</v>
      </c>
      <c r="BN32" s="4">
        <f t="shared" si="97"/>
        <v>0</v>
      </c>
      <c r="BO32" s="4">
        <f t="shared" si="98"/>
        <v>1.3212759843575687E-4</v>
      </c>
      <c r="BP32" s="4">
        <f t="shared" si="99"/>
        <v>3.3367887206925149E-5</v>
      </c>
      <c r="BQ32" s="4">
        <f t="shared" si="100"/>
        <v>0.14026223484215802</v>
      </c>
      <c r="BR32" s="4">
        <f t="shared" si="101"/>
        <v>2.2132300549029074E-3</v>
      </c>
      <c r="BS32" s="4">
        <f t="shared" si="102"/>
        <v>1.1826121476776499</v>
      </c>
      <c r="BT32" s="4">
        <f t="shared" si="103"/>
        <v>7.2801821547396808E-4</v>
      </c>
      <c r="BU32" s="4">
        <f t="shared" si="104"/>
        <v>0</v>
      </c>
      <c r="BV32" s="4">
        <f t="shared" si="105"/>
        <v>0</v>
      </c>
      <c r="BW32" s="4">
        <f t="shared" si="106"/>
        <v>5.690003266731288E-3</v>
      </c>
      <c r="BY32" s="4">
        <f t="shared" si="107"/>
        <v>0.67551553684070376</v>
      </c>
      <c r="BZ32" s="4">
        <f t="shared" si="107"/>
        <v>0</v>
      </c>
      <c r="CA32" s="4">
        <f t="shared" si="108"/>
        <v>2.6425519687151374E-4</v>
      </c>
      <c r="CB32" s="4">
        <f t="shared" si="108"/>
        <v>6.6735774413850297E-5</v>
      </c>
      <c r="CC32" s="4">
        <f t="shared" si="109"/>
        <v>0.14026223484215802</v>
      </c>
      <c r="CD32" s="4">
        <f t="shared" si="109"/>
        <v>2.2132300549029074E-3</v>
      </c>
      <c r="CE32" s="4">
        <f t="shared" si="109"/>
        <v>1.1826121476776499</v>
      </c>
      <c r="CF32" s="4">
        <f t="shared" si="109"/>
        <v>7.2801821547396808E-4</v>
      </c>
      <c r="CG32" s="4">
        <f t="shared" si="110"/>
        <v>0</v>
      </c>
      <c r="CH32" s="4">
        <f t="shared" si="110"/>
        <v>0</v>
      </c>
      <c r="CI32" s="4">
        <f>BW32</f>
        <v>5.690003266731288E-3</v>
      </c>
      <c r="CK32" s="69">
        <f t="shared" si="111"/>
        <v>1.3510310736814075</v>
      </c>
      <c r="CL32" s="69">
        <f t="shared" si="111"/>
        <v>0</v>
      </c>
      <c r="CM32" s="69">
        <f t="shared" si="112"/>
        <v>3.9638279530727059E-4</v>
      </c>
      <c r="CN32" s="69">
        <f t="shared" si="112"/>
        <v>1.0010366162077545E-4</v>
      </c>
      <c r="CO32" s="69">
        <f t="shared" si="113"/>
        <v>0.14026223484215802</v>
      </c>
      <c r="CP32" s="69">
        <f t="shared" si="113"/>
        <v>2.2132300549029074E-3</v>
      </c>
      <c r="CQ32" s="69">
        <f t="shared" si="113"/>
        <v>1.1826121476776499</v>
      </c>
      <c r="CR32" s="69">
        <f t="shared" si="113"/>
        <v>7.2801821547396808E-4</v>
      </c>
      <c r="CS32" s="69">
        <f t="shared" si="113"/>
        <v>0</v>
      </c>
      <c r="CT32" s="69">
        <f t="shared" si="113"/>
        <v>0</v>
      </c>
      <c r="CU32" s="69">
        <f t="shared" si="113"/>
        <v>5.690003266731288E-3</v>
      </c>
      <c r="CV32" s="69">
        <f t="shared" si="114"/>
        <v>2.6830331941952519</v>
      </c>
      <c r="CW32" s="16">
        <f t="shared" si="115"/>
        <v>1.4908499859986857</v>
      </c>
      <c r="CY32" s="23">
        <f t="shared" si="116"/>
        <v>1.0070923286408577</v>
      </c>
      <c r="CZ32" s="23">
        <f t="shared" si="116"/>
        <v>0</v>
      </c>
      <c r="DA32" s="23">
        <f t="shared" si="116"/>
        <v>3.9396485655597617E-4</v>
      </c>
      <c r="DB32" s="23">
        <f t="shared" si="116"/>
        <v>9.9493028350500161E-5</v>
      </c>
      <c r="DC32" s="23">
        <f t="shared" si="116"/>
        <v>0.20910995085057565</v>
      </c>
      <c r="DD32" s="23">
        <f t="shared" si="116"/>
        <v>3.2995939963638699E-3</v>
      </c>
      <c r="DE32" s="23">
        <f t="shared" si="116"/>
        <v>1.7630973038070998</v>
      </c>
      <c r="DF32" s="23">
        <f t="shared" si="116"/>
        <v>1.0853659463461534E-3</v>
      </c>
      <c r="DG32" s="23">
        <f t="shared" si="116"/>
        <v>0</v>
      </c>
      <c r="DH32" s="23">
        <f t="shared" si="116"/>
        <v>0</v>
      </c>
      <c r="DI32" s="23">
        <f t="shared" si="116"/>
        <v>8.482941290538816E-3</v>
      </c>
      <c r="DJ32" s="16">
        <f t="shared" si="117"/>
        <v>0.89397161461771835</v>
      </c>
      <c r="DL32" s="4">
        <f t="shared" si="118"/>
        <v>0.87637102008887713</v>
      </c>
      <c r="DM32" s="4">
        <f t="shared" si="119"/>
        <v>7.9884805609465974E-3</v>
      </c>
      <c r="DN32" s="4">
        <f t="shared" si="120"/>
        <v>6.632988308486687E-2</v>
      </c>
      <c r="DO32" s="4">
        <f t="shared" si="121"/>
        <v>5.4345966687106718E-3</v>
      </c>
      <c r="DP32" s="4">
        <f t="shared" si="122"/>
        <v>3.6857635989087471E-2</v>
      </c>
      <c r="DQ32" s="4">
        <f t="shared" si="123"/>
        <v>1.0995665240918903E-3</v>
      </c>
      <c r="DR32" s="4">
        <f t="shared" si="124"/>
        <v>0.34984120682810638</v>
      </c>
      <c r="DS32" s="4">
        <f t="shared" si="125"/>
        <v>0.3490735952351231</v>
      </c>
      <c r="DT32" s="4">
        <f t="shared" si="126"/>
        <v>2.8816426484000013E-2</v>
      </c>
      <c r="DU32" s="4">
        <f t="shared" si="127"/>
        <v>0</v>
      </c>
      <c r="DV32" s="4">
        <f t="shared" si="128"/>
        <v>8.836240367159177E-4</v>
      </c>
      <c r="DX32" s="69">
        <f t="shared" si="129"/>
        <v>1.7527420401777543</v>
      </c>
      <c r="DY32" s="69">
        <f t="shared" si="129"/>
        <v>1.5976961121893195E-2</v>
      </c>
      <c r="DZ32" s="69">
        <f t="shared" si="130"/>
        <v>0.19898964925460061</v>
      </c>
      <c r="EA32" s="69">
        <f t="shared" si="130"/>
        <v>1.6303790006132017E-2</v>
      </c>
      <c r="EB32" s="69">
        <f t="shared" si="131"/>
        <v>3.6857635989087471E-2</v>
      </c>
      <c r="EC32" s="69">
        <f t="shared" si="131"/>
        <v>1.0995665240918903E-3</v>
      </c>
      <c r="ED32" s="69">
        <f t="shared" si="131"/>
        <v>0.34984120682810638</v>
      </c>
      <c r="EE32" s="69">
        <f t="shared" si="131"/>
        <v>0.3490735952351231</v>
      </c>
      <c r="EF32" s="69">
        <f t="shared" si="131"/>
        <v>2.8816426484000013E-2</v>
      </c>
      <c r="EG32" s="69">
        <f t="shared" si="131"/>
        <v>0</v>
      </c>
      <c r="EH32" s="69">
        <f t="shared" si="131"/>
        <v>8.836240367159177E-4</v>
      </c>
      <c r="EI32" s="69">
        <f t="shared" si="132"/>
        <v>2.7505844956575052</v>
      </c>
      <c r="EJ32" s="69">
        <f>6/EI32</f>
        <v>2.1813545482687484</v>
      </c>
      <c r="EL32" s="23">
        <f t="shared" si="133"/>
        <v>1.9116759106417949</v>
      </c>
      <c r="EM32" s="23">
        <f t="shared" si="133"/>
        <v>1.7425708405377344E-2</v>
      </c>
      <c r="EN32" s="23">
        <f t="shared" si="134"/>
        <v>0.28937798430661732</v>
      </c>
      <c r="EO32" s="23">
        <f t="shared" si="134"/>
        <v>2.3709564322596424E-2</v>
      </c>
      <c r="EP32" s="23">
        <f t="shared" si="135"/>
        <v>8.0399571903229869E-2</v>
      </c>
      <c r="EQ32" s="23">
        <f t="shared" si="135"/>
        <v>2.3985444384519031E-3</v>
      </c>
      <c r="ER32" s="23">
        <f t="shared" si="135"/>
        <v>0.76312770768631777</v>
      </c>
      <c r="ES32" s="23">
        <f t="shared" si="135"/>
        <v>0.76145327464665991</v>
      </c>
      <c r="ET32" s="23">
        <f t="shared" si="136"/>
        <v>0.12571768595145089</v>
      </c>
      <c r="EU32" s="23">
        <f t="shared" si="136"/>
        <v>0</v>
      </c>
      <c r="EV32" s="23">
        <f t="shared" si="137"/>
        <v>1.9274973114498585E-3</v>
      </c>
      <c r="EX32" s="14">
        <f t="shared" si="138"/>
        <v>-6.5533116029636158</v>
      </c>
      <c r="EY32" s="4">
        <f t="shared" si="139"/>
        <v>0.75736079389741306</v>
      </c>
      <c r="EZ32" s="4">
        <f t="shared" si="140"/>
        <v>1.6056978493926088</v>
      </c>
      <c r="FA32" s="4">
        <f t="shared" si="141"/>
        <v>1.6056978493926088</v>
      </c>
      <c r="FC32" s="4">
        <f t="shared" si="142"/>
        <v>1.7442472557345852</v>
      </c>
    </row>
    <row r="33" spans="1:159" x14ac:dyDescent="0.2">
      <c r="A33" s="24" t="s">
        <v>96</v>
      </c>
      <c r="B33" s="24" t="s">
        <v>122</v>
      </c>
      <c r="C33" s="98">
        <v>41.345500000000001</v>
      </c>
      <c r="D33" s="98">
        <v>0</v>
      </c>
      <c r="E33" s="90">
        <f t="shared" si="143"/>
        <v>4.9314504567944707E-3</v>
      </c>
      <c r="F33" s="98">
        <v>2.4553943084192854E-3</v>
      </c>
      <c r="G33" s="98">
        <v>9.3030000000000008</v>
      </c>
      <c r="H33" s="98">
        <v>0.11899999999999999</v>
      </c>
      <c r="I33" s="98">
        <v>48.461500000000001</v>
      </c>
      <c r="J33" s="92">
        <f t="shared" si="144"/>
        <v>2.1127279450698158E-2</v>
      </c>
      <c r="K33" s="98">
        <v>0</v>
      </c>
      <c r="L33" s="98">
        <v>0</v>
      </c>
      <c r="M33" s="98">
        <v>0.35899999999999999</v>
      </c>
      <c r="N33" s="105">
        <v>26.1</v>
      </c>
      <c r="O33" s="123">
        <v>150.99579253973658</v>
      </c>
      <c r="P33" s="11"/>
      <c r="Q33" s="100">
        <v>52.048999999999999</v>
      </c>
      <c r="R33" s="100">
        <v>0.17399999999999999</v>
      </c>
      <c r="S33" s="100">
        <v>4.7069999999999999</v>
      </c>
      <c r="T33" s="100">
        <v>0.83199999999999996</v>
      </c>
      <c r="U33" s="100">
        <v>2.1589999999999998</v>
      </c>
      <c r="V33" s="100">
        <v>7.3999999999999996E-2</v>
      </c>
      <c r="W33" s="100">
        <v>15.047000000000001</v>
      </c>
      <c r="X33" s="100">
        <v>22.271999999999998</v>
      </c>
      <c r="Y33" s="100">
        <v>0.95799999999999996</v>
      </c>
      <c r="Z33" s="100">
        <v>0</v>
      </c>
      <c r="AA33" s="100">
        <v>4.2999999999999997E-2</v>
      </c>
      <c r="AC33" s="99">
        <v>54.285999999999994</v>
      </c>
      <c r="AD33" s="99">
        <v>14.0335</v>
      </c>
      <c r="AF33" s="83">
        <f t="shared" si="146"/>
        <v>0.14778920455429109</v>
      </c>
      <c r="AG33" s="22">
        <f t="shared" si="92"/>
        <v>9.0842030298686054E-5</v>
      </c>
      <c r="AH33" s="126">
        <f t="shared" si="145"/>
        <v>831.54811534354417</v>
      </c>
      <c r="AI33" s="126">
        <f t="shared" si="93"/>
        <v>831.54811534354417</v>
      </c>
      <c r="AJ33" s="126">
        <f t="shared" si="94"/>
        <v>0</v>
      </c>
      <c r="AK33" s="12"/>
      <c r="AL33" s="25">
        <f t="shared" si="95"/>
        <v>1.2317131007371045</v>
      </c>
      <c r="AN33" s="4">
        <v>15.999000000000001</v>
      </c>
      <c r="AO33" s="4">
        <v>28.085000000000001</v>
      </c>
      <c r="AP33" s="4">
        <v>47.866999999999997</v>
      </c>
      <c r="AQ33" s="4">
        <v>26.9815386</v>
      </c>
      <c r="AR33" s="4">
        <v>51.996099999999998</v>
      </c>
      <c r="AS33" s="4">
        <v>55.844999999999999</v>
      </c>
      <c r="AT33" s="4">
        <v>54.938045000000002</v>
      </c>
      <c r="AU33" s="4">
        <v>24.305</v>
      </c>
      <c r="AV33" s="4">
        <v>40.078000000000003</v>
      </c>
      <c r="AW33" s="4">
        <v>22.989769280000001</v>
      </c>
      <c r="AX33" s="4">
        <v>39.098300000000002</v>
      </c>
      <c r="AY33" s="4">
        <v>58.693399999999997</v>
      </c>
      <c r="BA33" s="4">
        <f t="shared" ref="BA33:BA34" si="147">AN33*2+AO33</f>
        <v>60.082999999999998</v>
      </c>
      <c r="BB33" s="4">
        <f t="shared" ref="BB33:BB34" si="148">AN33*2+AP33</f>
        <v>79.864999999999995</v>
      </c>
      <c r="BC33" s="4">
        <f t="shared" ref="BC33:BC34" si="149">AQ33*2+AN33*3</f>
        <v>101.9600772</v>
      </c>
      <c r="BD33" s="4">
        <f t="shared" ref="BD33:BD34" si="150">AR33*2+AN33*3</f>
        <v>151.98919999999998</v>
      </c>
      <c r="BE33" s="4">
        <f t="shared" ref="BE33:BE34" si="151">AS33+AN33</f>
        <v>71.843999999999994</v>
      </c>
      <c r="BF33" s="4">
        <f t="shared" ref="BF33:BF34" si="152">AT33+AN33</f>
        <v>70.937044999999998</v>
      </c>
      <c r="BG33" s="4">
        <f t="shared" ref="BG33:BG34" si="153">AU33+AN33</f>
        <v>40.304000000000002</v>
      </c>
      <c r="BH33" s="4">
        <f t="shared" ref="BH33:BH34" si="154">AV33+AN33</f>
        <v>56.077000000000005</v>
      </c>
      <c r="BI33" s="4">
        <f t="shared" ref="BI33:BI34" si="155">AW33*2+AN33</f>
        <v>61.978538560000004</v>
      </c>
      <c r="BJ33" s="4">
        <f t="shared" ref="BJ33:BJ34" si="156">AX33*2+AN33</f>
        <v>94.195599999999999</v>
      </c>
      <c r="BK33" s="4">
        <f t="shared" ref="BK33:BK34" si="157">AY33+AN33</f>
        <v>74.692399999999992</v>
      </c>
      <c r="BM33" s="4">
        <f t="shared" si="96"/>
        <v>0.68813974002629696</v>
      </c>
      <c r="BN33" s="4">
        <f t="shared" si="97"/>
        <v>0</v>
      </c>
      <c r="BO33" s="4">
        <f t="shared" si="98"/>
        <v>4.8366484139877355E-5</v>
      </c>
      <c r="BP33" s="4">
        <f t="shared" si="99"/>
        <v>1.6155057783179893E-5</v>
      </c>
      <c r="BQ33" s="4">
        <f t="shared" si="100"/>
        <v>0.12948889260063473</v>
      </c>
      <c r="BR33" s="4">
        <f t="shared" si="101"/>
        <v>1.6775437995760888E-3</v>
      </c>
      <c r="BS33" s="4">
        <f t="shared" si="102"/>
        <v>1.2023992655815801</v>
      </c>
      <c r="BT33" s="4">
        <f t="shared" si="103"/>
        <v>3.7675480947087318E-4</v>
      </c>
      <c r="BU33" s="4">
        <f t="shared" si="104"/>
        <v>0</v>
      </c>
      <c r="BV33" s="4">
        <f t="shared" si="105"/>
        <v>0</v>
      </c>
      <c r="BW33" s="4">
        <f t="shared" si="106"/>
        <v>4.80637923001537E-3</v>
      </c>
      <c r="BY33" s="4">
        <f t="shared" si="107"/>
        <v>0.68813974002629696</v>
      </c>
      <c r="BZ33" s="4">
        <f t="shared" si="107"/>
        <v>0</v>
      </c>
      <c r="CA33" s="4">
        <f t="shared" si="108"/>
        <v>9.6732968279754711E-5</v>
      </c>
      <c r="CB33" s="4">
        <f t="shared" si="108"/>
        <v>3.2310115566359787E-5</v>
      </c>
      <c r="CC33" s="4">
        <f t="shared" si="109"/>
        <v>0.12948889260063473</v>
      </c>
      <c r="CD33" s="4">
        <f t="shared" si="109"/>
        <v>1.6775437995760888E-3</v>
      </c>
      <c r="CE33" s="4">
        <f t="shared" si="109"/>
        <v>1.2023992655815801</v>
      </c>
      <c r="CF33" s="4">
        <f t="shared" si="109"/>
        <v>3.7675480947087318E-4</v>
      </c>
      <c r="CG33" s="4">
        <f t="shared" si="110"/>
        <v>0</v>
      </c>
      <c r="CH33" s="4">
        <f t="shared" si="110"/>
        <v>0</v>
      </c>
      <c r="CI33" s="4">
        <f t="shared" ref="CI33:CI34" si="158">BW33</f>
        <v>4.80637923001537E-3</v>
      </c>
      <c r="CK33" s="69">
        <f t="shared" si="111"/>
        <v>1.3762794800525939</v>
      </c>
      <c r="CL33" s="69">
        <f t="shared" si="111"/>
        <v>0</v>
      </c>
      <c r="CM33" s="69">
        <f t="shared" si="112"/>
        <v>1.4509945241963207E-4</v>
      </c>
      <c r="CN33" s="69">
        <f t="shared" si="112"/>
        <v>4.8465173349539683E-5</v>
      </c>
      <c r="CO33" s="69">
        <f t="shared" si="113"/>
        <v>0.12948889260063473</v>
      </c>
      <c r="CP33" s="69">
        <f t="shared" si="113"/>
        <v>1.6775437995760888E-3</v>
      </c>
      <c r="CQ33" s="69">
        <f t="shared" si="113"/>
        <v>1.2023992655815801</v>
      </c>
      <c r="CR33" s="69">
        <f t="shared" si="113"/>
        <v>3.7675480947087318E-4</v>
      </c>
      <c r="CS33" s="69">
        <f t="shared" si="113"/>
        <v>0</v>
      </c>
      <c r="CT33" s="69">
        <f t="shared" si="113"/>
        <v>0</v>
      </c>
      <c r="CU33" s="69">
        <f t="shared" si="113"/>
        <v>4.80637923001537E-3</v>
      </c>
      <c r="CV33" s="69">
        <f t="shared" si="114"/>
        <v>2.7152218806996404</v>
      </c>
      <c r="CW33" s="16">
        <f t="shared" si="115"/>
        <v>1.4731761070551281</v>
      </c>
      <c r="CY33" s="23">
        <f t="shared" si="116"/>
        <v>1.0137510233218681</v>
      </c>
      <c r="CZ33" s="23">
        <f t="shared" si="116"/>
        <v>0</v>
      </c>
      <c r="DA33" s="23">
        <f t="shared" si="116"/>
        <v>1.4250469763425625E-4</v>
      </c>
      <c r="DB33" s="23">
        <f t="shared" si="116"/>
        <v>4.7598490268551207E-5</v>
      </c>
      <c r="DC33" s="23">
        <f t="shared" si="116"/>
        <v>0.19075994270828267</v>
      </c>
      <c r="DD33" s="23">
        <f t="shared" si="116"/>
        <v>2.4713174440739705E-3</v>
      </c>
      <c r="DE33" s="23">
        <f t="shared" si="116"/>
        <v>1.7713458691954171</v>
      </c>
      <c r="DF33" s="23">
        <f t="shared" si="116"/>
        <v>5.5502618353059743E-4</v>
      </c>
      <c r="DG33" s="23">
        <f t="shared" si="116"/>
        <v>0</v>
      </c>
      <c r="DH33" s="23">
        <f t="shared" si="116"/>
        <v>0</v>
      </c>
      <c r="DI33" s="23">
        <f t="shared" si="116"/>
        <v>7.0806430431046667E-3</v>
      </c>
      <c r="DJ33" s="16">
        <f t="shared" si="117"/>
        <v>0.90277795338509237</v>
      </c>
      <c r="DL33" s="4">
        <f t="shared" si="118"/>
        <v>0.86628497245477087</v>
      </c>
      <c r="DM33" s="4">
        <f t="shared" si="119"/>
        <v>2.1786765166217992E-3</v>
      </c>
      <c r="DN33" s="4">
        <f t="shared" si="120"/>
        <v>4.6165127854571691E-2</v>
      </c>
      <c r="DO33" s="4">
        <f t="shared" si="121"/>
        <v>5.474073157829636E-3</v>
      </c>
      <c r="DP33" s="4">
        <f t="shared" si="122"/>
        <v>3.005122209231112E-2</v>
      </c>
      <c r="DQ33" s="4">
        <f t="shared" si="123"/>
        <v>1.0431784972153831E-3</v>
      </c>
      <c r="DR33" s="4">
        <f t="shared" si="124"/>
        <v>0.3733376339817388</v>
      </c>
      <c r="DS33" s="4">
        <f t="shared" si="125"/>
        <v>0.39716817946751781</v>
      </c>
      <c r="DT33" s="4">
        <f t="shared" si="126"/>
        <v>1.5456963365997766E-2</v>
      </c>
      <c r="DU33" s="4">
        <f t="shared" si="127"/>
        <v>0</v>
      </c>
      <c r="DV33" s="4">
        <f t="shared" si="128"/>
        <v>5.7569444816340089E-4</v>
      </c>
      <c r="DX33" s="69">
        <f t="shared" si="129"/>
        <v>1.7325699449095417</v>
      </c>
      <c r="DY33" s="69">
        <f t="shared" si="129"/>
        <v>4.3573530332435984E-3</v>
      </c>
      <c r="DZ33" s="69">
        <f t="shared" si="130"/>
        <v>0.13849538356371507</v>
      </c>
      <c r="EA33" s="69">
        <f t="shared" si="130"/>
        <v>1.642221947348891E-2</v>
      </c>
      <c r="EB33" s="69">
        <f t="shared" si="131"/>
        <v>3.005122209231112E-2</v>
      </c>
      <c r="EC33" s="69">
        <f t="shared" si="131"/>
        <v>1.0431784972153831E-3</v>
      </c>
      <c r="ED33" s="69">
        <f t="shared" si="131"/>
        <v>0.3733376339817388</v>
      </c>
      <c r="EE33" s="69">
        <f t="shared" si="131"/>
        <v>0.39716817946751781</v>
      </c>
      <c r="EF33" s="69">
        <f t="shared" si="131"/>
        <v>1.5456963365997766E-2</v>
      </c>
      <c r="EG33" s="69">
        <f t="shared" si="131"/>
        <v>0</v>
      </c>
      <c r="EH33" s="69">
        <f t="shared" si="131"/>
        <v>5.7569444816340089E-4</v>
      </c>
      <c r="EI33" s="69">
        <f t="shared" si="132"/>
        <v>2.7094777728329333</v>
      </c>
      <c r="EJ33" s="69">
        <f t="shared" ref="EJ33:EJ34" si="159">6/EI33</f>
        <v>2.214448872827111</v>
      </c>
      <c r="EL33" s="23">
        <f t="shared" si="133"/>
        <v>1.9183437807995323</v>
      </c>
      <c r="EM33" s="23">
        <f t="shared" si="133"/>
        <v>4.8245677564880398E-3</v>
      </c>
      <c r="EN33" s="23">
        <f t="shared" si="134"/>
        <v>0.20446063068295151</v>
      </c>
      <c r="EO33" s="23">
        <f t="shared" si="134"/>
        <v>2.4244110268257964E-2</v>
      </c>
      <c r="EP33" s="23">
        <f t="shared" si="135"/>
        <v>6.6546894889395539E-2</v>
      </c>
      <c r="EQ33" s="23">
        <f t="shared" si="135"/>
        <v>2.3100654473160848E-3</v>
      </c>
      <c r="ER33" s="23">
        <f t="shared" si="135"/>
        <v>0.82673710275480206</v>
      </c>
      <c r="ES33" s="23">
        <f t="shared" si="135"/>
        <v>0.87950862734464053</v>
      </c>
      <c r="ET33" s="23">
        <f t="shared" si="136"/>
        <v>6.8457310206327393E-2</v>
      </c>
      <c r="EU33" s="23">
        <f t="shared" si="136"/>
        <v>0</v>
      </c>
      <c r="EV33" s="23">
        <f t="shared" si="137"/>
        <v>1.2748459218282688E-3</v>
      </c>
      <c r="EX33" s="14">
        <f t="shared" si="138"/>
        <v>-7.3681033623196566</v>
      </c>
      <c r="EY33" s="4">
        <f t="shared" si="139"/>
        <v>0.25594907277011003</v>
      </c>
      <c r="EZ33" s="4">
        <f t="shared" si="140"/>
        <v>2.2723283254757112</v>
      </c>
      <c r="FA33" s="4">
        <f t="shared" si="141"/>
        <v>2.2723283254757112</v>
      </c>
      <c r="FC33" s="4">
        <f t="shared" si="142"/>
        <v>1.2317131007371045</v>
      </c>
    </row>
    <row r="34" spans="1:159" x14ac:dyDescent="0.2">
      <c r="A34" s="24" t="s">
        <v>97</v>
      </c>
      <c r="B34" s="24" t="s">
        <v>122</v>
      </c>
      <c r="C34" s="98">
        <v>40.441000000000003</v>
      </c>
      <c r="D34" s="98">
        <v>0</v>
      </c>
      <c r="E34" s="90">
        <f t="shared" si="143"/>
        <v>1.0014056483145859E-2</v>
      </c>
      <c r="F34" s="98">
        <v>3.9607848665573001E-3</v>
      </c>
      <c r="G34" s="98">
        <v>10.3565</v>
      </c>
      <c r="H34" s="98">
        <v>0.14450000000000002</v>
      </c>
      <c r="I34" s="98">
        <v>48.108999999999995</v>
      </c>
      <c r="J34" s="92">
        <f t="shared" si="144"/>
        <v>3.4424540917863018E-2</v>
      </c>
      <c r="K34" s="98">
        <v>0</v>
      </c>
      <c r="L34" s="98">
        <v>2.5999999999999999E-2</v>
      </c>
      <c r="M34" s="98">
        <v>0.38100000000000001</v>
      </c>
      <c r="N34" s="105">
        <v>53</v>
      </c>
      <c r="O34" s="123">
        <v>246.03077035257132</v>
      </c>
      <c r="P34" s="11"/>
      <c r="Q34" s="100">
        <v>51.811999999999998</v>
      </c>
      <c r="R34" s="100">
        <v>0.64300000000000002</v>
      </c>
      <c r="S34" s="100">
        <v>7.1260000000000003</v>
      </c>
      <c r="T34" s="100">
        <v>0.73799999999999999</v>
      </c>
      <c r="U34" s="100">
        <v>2.5499999999999998</v>
      </c>
      <c r="V34" s="100">
        <v>7.6999999999999999E-2</v>
      </c>
      <c r="W34" s="100">
        <v>13.926</v>
      </c>
      <c r="X34" s="100">
        <v>19.971</v>
      </c>
      <c r="Y34" s="100">
        <v>1.853</v>
      </c>
      <c r="Z34" s="100">
        <v>0</v>
      </c>
      <c r="AA34" s="100">
        <v>2.5000000000000001E-2</v>
      </c>
      <c r="AC34" s="99">
        <v>59.662999999999997</v>
      </c>
      <c r="AD34" s="99">
        <v>8.5910000000000011</v>
      </c>
      <c r="AF34" s="83">
        <f t="shared" si="146"/>
        <v>8.8086582602500935E-2</v>
      </c>
      <c r="AG34" s="22">
        <f t="shared" si="92"/>
        <v>1.6784366329460233E-4</v>
      </c>
      <c r="AH34" s="126">
        <f t="shared" si="145"/>
        <v>910.42902070588093</v>
      </c>
      <c r="AI34" s="126">
        <f t="shared" si="93"/>
        <v>910.42902070588093</v>
      </c>
      <c r="AJ34" s="126">
        <f t="shared" si="94"/>
        <v>0</v>
      </c>
      <c r="AK34" s="12"/>
      <c r="AL34" s="25">
        <f t="shared" si="95"/>
        <v>1.5390590094571379</v>
      </c>
      <c r="AN34" s="4">
        <v>15.999000000000001</v>
      </c>
      <c r="AO34" s="4">
        <v>28.085000000000001</v>
      </c>
      <c r="AP34" s="4">
        <v>47.866999999999997</v>
      </c>
      <c r="AQ34" s="4">
        <v>26.9815386</v>
      </c>
      <c r="AR34" s="4">
        <v>51.996099999999998</v>
      </c>
      <c r="AS34" s="4">
        <v>55.844999999999999</v>
      </c>
      <c r="AT34" s="4">
        <v>54.938045000000002</v>
      </c>
      <c r="AU34" s="4">
        <v>24.305</v>
      </c>
      <c r="AV34" s="4">
        <v>40.078000000000003</v>
      </c>
      <c r="AW34" s="4">
        <v>22.989769280000001</v>
      </c>
      <c r="AX34" s="4">
        <v>39.098300000000002</v>
      </c>
      <c r="AY34" s="4">
        <v>58.693399999999997</v>
      </c>
      <c r="BA34" s="4">
        <f t="shared" si="147"/>
        <v>60.082999999999998</v>
      </c>
      <c r="BB34" s="4">
        <f t="shared" si="148"/>
        <v>79.864999999999995</v>
      </c>
      <c r="BC34" s="4">
        <f t="shared" si="149"/>
        <v>101.9600772</v>
      </c>
      <c r="BD34" s="4">
        <f t="shared" si="150"/>
        <v>151.98919999999998</v>
      </c>
      <c r="BE34" s="4">
        <f t="shared" si="151"/>
        <v>71.843999999999994</v>
      </c>
      <c r="BF34" s="4">
        <f t="shared" si="152"/>
        <v>70.937044999999998</v>
      </c>
      <c r="BG34" s="4">
        <f t="shared" si="153"/>
        <v>40.304000000000002</v>
      </c>
      <c r="BH34" s="4">
        <f t="shared" si="154"/>
        <v>56.077000000000005</v>
      </c>
      <c r="BI34" s="4">
        <f t="shared" si="155"/>
        <v>61.978538560000004</v>
      </c>
      <c r="BJ34" s="4">
        <f t="shared" si="156"/>
        <v>94.195599999999999</v>
      </c>
      <c r="BK34" s="4">
        <f t="shared" si="157"/>
        <v>74.692399999999992</v>
      </c>
      <c r="BM34" s="4">
        <f t="shared" si="96"/>
        <v>0.67308556496846039</v>
      </c>
      <c r="BN34" s="4">
        <f t="shared" si="97"/>
        <v>0</v>
      </c>
      <c r="BO34" s="4">
        <f t="shared" si="98"/>
        <v>9.8215465877911858E-5</v>
      </c>
      <c r="BP34" s="4">
        <f t="shared" si="99"/>
        <v>2.6059646781200906E-5</v>
      </c>
      <c r="BQ34" s="4">
        <f t="shared" si="100"/>
        <v>0.14415260842937477</v>
      </c>
      <c r="BR34" s="4">
        <f t="shared" si="101"/>
        <v>2.0370174709138226E-3</v>
      </c>
      <c r="BS34" s="4">
        <f t="shared" si="102"/>
        <v>1.1936532354108771</v>
      </c>
      <c r="BT34" s="4">
        <f t="shared" si="103"/>
        <v>6.1387986015412762E-4</v>
      </c>
      <c r="BU34" s="4">
        <f t="shared" si="104"/>
        <v>0</v>
      </c>
      <c r="BV34" s="4">
        <f t="shared" si="105"/>
        <v>2.760213852876355E-4</v>
      </c>
      <c r="BW34" s="4">
        <f t="shared" si="106"/>
        <v>5.1009205755873427E-3</v>
      </c>
      <c r="BY34" s="4">
        <f t="shared" si="107"/>
        <v>0.67308556496846039</v>
      </c>
      <c r="BZ34" s="4">
        <f t="shared" si="107"/>
        <v>0</v>
      </c>
      <c r="CA34" s="4">
        <f t="shared" si="108"/>
        <v>1.9643093175582372E-4</v>
      </c>
      <c r="CB34" s="4">
        <f t="shared" si="108"/>
        <v>5.2119293562401811E-5</v>
      </c>
      <c r="CC34" s="4">
        <f t="shared" si="109"/>
        <v>0.14415260842937477</v>
      </c>
      <c r="CD34" s="4">
        <f t="shared" si="109"/>
        <v>2.0370174709138226E-3</v>
      </c>
      <c r="CE34" s="4">
        <f t="shared" si="109"/>
        <v>1.1936532354108771</v>
      </c>
      <c r="CF34" s="4">
        <f t="shared" si="109"/>
        <v>6.1387986015412762E-4</v>
      </c>
      <c r="CG34" s="4">
        <f t="shared" si="110"/>
        <v>0</v>
      </c>
      <c r="CH34" s="4">
        <f t="shared" si="110"/>
        <v>5.52042770575271E-4</v>
      </c>
      <c r="CI34" s="4">
        <f t="shared" si="158"/>
        <v>5.1009205755873427E-3</v>
      </c>
      <c r="CK34" s="69">
        <f t="shared" si="111"/>
        <v>1.3461711299369208</v>
      </c>
      <c r="CL34" s="69">
        <f t="shared" si="111"/>
        <v>0</v>
      </c>
      <c r="CM34" s="69">
        <f t="shared" si="112"/>
        <v>2.9464639763373559E-4</v>
      </c>
      <c r="CN34" s="69">
        <f t="shared" si="112"/>
        <v>7.8178940343602717E-5</v>
      </c>
      <c r="CO34" s="69">
        <f t="shared" si="113"/>
        <v>0.14415260842937477</v>
      </c>
      <c r="CP34" s="69">
        <f t="shared" si="113"/>
        <v>2.0370174709138226E-3</v>
      </c>
      <c r="CQ34" s="69">
        <f t="shared" si="113"/>
        <v>1.1936532354108771</v>
      </c>
      <c r="CR34" s="69">
        <f t="shared" si="113"/>
        <v>6.1387986015412762E-4</v>
      </c>
      <c r="CS34" s="69">
        <f t="shared" si="113"/>
        <v>0</v>
      </c>
      <c r="CT34" s="69">
        <f t="shared" si="113"/>
        <v>2.760213852876355E-4</v>
      </c>
      <c r="CU34" s="69">
        <f t="shared" si="113"/>
        <v>5.1009205755873427E-3</v>
      </c>
      <c r="CV34" s="69">
        <f t="shared" si="114"/>
        <v>2.692377638407093</v>
      </c>
      <c r="CW34" s="16">
        <f t="shared" si="115"/>
        <v>1.4856756878899586</v>
      </c>
      <c r="CY34" s="23">
        <f t="shared" si="116"/>
        <v>0.9999868597433188</v>
      </c>
      <c r="CZ34" s="23">
        <f t="shared" si="116"/>
        <v>0</v>
      </c>
      <c r="DA34" s="23">
        <f t="shared" si="116"/>
        <v>2.9183265965919891E-4</v>
      </c>
      <c r="DB34" s="23">
        <f t="shared" si="116"/>
        <v>7.7432367315659998E-5</v>
      </c>
      <c r="DC34" s="23">
        <f t="shared" si="116"/>
        <v>0.2141640256894432</v>
      </c>
      <c r="DD34" s="23">
        <f t="shared" si="116"/>
        <v>3.0263473323437571E-3</v>
      </c>
      <c r="DE34" s="23">
        <f t="shared" si="116"/>
        <v>1.7733815916211295</v>
      </c>
      <c r="DF34" s="23">
        <f t="shared" si="116"/>
        <v>9.1202638351627519E-4</v>
      </c>
      <c r="DG34" s="23">
        <f t="shared" si="116"/>
        <v>0</v>
      </c>
      <c r="DH34" s="23">
        <f t="shared" si="116"/>
        <v>8.2015652291909436E-4</v>
      </c>
      <c r="DI34" s="23">
        <f t="shared" si="116"/>
        <v>7.578313685007769E-3</v>
      </c>
      <c r="DJ34" s="16">
        <f t="shared" si="117"/>
        <v>0.89224698853491613</v>
      </c>
      <c r="DL34" s="4">
        <f t="shared" si="118"/>
        <v>0.86234042907311548</v>
      </c>
      <c r="DM34" s="4">
        <f t="shared" si="119"/>
        <v>8.0510862079759601E-3</v>
      </c>
      <c r="DN34" s="4">
        <f t="shared" si="120"/>
        <v>6.9890100083211781E-2</v>
      </c>
      <c r="DO34" s="4">
        <f t="shared" si="121"/>
        <v>4.8556081616325372E-3</v>
      </c>
      <c r="DP34" s="4">
        <f t="shared" si="122"/>
        <v>3.5493569400367464E-2</v>
      </c>
      <c r="DQ34" s="4">
        <f t="shared" si="123"/>
        <v>1.0854695173727635E-3</v>
      </c>
      <c r="DR34" s="4">
        <f t="shared" si="124"/>
        <v>0.34552401746724887</v>
      </c>
      <c r="DS34" s="4">
        <f t="shared" si="125"/>
        <v>0.35613531394332787</v>
      </c>
      <c r="DT34" s="4">
        <f t="shared" si="126"/>
        <v>2.9897445842582318E-2</v>
      </c>
      <c r="DU34" s="4">
        <f t="shared" si="127"/>
        <v>0</v>
      </c>
      <c r="DV34" s="4">
        <f t="shared" si="128"/>
        <v>3.3470607451360518E-4</v>
      </c>
      <c r="DX34" s="69">
        <f t="shared" si="129"/>
        <v>1.724680858146231</v>
      </c>
      <c r="DY34" s="69">
        <f t="shared" si="129"/>
        <v>1.610217241595192E-2</v>
      </c>
      <c r="DZ34" s="69">
        <f t="shared" si="130"/>
        <v>0.20967030024963534</v>
      </c>
      <c r="EA34" s="69">
        <f t="shared" si="130"/>
        <v>1.4566824484897611E-2</v>
      </c>
      <c r="EB34" s="69">
        <f t="shared" si="131"/>
        <v>3.5493569400367464E-2</v>
      </c>
      <c r="EC34" s="69">
        <f t="shared" si="131"/>
        <v>1.0854695173727635E-3</v>
      </c>
      <c r="ED34" s="69">
        <f t="shared" si="131"/>
        <v>0.34552401746724887</v>
      </c>
      <c r="EE34" s="69">
        <f t="shared" si="131"/>
        <v>0.35613531394332787</v>
      </c>
      <c r="EF34" s="69">
        <f t="shared" si="131"/>
        <v>2.9897445842582318E-2</v>
      </c>
      <c r="EG34" s="69">
        <f t="shared" si="131"/>
        <v>0</v>
      </c>
      <c r="EH34" s="69">
        <f t="shared" si="131"/>
        <v>3.3470607451360518E-4</v>
      </c>
      <c r="EI34" s="69">
        <f t="shared" si="132"/>
        <v>2.7334906775421288</v>
      </c>
      <c r="EJ34" s="69">
        <f t="shared" si="159"/>
        <v>2.1949955963980154</v>
      </c>
      <c r="EL34" s="23">
        <f t="shared" si="133"/>
        <v>1.8928334444114636</v>
      </c>
      <c r="EM34" s="23">
        <f t="shared" si="133"/>
        <v>1.7672098772728028E-2</v>
      </c>
      <c r="EN34" s="23">
        <f t="shared" si="134"/>
        <v>0.30681692382893289</v>
      </c>
      <c r="EO34" s="23">
        <f t="shared" si="134"/>
        <v>2.1316077065235365E-2</v>
      </c>
      <c r="EP34" s="23">
        <f t="shared" si="135"/>
        <v>7.7908228534253929E-2</v>
      </c>
      <c r="EQ34" s="23">
        <f t="shared" si="135"/>
        <v>2.382600810657495E-3</v>
      </c>
      <c r="ER34" s="23">
        <f t="shared" si="135"/>
        <v>0.75842369679036226</v>
      </c>
      <c r="ES34" s="23">
        <f t="shared" si="135"/>
        <v>0.78171544582742947</v>
      </c>
      <c r="ET34" s="23">
        <f t="shared" si="136"/>
        <v>0.13124952393603267</v>
      </c>
      <c r="EU34" s="23">
        <f t="shared" si="136"/>
        <v>0</v>
      </c>
      <c r="EV34" s="23">
        <f t="shared" si="137"/>
        <v>7.3467835964502936E-4</v>
      </c>
      <c r="EX34" s="14">
        <f t="shared" si="138"/>
        <v>-6.7535771543409266</v>
      </c>
      <c r="EY34" s="4">
        <f t="shared" si="139"/>
        <v>0.50277217575003985</v>
      </c>
      <c r="EZ34" s="4">
        <f t="shared" si="140"/>
        <v>1.6966892285669211</v>
      </c>
      <c r="FA34" s="4">
        <f t="shared" si="141"/>
        <v>1.6966892285669211</v>
      </c>
      <c r="FC34" s="4">
        <f t="shared" si="142"/>
        <v>1.5390590094571379</v>
      </c>
    </row>
    <row r="35" spans="1:159" x14ac:dyDescent="0.2">
      <c r="A35" s="24" t="s">
        <v>98</v>
      </c>
      <c r="B35" s="24" t="s">
        <v>122</v>
      </c>
      <c r="C35" s="98">
        <v>40.387500000000003</v>
      </c>
      <c r="D35" s="98">
        <v>0</v>
      </c>
      <c r="E35" s="90">
        <f t="shared" si="143"/>
        <v>8.5780785723551314E-3</v>
      </c>
      <c r="F35" s="98">
        <v>3.6392451356928694E-3</v>
      </c>
      <c r="G35" s="98">
        <v>10.42</v>
      </c>
      <c r="H35" s="98">
        <v>0.14400000000000002</v>
      </c>
      <c r="I35" s="98">
        <v>48.1905</v>
      </c>
      <c r="J35" s="92">
        <f t="shared" si="144"/>
        <v>3.1470798903077343E-2</v>
      </c>
      <c r="K35" s="98">
        <v>0</v>
      </c>
      <c r="L35" s="98">
        <v>0</v>
      </c>
      <c r="M35" s="98">
        <v>0.38500000000000001</v>
      </c>
      <c r="N35" s="105">
        <v>45.4</v>
      </c>
      <c r="O35" s="123">
        <v>224.92049832151039</v>
      </c>
      <c r="P35" s="11"/>
      <c r="Q35" s="100">
        <v>51.743000000000002</v>
      </c>
      <c r="R35" s="100">
        <v>0.41499999999999998</v>
      </c>
      <c r="S35" s="100">
        <v>6.4740000000000002</v>
      </c>
      <c r="T35" s="100">
        <v>0.76500000000000001</v>
      </c>
      <c r="U35" s="100">
        <v>2.61</v>
      </c>
      <c r="V35" s="100">
        <v>9.4E-2</v>
      </c>
      <c r="W35" s="100">
        <v>14.135</v>
      </c>
      <c r="X35" s="100">
        <v>20.399000000000001</v>
      </c>
      <c r="Y35" s="100">
        <v>1.776</v>
      </c>
      <c r="Z35" s="100">
        <v>0</v>
      </c>
      <c r="AA35" s="100">
        <v>0.105</v>
      </c>
      <c r="AC35" s="99">
        <v>57.797333333333341</v>
      </c>
      <c r="AD35" s="99">
        <v>10.059000000000001</v>
      </c>
      <c r="AF35" s="83">
        <f t="shared" si="146"/>
        <v>0.1045460841166954</v>
      </c>
      <c r="AG35" s="22">
        <f t="shared" si="92"/>
        <v>1.4841651124080344E-4</v>
      </c>
      <c r="AH35" s="126">
        <f t="shared" si="145"/>
        <v>893.1928008839418</v>
      </c>
      <c r="AI35" s="126">
        <f t="shared" si="93"/>
        <v>893.1928008839418</v>
      </c>
      <c r="AJ35" s="126">
        <f t="shared" si="94"/>
        <v>0</v>
      </c>
      <c r="AK35" s="12"/>
      <c r="AL35" s="25">
        <f t="shared" si="95"/>
        <v>1.4553386354922198</v>
      </c>
      <c r="AN35" s="4">
        <v>15.999000000000001</v>
      </c>
      <c r="AO35" s="4">
        <v>28.085000000000001</v>
      </c>
      <c r="AP35" s="4">
        <v>47.866999999999997</v>
      </c>
      <c r="AQ35" s="4">
        <v>26.9815386</v>
      </c>
      <c r="AR35" s="4">
        <v>51.996099999999998</v>
      </c>
      <c r="AS35" s="4">
        <v>55.844999999999999</v>
      </c>
      <c r="AT35" s="4">
        <v>54.938045000000002</v>
      </c>
      <c r="AU35" s="4">
        <v>24.305</v>
      </c>
      <c r="AV35" s="4">
        <v>40.078000000000003</v>
      </c>
      <c r="AW35" s="4">
        <v>22.989769280000001</v>
      </c>
      <c r="AX35" s="4">
        <v>39.098300000000002</v>
      </c>
      <c r="AY35" s="4">
        <v>58.693399999999997</v>
      </c>
      <c r="BA35" s="4">
        <f>AN35*2+AO35</f>
        <v>60.082999999999998</v>
      </c>
      <c r="BB35" s="4">
        <f>AN35*2+AP35</f>
        <v>79.864999999999995</v>
      </c>
      <c r="BC35" s="4">
        <f>AQ35*2+AN35*3</f>
        <v>101.9600772</v>
      </c>
      <c r="BD35" s="4">
        <f>AR35*2+AN35*3</f>
        <v>151.98919999999998</v>
      </c>
      <c r="BE35" s="4">
        <f>AS35+AN35</f>
        <v>71.843999999999994</v>
      </c>
      <c r="BF35" s="4">
        <f>AT35+AN35</f>
        <v>70.937044999999998</v>
      </c>
      <c r="BG35" s="4">
        <f>AU35+AN35</f>
        <v>40.304000000000002</v>
      </c>
      <c r="BH35" s="4">
        <f>AV35+AN35</f>
        <v>56.077000000000005</v>
      </c>
      <c r="BI35" s="4">
        <f>AW35*2+AN35</f>
        <v>61.978538560000004</v>
      </c>
      <c r="BJ35" s="4">
        <f>AX35*2+AN35</f>
        <v>94.195599999999999</v>
      </c>
      <c r="BK35" s="4">
        <f>AY35+AN35</f>
        <v>74.692399999999992</v>
      </c>
      <c r="BM35" s="4">
        <f t="shared" si="96"/>
        <v>0.67219513007006981</v>
      </c>
      <c r="BN35" s="4">
        <f t="shared" si="97"/>
        <v>0</v>
      </c>
      <c r="BO35" s="4">
        <f t="shared" si="98"/>
        <v>8.4131738695418837E-5</v>
      </c>
      <c r="BP35" s="4">
        <f t="shared" si="99"/>
        <v>2.3944103500070202E-5</v>
      </c>
      <c r="BQ35" s="4">
        <f t="shared" si="100"/>
        <v>0.14503646790267805</v>
      </c>
      <c r="BR35" s="4">
        <f t="shared" si="101"/>
        <v>2.029968967554259E-3</v>
      </c>
      <c r="BS35" s="4">
        <f t="shared" si="102"/>
        <v>1.19567536720921</v>
      </c>
      <c r="BT35" s="4">
        <f t="shared" si="103"/>
        <v>5.6120689236366676E-4</v>
      </c>
      <c r="BU35" s="4">
        <f t="shared" si="104"/>
        <v>0</v>
      </c>
      <c r="BV35" s="4">
        <f t="shared" si="105"/>
        <v>0</v>
      </c>
      <c r="BW35" s="4">
        <f t="shared" si="106"/>
        <v>5.1544735475095201E-3</v>
      </c>
      <c r="BY35" s="4">
        <f t="shared" si="107"/>
        <v>0.67219513007006981</v>
      </c>
      <c r="BZ35" s="4">
        <f t="shared" si="107"/>
        <v>0</v>
      </c>
      <c r="CA35" s="4">
        <f t="shared" si="108"/>
        <v>1.6826347739083767E-4</v>
      </c>
      <c r="CB35" s="4">
        <f t="shared" si="108"/>
        <v>4.7888207000140403E-5</v>
      </c>
      <c r="CC35" s="4">
        <f t="shared" si="109"/>
        <v>0.14503646790267805</v>
      </c>
      <c r="CD35" s="4">
        <f t="shared" si="109"/>
        <v>2.029968967554259E-3</v>
      </c>
      <c r="CE35" s="4">
        <f t="shared" si="109"/>
        <v>1.19567536720921</v>
      </c>
      <c r="CF35" s="4">
        <f t="shared" si="109"/>
        <v>5.6120689236366676E-4</v>
      </c>
      <c r="CG35" s="4">
        <f t="shared" si="110"/>
        <v>0</v>
      </c>
      <c r="CH35" s="4">
        <f t="shared" si="110"/>
        <v>0</v>
      </c>
      <c r="CI35" s="4">
        <f>BW35</f>
        <v>5.1544735475095201E-3</v>
      </c>
      <c r="CK35" s="69">
        <f t="shared" si="111"/>
        <v>1.3443902601401396</v>
      </c>
      <c r="CL35" s="69">
        <f t="shared" si="111"/>
        <v>0</v>
      </c>
      <c r="CM35" s="69">
        <f t="shared" si="112"/>
        <v>2.5239521608625651E-4</v>
      </c>
      <c r="CN35" s="69">
        <f t="shared" si="112"/>
        <v>7.1832310500210612E-5</v>
      </c>
      <c r="CO35" s="69">
        <f t="shared" si="113"/>
        <v>0.14503646790267805</v>
      </c>
      <c r="CP35" s="69">
        <f t="shared" si="113"/>
        <v>2.029968967554259E-3</v>
      </c>
      <c r="CQ35" s="69">
        <f t="shared" si="113"/>
        <v>1.19567536720921</v>
      </c>
      <c r="CR35" s="69">
        <f t="shared" si="113"/>
        <v>5.6120689236366676E-4</v>
      </c>
      <c r="CS35" s="69">
        <f t="shared" si="113"/>
        <v>0</v>
      </c>
      <c r="CT35" s="69">
        <f t="shared" si="113"/>
        <v>0</v>
      </c>
      <c r="CU35" s="69">
        <f t="shared" si="113"/>
        <v>5.1544735475095201E-3</v>
      </c>
      <c r="CV35" s="69">
        <f t="shared" si="114"/>
        <v>2.6931719721860414</v>
      </c>
      <c r="CW35" s="16">
        <f t="shared" si="115"/>
        <v>1.4852374973861062</v>
      </c>
      <c r="CY35" s="23">
        <f t="shared" si="116"/>
        <v>0.9983694127403987</v>
      </c>
      <c r="CZ35" s="23">
        <f t="shared" si="116"/>
        <v>0</v>
      </c>
      <c r="DA35" s="23">
        <f t="shared" si="116"/>
        <v>2.4991122606145142E-4</v>
      </c>
      <c r="DB35" s="23">
        <f t="shared" si="116"/>
        <v>7.1125360719196342E-5</v>
      </c>
      <c r="DC35" s="23">
        <f t="shared" si="116"/>
        <v>0.21541360061749387</v>
      </c>
      <c r="DD35" s="23">
        <f t="shared" si="116"/>
        <v>3.0149860291417453E-3</v>
      </c>
      <c r="DE35" s="23">
        <f t="shared" si="116"/>
        <v>1.7758618900800205</v>
      </c>
      <c r="DF35" s="23">
        <f t="shared" si="116"/>
        <v>8.335255203300463E-4</v>
      </c>
      <c r="DG35" s="23">
        <f t="shared" si="116"/>
        <v>0</v>
      </c>
      <c r="DH35" s="23">
        <f t="shared" si="116"/>
        <v>0</v>
      </c>
      <c r="DI35" s="23">
        <f t="shared" si="116"/>
        <v>7.6556173920459243E-3</v>
      </c>
      <c r="DJ35" s="16">
        <f t="shared" si="117"/>
        <v>0.89182129663935272</v>
      </c>
      <c r="DL35" s="4">
        <f t="shared" si="118"/>
        <v>0.86119201770883613</v>
      </c>
      <c r="DM35" s="4">
        <f t="shared" si="119"/>
        <v>5.1962687034370503E-3</v>
      </c>
      <c r="DN35" s="4">
        <f t="shared" si="120"/>
        <v>6.3495440350647359E-2</v>
      </c>
      <c r="DO35" s="4">
        <f t="shared" si="121"/>
        <v>5.0332523626678742E-3</v>
      </c>
      <c r="DP35" s="4">
        <f t="shared" si="122"/>
        <v>3.6328712209787874E-2</v>
      </c>
      <c r="DQ35" s="4">
        <f t="shared" si="123"/>
        <v>1.3251186315979191E-3</v>
      </c>
      <c r="DR35" s="4">
        <f t="shared" si="124"/>
        <v>0.35070960698689951</v>
      </c>
      <c r="DS35" s="4">
        <f t="shared" si="125"/>
        <v>0.36376767658754927</v>
      </c>
      <c r="DT35" s="4">
        <f t="shared" si="126"/>
        <v>2.8655080311077278E-2</v>
      </c>
      <c r="DU35" s="4">
        <f t="shared" si="127"/>
        <v>0</v>
      </c>
      <c r="DV35" s="4">
        <f t="shared" si="128"/>
        <v>1.4057655129571416E-3</v>
      </c>
      <c r="DX35" s="69">
        <f t="shared" si="129"/>
        <v>1.7223840354176723</v>
      </c>
      <c r="DY35" s="69">
        <f t="shared" si="129"/>
        <v>1.0392537406874101E-2</v>
      </c>
      <c r="DZ35" s="69">
        <f t="shared" si="130"/>
        <v>0.19048632105194208</v>
      </c>
      <c r="EA35" s="69">
        <f t="shared" si="130"/>
        <v>1.5099757088003624E-2</v>
      </c>
      <c r="EB35" s="69">
        <f t="shared" si="131"/>
        <v>3.6328712209787874E-2</v>
      </c>
      <c r="EC35" s="69">
        <f t="shared" si="131"/>
        <v>1.3251186315979191E-3</v>
      </c>
      <c r="ED35" s="69">
        <f t="shared" si="131"/>
        <v>0.35070960698689951</v>
      </c>
      <c r="EE35" s="69">
        <f t="shared" si="131"/>
        <v>0.36376767658754927</v>
      </c>
      <c r="EF35" s="69">
        <f t="shared" si="131"/>
        <v>2.8655080311077278E-2</v>
      </c>
      <c r="EG35" s="69">
        <f t="shared" si="131"/>
        <v>0</v>
      </c>
      <c r="EH35" s="69">
        <f t="shared" si="131"/>
        <v>1.4057655129571416E-3</v>
      </c>
      <c r="EI35" s="69">
        <f t="shared" si="132"/>
        <v>2.7205546112043613</v>
      </c>
      <c r="EJ35" s="69">
        <f>6/EI35</f>
        <v>2.2054326626231049</v>
      </c>
      <c r="EL35" s="23">
        <f t="shared" si="133"/>
        <v>1.8993010046453627</v>
      </c>
      <c r="EM35" s="23">
        <f t="shared" si="133"/>
        <v>1.1460020722326283E-2</v>
      </c>
      <c r="EN35" s="23">
        <f t="shared" si="134"/>
        <v>0.28006983615390946</v>
      </c>
      <c r="EO35" s="23">
        <f t="shared" si="134"/>
        <v>2.2200998319705286E-2</v>
      </c>
      <c r="EP35" s="23">
        <f t="shared" si="135"/>
        <v>8.0120528498500973E-2</v>
      </c>
      <c r="EQ35" s="23">
        <f t="shared" si="135"/>
        <v>2.922459911976484E-3</v>
      </c>
      <c r="ER35" s="23">
        <f t="shared" si="135"/>
        <v>0.77346642234462049</v>
      </c>
      <c r="ES35" s="23">
        <f t="shared" si="135"/>
        <v>0.8022651155526993</v>
      </c>
      <c r="ET35" s="23">
        <f t="shared" si="136"/>
        <v>0.12639370013627613</v>
      </c>
      <c r="EU35" s="23">
        <f t="shared" si="136"/>
        <v>0</v>
      </c>
      <c r="EV35" s="23">
        <f t="shared" si="137"/>
        <v>3.1003211782648036E-3</v>
      </c>
      <c r="EX35" s="14">
        <f t="shared" si="138"/>
        <v>-6.8695300802493833</v>
      </c>
      <c r="EY35" s="4">
        <f t="shared" si="139"/>
        <v>0.42553832070026143</v>
      </c>
      <c r="EZ35" s="4">
        <f t="shared" si="140"/>
        <v>1.7916600563237413</v>
      </c>
      <c r="FA35" s="4">
        <f t="shared" si="141"/>
        <v>1.7916600563237413</v>
      </c>
      <c r="FC35" s="4">
        <f t="shared" si="142"/>
        <v>1.4553386354922198</v>
      </c>
    </row>
    <row r="36" spans="1:159" x14ac:dyDescent="0.2">
      <c r="A36" s="24" t="s">
        <v>99</v>
      </c>
      <c r="B36" s="24" t="s">
        <v>123</v>
      </c>
      <c r="C36" s="98">
        <v>40.594000000000001</v>
      </c>
      <c r="D36" s="98">
        <v>0</v>
      </c>
      <c r="E36" s="90">
        <f t="shared" si="143"/>
        <v>1.231917891888887E-2</v>
      </c>
      <c r="F36" s="98">
        <v>2.1923163468029336E-2</v>
      </c>
      <c r="G36" s="98">
        <v>9.6720000000000006</v>
      </c>
      <c r="H36" s="98">
        <v>0.11</v>
      </c>
      <c r="I36" s="98">
        <v>48.75</v>
      </c>
      <c r="J36" s="92">
        <f t="shared" si="144"/>
        <v>4.9936501921645025E-2</v>
      </c>
      <c r="K36" s="98">
        <v>0</v>
      </c>
      <c r="L36" s="98">
        <v>0</v>
      </c>
      <c r="M36" s="98">
        <v>0.34799999999999998</v>
      </c>
      <c r="N36" s="105">
        <v>65.2</v>
      </c>
      <c r="O36" s="123">
        <v>356.89411416725028</v>
      </c>
      <c r="P36" s="11"/>
      <c r="Q36" s="100">
        <v>52.762</v>
      </c>
      <c r="R36" s="100">
        <v>8.2000000000000003E-2</v>
      </c>
      <c r="S36" s="100">
        <v>3.266</v>
      </c>
      <c r="T36" s="100">
        <v>3.3410000000000002</v>
      </c>
      <c r="U36" s="100">
        <v>3.1080000000000001</v>
      </c>
      <c r="V36" s="100">
        <v>0.14000000000000001</v>
      </c>
      <c r="W36" s="100">
        <v>15.923999999999999</v>
      </c>
      <c r="X36" s="100">
        <v>18.401</v>
      </c>
      <c r="Y36" s="100">
        <v>1.597</v>
      </c>
      <c r="Z36" s="100">
        <v>0</v>
      </c>
      <c r="AA36" s="100">
        <v>3.3000000000000002E-2</v>
      </c>
      <c r="AC36" s="99">
        <v>24.631</v>
      </c>
      <c r="AD36" s="99">
        <v>44.146500000000003</v>
      </c>
      <c r="AF36" s="83">
        <f t="shared" si="146"/>
        <v>0.54594004943029917</v>
      </c>
      <c r="AG36" s="22">
        <f t="shared" si="92"/>
        <v>5.0014936132876733E-4</v>
      </c>
      <c r="AH36" s="126">
        <f t="shared" si="145"/>
        <v>996.7844164419173</v>
      </c>
      <c r="AI36" s="126">
        <f t="shared" si="93"/>
        <v>996.7844164419173</v>
      </c>
      <c r="AJ36" s="126">
        <f t="shared" si="94"/>
        <v>0</v>
      </c>
      <c r="AK36" s="12"/>
      <c r="AL36" s="25">
        <f t="shared" si="95"/>
        <v>2.0233771627103012</v>
      </c>
      <c r="AN36" s="4">
        <v>15.999000000000001</v>
      </c>
      <c r="AO36" s="4">
        <v>28.085000000000001</v>
      </c>
      <c r="AP36" s="4">
        <v>47.866999999999997</v>
      </c>
      <c r="AQ36" s="4">
        <v>26.9815386</v>
      </c>
      <c r="AR36" s="4">
        <v>51.996099999999998</v>
      </c>
      <c r="AS36" s="4">
        <v>55.844999999999999</v>
      </c>
      <c r="AT36" s="4">
        <v>54.938045000000002</v>
      </c>
      <c r="AU36" s="4">
        <v>24.305</v>
      </c>
      <c r="AV36" s="4">
        <v>40.078000000000003</v>
      </c>
      <c r="AW36" s="4">
        <v>22.989769280000001</v>
      </c>
      <c r="AX36" s="4">
        <v>39.098300000000002</v>
      </c>
      <c r="AY36" s="4">
        <v>58.693399999999997</v>
      </c>
      <c r="BA36" s="4">
        <f t="shared" ref="BA36" si="160">AN36*2+AO36</f>
        <v>60.082999999999998</v>
      </c>
      <c r="BB36" s="4">
        <f t="shared" ref="BB36" si="161">AN36*2+AP36</f>
        <v>79.864999999999995</v>
      </c>
      <c r="BC36" s="4">
        <f t="shared" ref="BC36" si="162">AQ36*2+AN36*3</f>
        <v>101.9600772</v>
      </c>
      <c r="BD36" s="4">
        <f t="shared" ref="BD36" si="163">AR36*2+AN36*3</f>
        <v>151.98919999999998</v>
      </c>
      <c r="BE36" s="4">
        <f t="shared" ref="BE36" si="164">AS36+AN36</f>
        <v>71.843999999999994</v>
      </c>
      <c r="BF36" s="4">
        <f t="shared" ref="BF36" si="165">AT36+AN36</f>
        <v>70.937044999999998</v>
      </c>
      <c r="BG36" s="4">
        <f t="shared" ref="BG36" si="166">AU36+AN36</f>
        <v>40.304000000000002</v>
      </c>
      <c r="BH36" s="4">
        <f t="shared" ref="BH36" si="167">AV36+AN36</f>
        <v>56.077000000000005</v>
      </c>
      <c r="BI36" s="4">
        <f t="shared" ref="BI36" si="168">AW36*2+AN36</f>
        <v>61.978538560000004</v>
      </c>
      <c r="BJ36" s="4">
        <f t="shared" ref="BJ36" si="169">AX36*2+AN36</f>
        <v>94.195599999999999</v>
      </c>
      <c r="BK36" s="4">
        <f t="shared" ref="BK36" si="170">AY36+AN36</f>
        <v>74.692399999999992</v>
      </c>
      <c r="BM36" s="4">
        <f t="shared" si="96"/>
        <v>0.67563204234142771</v>
      </c>
      <c r="BN36" s="4">
        <f t="shared" si="97"/>
        <v>0</v>
      </c>
      <c r="BO36" s="4">
        <f t="shared" si="98"/>
        <v>1.2082355424980857E-4</v>
      </c>
      <c r="BP36" s="4">
        <f t="shared" si="99"/>
        <v>1.442415873498205E-4</v>
      </c>
      <c r="BQ36" s="4">
        <f t="shared" si="100"/>
        <v>0.13462502087857026</v>
      </c>
      <c r="BR36" s="4">
        <f t="shared" si="101"/>
        <v>1.5506707391039478E-3</v>
      </c>
      <c r="BS36" s="4">
        <f t="shared" si="102"/>
        <v>1.2095573640333466</v>
      </c>
      <c r="BT36" s="4">
        <f t="shared" si="103"/>
        <v>8.9049881273329569E-4</v>
      </c>
      <c r="BU36" s="4">
        <f t="shared" si="104"/>
        <v>0</v>
      </c>
      <c r="BV36" s="4">
        <f t="shared" si="105"/>
        <v>0</v>
      </c>
      <c r="BW36" s="4">
        <f t="shared" si="106"/>
        <v>4.6591085572293836E-3</v>
      </c>
      <c r="BY36" s="4">
        <f t="shared" si="107"/>
        <v>0.67563204234142771</v>
      </c>
      <c r="BZ36" s="4">
        <f t="shared" si="107"/>
        <v>0</v>
      </c>
      <c r="CA36" s="4">
        <f t="shared" si="108"/>
        <v>2.4164710849961714E-4</v>
      </c>
      <c r="CB36" s="4">
        <f t="shared" si="108"/>
        <v>2.8848317469964101E-4</v>
      </c>
      <c r="CC36" s="4">
        <f t="shared" si="109"/>
        <v>0.13462502087857026</v>
      </c>
      <c r="CD36" s="4">
        <f t="shared" si="109"/>
        <v>1.5506707391039478E-3</v>
      </c>
      <c r="CE36" s="4">
        <f t="shared" si="109"/>
        <v>1.2095573640333466</v>
      </c>
      <c r="CF36" s="4">
        <f t="shared" si="109"/>
        <v>8.9049881273329569E-4</v>
      </c>
      <c r="CG36" s="4">
        <f t="shared" si="110"/>
        <v>0</v>
      </c>
      <c r="CH36" s="4">
        <f t="shared" si="110"/>
        <v>0</v>
      </c>
      <c r="CI36" s="4">
        <f t="shared" ref="CI36" si="171">BW36</f>
        <v>4.6591085572293836E-3</v>
      </c>
      <c r="CK36" s="69">
        <f t="shared" si="111"/>
        <v>1.3512640846828554</v>
      </c>
      <c r="CL36" s="69">
        <f t="shared" si="111"/>
        <v>0</v>
      </c>
      <c r="CM36" s="69">
        <f t="shared" si="112"/>
        <v>3.624706627494257E-4</v>
      </c>
      <c r="CN36" s="69">
        <f t="shared" si="112"/>
        <v>4.3272476204946151E-4</v>
      </c>
      <c r="CO36" s="69">
        <f t="shared" si="113"/>
        <v>0.13462502087857026</v>
      </c>
      <c r="CP36" s="69">
        <f t="shared" si="113"/>
        <v>1.5506707391039478E-3</v>
      </c>
      <c r="CQ36" s="69">
        <f t="shared" si="113"/>
        <v>1.2095573640333466</v>
      </c>
      <c r="CR36" s="69">
        <f t="shared" si="113"/>
        <v>8.9049881273329569E-4</v>
      </c>
      <c r="CS36" s="69">
        <f t="shared" si="113"/>
        <v>0</v>
      </c>
      <c r="CT36" s="69">
        <f t="shared" si="113"/>
        <v>0</v>
      </c>
      <c r="CU36" s="69">
        <f t="shared" si="113"/>
        <v>4.6591085572293836E-3</v>
      </c>
      <c r="CV36" s="69">
        <f t="shared" si="114"/>
        <v>2.7033419431286374</v>
      </c>
      <c r="CW36" s="16">
        <f t="shared" si="115"/>
        <v>1.4796500347161823</v>
      </c>
      <c r="CY36" s="23">
        <f t="shared" si="116"/>
        <v>0.99969897490585868</v>
      </c>
      <c r="CZ36" s="23">
        <f t="shared" si="116"/>
        <v>0</v>
      </c>
      <c r="DA36" s="23">
        <f t="shared" si="116"/>
        <v>3.5755315248052358E-4</v>
      </c>
      <c r="DB36" s="23">
        <f t="shared" si="116"/>
        <v>4.2685413945935829E-4</v>
      </c>
      <c r="DC36" s="23">
        <f t="shared" si="116"/>
        <v>0.19919791681664326</v>
      </c>
      <c r="DD36" s="23">
        <f t="shared" si="116"/>
        <v>2.2944500129485246E-3</v>
      </c>
      <c r="DE36" s="23">
        <f t="shared" si="116"/>
        <v>1.7897215956831551</v>
      </c>
      <c r="DF36" s="23">
        <f t="shared" si="116"/>
        <v>1.31762659917554E-3</v>
      </c>
      <c r="DG36" s="23">
        <f t="shared" si="116"/>
        <v>0</v>
      </c>
      <c r="DH36" s="23">
        <f t="shared" si="116"/>
        <v>0</v>
      </c>
      <c r="DI36" s="23">
        <f t="shared" si="116"/>
        <v>6.8938501384509191E-3</v>
      </c>
      <c r="DJ36" s="16">
        <f t="shared" si="117"/>
        <v>0.89984616493289915</v>
      </c>
      <c r="DL36" s="4">
        <f t="shared" si="118"/>
        <v>0.87815188988565818</v>
      </c>
      <c r="DM36" s="4">
        <f t="shared" si="119"/>
        <v>1.0267326112815378E-3</v>
      </c>
      <c r="DN36" s="4">
        <f t="shared" si="120"/>
        <v>3.2032145224778236E-2</v>
      </c>
      <c r="DO36" s="4">
        <f t="shared" si="121"/>
        <v>2.1981825024409634E-2</v>
      </c>
      <c r="DP36" s="4">
        <f t="shared" si="122"/>
        <v>4.3260397527977286E-2</v>
      </c>
      <c r="DQ36" s="4">
        <f t="shared" si="123"/>
        <v>1.9735809406777518E-3</v>
      </c>
      <c r="DR36" s="4">
        <f t="shared" si="124"/>
        <v>0.39509726081778479</v>
      </c>
      <c r="DS36" s="4">
        <f t="shared" si="125"/>
        <v>0.32813809583251596</v>
      </c>
      <c r="DT36" s="4">
        <f t="shared" si="126"/>
        <v>2.5766983815760366E-2</v>
      </c>
      <c r="DU36" s="4">
        <f t="shared" si="127"/>
        <v>0</v>
      </c>
      <c r="DV36" s="4">
        <f t="shared" si="128"/>
        <v>4.4181201835795885E-4</v>
      </c>
      <c r="DX36" s="69">
        <f t="shared" si="129"/>
        <v>1.7563037797713164</v>
      </c>
      <c r="DY36" s="69">
        <f t="shared" si="129"/>
        <v>2.0534652225630756E-3</v>
      </c>
      <c r="DZ36" s="69">
        <f t="shared" si="130"/>
        <v>9.6096435674334707E-2</v>
      </c>
      <c r="EA36" s="69">
        <f t="shared" si="130"/>
        <v>6.5945475073228899E-2</v>
      </c>
      <c r="EB36" s="69">
        <f t="shared" si="131"/>
        <v>4.3260397527977286E-2</v>
      </c>
      <c r="EC36" s="69">
        <f t="shared" si="131"/>
        <v>1.9735809406777518E-3</v>
      </c>
      <c r="ED36" s="69">
        <f t="shared" si="131"/>
        <v>0.39509726081778479</v>
      </c>
      <c r="EE36" s="69">
        <f t="shared" si="131"/>
        <v>0.32813809583251596</v>
      </c>
      <c r="EF36" s="69">
        <f t="shared" si="131"/>
        <v>2.5766983815760366E-2</v>
      </c>
      <c r="EG36" s="69">
        <f t="shared" si="131"/>
        <v>0</v>
      </c>
      <c r="EH36" s="69">
        <f t="shared" si="131"/>
        <v>4.4181201835795885E-4</v>
      </c>
      <c r="EI36" s="69">
        <f t="shared" si="132"/>
        <v>2.715077286694517</v>
      </c>
      <c r="EJ36" s="69">
        <f t="shared" ref="EJ36" si="172">6/EI36</f>
        <v>2.2098818436600483</v>
      </c>
      <c r="EL36" s="23">
        <f t="shared" si="133"/>
        <v>1.9406119174340739</v>
      </c>
      <c r="EM36" s="23">
        <f t="shared" si="133"/>
        <v>2.2689577559647403E-3</v>
      </c>
      <c r="EN36" s="23">
        <f t="shared" si="134"/>
        <v>0.14157451229143866</v>
      </c>
      <c r="EO36" s="23">
        <f t="shared" si="134"/>
        <v>9.7154472023909894E-2</v>
      </c>
      <c r="EP36" s="23">
        <f t="shared" si="135"/>
        <v>9.5600367046593041E-2</v>
      </c>
      <c r="EQ36" s="23">
        <f t="shared" si="135"/>
        <v>4.3613806877972824E-3</v>
      </c>
      <c r="ER36" s="23">
        <f t="shared" si="135"/>
        <v>0.87311826316104124</v>
      </c>
      <c r="ES36" s="23">
        <f t="shared" si="135"/>
        <v>0.72514642019345799</v>
      </c>
      <c r="ET36" s="23">
        <f t="shared" si="136"/>
        <v>0.11388397940066228</v>
      </c>
      <c r="EU36" s="23">
        <f t="shared" si="136"/>
        <v>0</v>
      </c>
      <c r="EV36" s="23">
        <f t="shared" si="137"/>
        <v>9.7635235768005321E-4</v>
      </c>
      <c r="EX36" s="14">
        <f t="shared" si="138"/>
        <v>-6.3105415060784464</v>
      </c>
      <c r="EY36" s="4">
        <f t="shared" si="139"/>
        <v>1.0942153150954432</v>
      </c>
      <c r="EZ36" s="4">
        <f t="shared" si="140"/>
        <v>1.4912864545315792</v>
      </c>
      <c r="FA36" s="4">
        <f t="shared" si="141"/>
        <v>1.4912864545315792</v>
      </c>
      <c r="FC36" s="4">
        <f t="shared" si="142"/>
        <v>2.0233771627103012</v>
      </c>
    </row>
    <row r="37" spans="1:159" x14ac:dyDescent="0.2">
      <c r="A37" s="24" t="s">
        <v>100</v>
      </c>
      <c r="B37" s="24" t="s">
        <v>123</v>
      </c>
      <c r="C37" s="98">
        <v>40.826000000000001</v>
      </c>
      <c r="D37" s="98">
        <v>0</v>
      </c>
      <c r="E37" s="90">
        <f t="shared" si="143"/>
        <v>1.2338073365083482E-2</v>
      </c>
      <c r="F37" s="98">
        <v>2.30923988529909E-2</v>
      </c>
      <c r="G37" s="98">
        <v>10.183</v>
      </c>
      <c r="H37" s="98">
        <v>0.14899999999999999</v>
      </c>
      <c r="I37" s="98">
        <v>48.817</v>
      </c>
      <c r="J37" s="92">
        <f t="shared" si="144"/>
        <v>5.197381798577351E-2</v>
      </c>
      <c r="K37" s="98">
        <v>0</v>
      </c>
      <c r="L37" s="98">
        <v>0</v>
      </c>
      <c r="M37" s="98">
        <v>0.379</v>
      </c>
      <c r="N37" s="105">
        <v>65.3</v>
      </c>
      <c r="O37" s="123">
        <v>371.45472782670805</v>
      </c>
      <c r="P37" s="11"/>
      <c r="Q37" s="100">
        <v>52.606000000000002</v>
      </c>
      <c r="R37" s="100">
        <v>6.7000000000000004E-2</v>
      </c>
      <c r="S37" s="100">
        <v>3.0009999999999999</v>
      </c>
      <c r="T37" s="100">
        <v>3.6949999999999998</v>
      </c>
      <c r="U37" s="100">
        <v>2.4689999999999999</v>
      </c>
      <c r="V37" s="100">
        <v>0.113</v>
      </c>
      <c r="W37" s="100">
        <v>15.279</v>
      </c>
      <c r="X37" s="100">
        <v>19.649999999999999</v>
      </c>
      <c r="Y37" s="100">
        <v>1.4830000000000001</v>
      </c>
      <c r="Z37" s="100">
        <v>0</v>
      </c>
      <c r="AA37" s="100"/>
      <c r="AC37" s="99">
        <v>24.324249999999999</v>
      </c>
      <c r="AD37" s="99">
        <v>45.135750000000002</v>
      </c>
      <c r="AF37" s="83">
        <f t="shared" si="146"/>
        <v>0.55452553162158713</v>
      </c>
      <c r="AG37" s="22">
        <f t="shared" si="92"/>
        <v>5.0723345488898862E-4</v>
      </c>
      <c r="AH37" s="126">
        <f t="shared" si="145"/>
        <v>997.59536137656528</v>
      </c>
      <c r="AI37" s="126">
        <f t="shared" si="93"/>
        <v>997.59536137656528</v>
      </c>
      <c r="AJ37" s="126">
        <f t="shared" si="94"/>
        <v>0</v>
      </c>
      <c r="AK37" s="12"/>
      <c r="AL37" s="25">
        <f t="shared" si="95"/>
        <v>1.9694458000028974</v>
      </c>
      <c r="AN37" s="4">
        <v>15.999000000000001</v>
      </c>
      <c r="AO37" s="4">
        <v>28.085000000000001</v>
      </c>
      <c r="AP37" s="4">
        <v>47.866999999999997</v>
      </c>
      <c r="AQ37" s="4">
        <v>26.9815386</v>
      </c>
      <c r="AR37" s="4">
        <v>51.996099999999998</v>
      </c>
      <c r="AS37" s="4">
        <v>55.844999999999999</v>
      </c>
      <c r="AT37" s="4">
        <v>54.938045000000002</v>
      </c>
      <c r="AU37" s="4">
        <v>24.305</v>
      </c>
      <c r="AV37" s="4">
        <v>40.078000000000003</v>
      </c>
      <c r="AW37" s="4">
        <v>22.989769280000001</v>
      </c>
      <c r="AX37" s="4">
        <v>39.098300000000002</v>
      </c>
      <c r="AY37" s="4">
        <v>58.693399999999997</v>
      </c>
      <c r="BA37" s="4">
        <f>AN37*2+AO37</f>
        <v>60.082999999999998</v>
      </c>
      <c r="BB37" s="4">
        <f>AN37*2+AP37</f>
        <v>79.864999999999995</v>
      </c>
      <c r="BC37" s="4">
        <f>AQ37*2+AN37*3</f>
        <v>101.9600772</v>
      </c>
      <c r="BD37" s="4">
        <f>AR37*2+AN37*3</f>
        <v>151.98919999999998</v>
      </c>
      <c r="BE37" s="4">
        <f>AS37+AN37</f>
        <v>71.843999999999994</v>
      </c>
      <c r="BF37" s="4">
        <f>AT37+AN37</f>
        <v>70.937044999999998</v>
      </c>
      <c r="BG37" s="4">
        <f>AU37+AN37</f>
        <v>40.304000000000002</v>
      </c>
      <c r="BH37" s="4">
        <f>AV37+AN37</f>
        <v>56.077000000000005</v>
      </c>
      <c r="BI37" s="4">
        <f>AW37*2+AN37</f>
        <v>61.978538560000004</v>
      </c>
      <c r="BJ37" s="4">
        <f>AX37*2+AN37</f>
        <v>94.195599999999999</v>
      </c>
      <c r="BK37" s="4">
        <f>AY37+AN37</f>
        <v>74.692399999999992</v>
      </c>
      <c r="BM37" s="4">
        <f t="shared" si="96"/>
        <v>0.67949336750828027</v>
      </c>
      <c r="BN37" s="4">
        <f t="shared" si="97"/>
        <v>0</v>
      </c>
      <c r="BO37" s="4">
        <f t="shared" si="98"/>
        <v>1.2100886644957819E-4</v>
      </c>
      <c r="BP37" s="4">
        <f t="shared" si="99"/>
        <v>1.519344720084776E-4</v>
      </c>
      <c r="BQ37" s="4">
        <f t="shared" si="100"/>
        <v>0.14173765380546741</v>
      </c>
      <c r="BR37" s="4">
        <f t="shared" si="101"/>
        <v>2.100454001149893E-3</v>
      </c>
      <c r="BS37" s="4">
        <f t="shared" si="102"/>
        <v>1.2112197300516077</v>
      </c>
      <c r="BT37" s="4">
        <f t="shared" si="103"/>
        <v>9.2682950203779632E-4</v>
      </c>
      <c r="BU37" s="4">
        <f t="shared" si="104"/>
        <v>0</v>
      </c>
      <c r="BV37" s="4">
        <f t="shared" si="105"/>
        <v>0</v>
      </c>
      <c r="BW37" s="4">
        <f t="shared" si="106"/>
        <v>5.0741440896262544E-3</v>
      </c>
      <c r="BY37" s="4">
        <f t="shared" si="107"/>
        <v>0.67949336750828027</v>
      </c>
      <c r="BZ37" s="4">
        <f t="shared" si="107"/>
        <v>0</v>
      </c>
      <c r="CA37" s="4">
        <f t="shared" si="108"/>
        <v>2.4201773289915637E-4</v>
      </c>
      <c r="CB37" s="4">
        <f t="shared" si="108"/>
        <v>3.0386894401695521E-4</v>
      </c>
      <c r="CC37" s="4">
        <f t="shared" si="109"/>
        <v>0.14173765380546741</v>
      </c>
      <c r="CD37" s="4">
        <f t="shared" si="109"/>
        <v>2.100454001149893E-3</v>
      </c>
      <c r="CE37" s="4">
        <f t="shared" si="109"/>
        <v>1.2112197300516077</v>
      </c>
      <c r="CF37" s="4">
        <f t="shared" si="109"/>
        <v>9.2682950203779632E-4</v>
      </c>
      <c r="CG37" s="4">
        <f t="shared" si="110"/>
        <v>0</v>
      </c>
      <c r="CH37" s="4">
        <f t="shared" si="110"/>
        <v>0</v>
      </c>
      <c r="CI37" s="4">
        <f>BW37</f>
        <v>5.0741440896262544E-3</v>
      </c>
      <c r="CK37" s="69">
        <f t="shared" si="111"/>
        <v>1.3589867350165605</v>
      </c>
      <c r="CL37" s="69">
        <f t="shared" si="111"/>
        <v>0</v>
      </c>
      <c r="CM37" s="69">
        <f t="shared" si="112"/>
        <v>3.6302659934873456E-4</v>
      </c>
      <c r="CN37" s="69">
        <f t="shared" si="112"/>
        <v>4.5580341602543281E-4</v>
      </c>
      <c r="CO37" s="69">
        <f t="shared" si="113"/>
        <v>0.14173765380546741</v>
      </c>
      <c r="CP37" s="69">
        <f t="shared" si="113"/>
        <v>2.100454001149893E-3</v>
      </c>
      <c r="CQ37" s="69">
        <f t="shared" si="113"/>
        <v>1.2112197300516077</v>
      </c>
      <c r="CR37" s="69">
        <f t="shared" si="113"/>
        <v>9.2682950203779632E-4</v>
      </c>
      <c r="CS37" s="69">
        <f t="shared" si="113"/>
        <v>0</v>
      </c>
      <c r="CT37" s="69">
        <f t="shared" si="113"/>
        <v>0</v>
      </c>
      <c r="CU37" s="69">
        <f t="shared" si="113"/>
        <v>5.0741440896262544E-3</v>
      </c>
      <c r="CV37" s="69">
        <f t="shared" si="114"/>
        <v>2.7208643764818241</v>
      </c>
      <c r="CW37" s="16">
        <f t="shared" si="115"/>
        <v>1.4701210521827421</v>
      </c>
      <c r="CY37" s="23">
        <f t="shared" si="116"/>
        <v>0.99893750439246765</v>
      </c>
      <c r="CZ37" s="23">
        <f t="shared" si="116"/>
        <v>0</v>
      </c>
      <c r="DA37" s="23">
        <f t="shared" si="116"/>
        <v>3.5579536413658959E-4</v>
      </c>
      <c r="DB37" s="23">
        <f t="shared" si="116"/>
        <v>4.4672413170386495E-4</v>
      </c>
      <c r="DC37" s="23">
        <f t="shared" si="116"/>
        <v>0.20837150874640697</v>
      </c>
      <c r="DD37" s="23">
        <f t="shared" si="116"/>
        <v>3.0879216462319312E-3</v>
      </c>
      <c r="DE37" s="23">
        <f t="shared" si="116"/>
        <v>1.7806396239679663</v>
      </c>
      <c r="DF37" s="23">
        <f t="shared" si="116"/>
        <v>1.362551562729812E-3</v>
      </c>
      <c r="DG37" s="23">
        <f t="shared" si="116"/>
        <v>0</v>
      </c>
      <c r="DH37" s="23">
        <f t="shared" si="116"/>
        <v>0</v>
      </c>
      <c r="DI37" s="23">
        <f t="shared" si="116"/>
        <v>7.4596060479681916E-3</v>
      </c>
      <c r="DJ37" s="16">
        <f t="shared" si="117"/>
        <v>0.8952386412930502</v>
      </c>
      <c r="DL37" s="4">
        <f t="shared" si="118"/>
        <v>0.87555548158380914</v>
      </c>
      <c r="DM37" s="4">
        <f t="shared" si="119"/>
        <v>8.389156701934516E-4</v>
      </c>
      <c r="DN37" s="4">
        <f t="shared" si="120"/>
        <v>2.9433088738383181E-2</v>
      </c>
      <c r="DO37" s="4">
        <f t="shared" si="121"/>
        <v>2.4310937882428489E-2</v>
      </c>
      <c r="DP37" s="4">
        <f t="shared" si="122"/>
        <v>3.4366126607649906E-2</v>
      </c>
      <c r="DQ37" s="4">
        <f t="shared" si="123"/>
        <v>1.5929617592613282E-3</v>
      </c>
      <c r="DR37" s="4">
        <f t="shared" si="124"/>
        <v>0.37909388646288206</v>
      </c>
      <c r="DS37" s="4">
        <f t="shared" si="125"/>
        <v>0.35041104196016187</v>
      </c>
      <c r="DT37" s="4">
        <f t="shared" si="126"/>
        <v>2.3927637444441218E-2</v>
      </c>
      <c r="DU37" s="4">
        <f t="shared" si="127"/>
        <v>0</v>
      </c>
      <c r="DV37" s="4">
        <f t="shared" si="128"/>
        <v>0</v>
      </c>
      <c r="DX37" s="69">
        <f t="shared" si="129"/>
        <v>1.7511109631676183</v>
      </c>
      <c r="DY37" s="69">
        <f t="shared" si="129"/>
        <v>1.6778313403869032E-3</v>
      </c>
      <c r="DZ37" s="69">
        <f t="shared" si="130"/>
        <v>8.8299266215149538E-2</v>
      </c>
      <c r="EA37" s="69">
        <f t="shared" si="130"/>
        <v>7.293281364728546E-2</v>
      </c>
      <c r="EB37" s="69">
        <f t="shared" si="131"/>
        <v>3.4366126607649906E-2</v>
      </c>
      <c r="EC37" s="69">
        <f t="shared" si="131"/>
        <v>1.5929617592613282E-3</v>
      </c>
      <c r="ED37" s="69">
        <f t="shared" si="131"/>
        <v>0.37909388646288206</v>
      </c>
      <c r="EE37" s="69">
        <f t="shared" si="131"/>
        <v>0.35041104196016187</v>
      </c>
      <c r="EF37" s="69">
        <f t="shared" si="131"/>
        <v>2.3927637444441218E-2</v>
      </c>
      <c r="EG37" s="69">
        <f t="shared" si="131"/>
        <v>0</v>
      </c>
      <c r="EH37" s="69">
        <f t="shared" si="131"/>
        <v>0</v>
      </c>
      <c r="EI37" s="69">
        <f t="shared" si="132"/>
        <v>2.7034125286048365</v>
      </c>
      <c r="EJ37" s="69">
        <f>6/EI37</f>
        <v>2.2194171020937192</v>
      </c>
      <c r="EL37" s="23">
        <f t="shared" si="133"/>
        <v>1.9432228096590085</v>
      </c>
      <c r="EM37" s="23">
        <f t="shared" si="133"/>
        <v>1.8619037856417607E-3</v>
      </c>
      <c r="EN37" s="23">
        <f t="shared" si="134"/>
        <v>0.13064860102681936</v>
      </c>
      <c r="EO37" s="23">
        <f t="shared" si="134"/>
        <v>0.10791222260839971</v>
      </c>
      <c r="EP37" s="23">
        <f t="shared" si="135"/>
        <v>7.6272769125736217E-2</v>
      </c>
      <c r="EQ37" s="23">
        <f t="shared" si="135"/>
        <v>3.5354465714858901E-3</v>
      </c>
      <c r="ER37" s="23">
        <f t="shared" si="135"/>
        <v>0.84136745491489506</v>
      </c>
      <c r="ES37" s="23">
        <f t="shared" si="135"/>
        <v>0.77770825928886311</v>
      </c>
      <c r="ET37" s="23">
        <f t="shared" si="136"/>
        <v>0.10621081551378178</v>
      </c>
      <c r="EU37" s="23">
        <f t="shared" si="136"/>
        <v>0</v>
      </c>
      <c r="EV37" s="23">
        <f t="shared" si="137"/>
        <v>0</v>
      </c>
      <c r="EX37" s="14">
        <f t="shared" si="138"/>
        <v>-6.3469923747476455</v>
      </c>
      <c r="EY37" s="4">
        <f t="shared" si="139"/>
        <v>1.1909400793882376</v>
      </c>
      <c r="EZ37" s="4">
        <f t="shared" si="140"/>
        <v>1.6099173372378406</v>
      </c>
      <c r="FA37" s="4">
        <f t="shared" si="141"/>
        <v>1.6099173372378406</v>
      </c>
      <c r="FC37" s="4">
        <f t="shared" si="142"/>
        <v>1.9694458000028974</v>
      </c>
    </row>
    <row r="38" spans="1:159" x14ac:dyDescent="0.2">
      <c r="A38" s="24" t="s">
        <v>101</v>
      </c>
      <c r="B38" s="24" t="s">
        <v>123</v>
      </c>
      <c r="C38" s="98">
        <v>41.207000000000001</v>
      </c>
      <c r="D38" s="98">
        <v>0</v>
      </c>
      <c r="E38" s="90">
        <f t="shared" si="143"/>
        <v>1.048641763801123E-2</v>
      </c>
      <c r="F38" s="98">
        <v>1.97308471212264E-2</v>
      </c>
      <c r="G38" s="98">
        <v>8.9090000000000007</v>
      </c>
      <c r="H38" s="98">
        <v>0.128</v>
      </c>
      <c r="I38" s="98">
        <v>49.338999999999999</v>
      </c>
      <c r="J38" s="92">
        <f t="shared" si="144"/>
        <v>4.2659640654097102E-2</v>
      </c>
      <c r="K38" s="98">
        <v>0</v>
      </c>
      <c r="L38" s="98">
        <v>0</v>
      </c>
      <c r="M38" s="98">
        <v>0.41599999999999998</v>
      </c>
      <c r="N38" s="105">
        <v>55.5</v>
      </c>
      <c r="O38" s="123">
        <v>304.88668761433456</v>
      </c>
      <c r="P38" s="11"/>
      <c r="Q38" s="100">
        <v>54.438000000000002</v>
      </c>
      <c r="R38" s="100">
        <v>7.8E-2</v>
      </c>
      <c r="S38" s="100">
        <v>1.95</v>
      </c>
      <c r="T38" s="100">
        <v>1.905</v>
      </c>
      <c r="U38" s="100">
        <v>2.4830000000000001</v>
      </c>
      <c r="V38" s="100">
        <v>0.08</v>
      </c>
      <c r="W38" s="100">
        <v>17.327999999999999</v>
      </c>
      <c r="X38" s="100">
        <v>19.564</v>
      </c>
      <c r="Y38" s="100">
        <v>1.2230000000000001</v>
      </c>
      <c r="Z38" s="100">
        <v>0</v>
      </c>
      <c r="AA38" s="100">
        <v>4.3999999999999997E-2</v>
      </c>
      <c r="AC38" s="99">
        <v>27.329000000000001</v>
      </c>
      <c r="AD38" s="99">
        <v>42.2395</v>
      </c>
      <c r="AF38" s="83">
        <f t="shared" si="146"/>
        <v>0.50904388535756373</v>
      </c>
      <c r="AG38" s="22">
        <f t="shared" si="92"/>
        <v>3.8371025789495517E-4</v>
      </c>
      <c r="AH38" s="126">
        <f>10000/(0.575+0.884*AF38-0.897*LN(AG38))-273</f>
        <v>964.55354187309035</v>
      </c>
      <c r="AI38" s="126">
        <f t="shared" si="93"/>
        <v>964.55354187309035</v>
      </c>
      <c r="AJ38" s="126">
        <f t="shared" si="94"/>
        <v>0</v>
      </c>
      <c r="AK38" s="12"/>
      <c r="AL38" s="25">
        <f t="shared" si="95"/>
        <v>1.8809657664693287</v>
      </c>
      <c r="AN38" s="4">
        <v>15.999000000000001</v>
      </c>
      <c r="AO38" s="4">
        <v>28.085000000000001</v>
      </c>
      <c r="AP38" s="4">
        <v>47.866999999999997</v>
      </c>
      <c r="AQ38" s="4">
        <v>26.9815386</v>
      </c>
      <c r="AR38" s="4">
        <v>51.996099999999998</v>
      </c>
      <c r="AS38" s="4">
        <v>55.844999999999999</v>
      </c>
      <c r="AT38" s="4">
        <v>54.938045000000002</v>
      </c>
      <c r="AU38" s="4">
        <v>24.305</v>
      </c>
      <c r="AV38" s="4">
        <v>40.078000000000003</v>
      </c>
      <c r="AW38" s="4">
        <v>22.989769280000001</v>
      </c>
      <c r="AX38" s="4">
        <v>39.098300000000002</v>
      </c>
      <c r="AY38" s="4">
        <v>58.693399999999997</v>
      </c>
      <c r="BA38" s="4">
        <f t="shared" ref="BA38:BA39" si="173">AN38*2+AO38</f>
        <v>60.082999999999998</v>
      </c>
      <c r="BB38" s="4">
        <f t="shared" ref="BB38:BB39" si="174">AN38*2+AP38</f>
        <v>79.864999999999995</v>
      </c>
      <c r="BC38" s="4">
        <f t="shared" ref="BC38:BC39" si="175">AQ38*2+AN38*3</f>
        <v>101.9600772</v>
      </c>
      <c r="BD38" s="4">
        <f t="shared" ref="BD38:BD39" si="176">AR38*2+AN38*3</f>
        <v>151.98919999999998</v>
      </c>
      <c r="BE38" s="4">
        <f t="shared" ref="BE38:BE39" si="177">AS38+AN38</f>
        <v>71.843999999999994</v>
      </c>
      <c r="BF38" s="4">
        <f t="shared" ref="BF38:BF39" si="178">AT38+AN38</f>
        <v>70.937044999999998</v>
      </c>
      <c r="BG38" s="4">
        <f t="shared" ref="BG38:BG39" si="179">AU38+AN38</f>
        <v>40.304000000000002</v>
      </c>
      <c r="BH38" s="4">
        <f t="shared" ref="BH38:BH39" si="180">AV38+AN38</f>
        <v>56.077000000000005</v>
      </c>
      <c r="BI38" s="4">
        <f t="shared" ref="BI38:BI39" si="181">AW38*2+AN38</f>
        <v>61.978538560000004</v>
      </c>
      <c r="BJ38" s="4">
        <f t="shared" ref="BJ38:BJ39" si="182">AX38*2+AN38</f>
        <v>94.195599999999999</v>
      </c>
      <c r="BK38" s="4">
        <f t="shared" ref="BK38:BK39" si="183">AY38+AN38</f>
        <v>74.692399999999992</v>
      </c>
      <c r="BM38" s="4">
        <f t="shared" si="96"/>
        <v>0.68583459547625791</v>
      </c>
      <c r="BN38" s="4">
        <f t="shared" si="97"/>
        <v>0</v>
      </c>
      <c r="BO38" s="4">
        <f t="shared" si="98"/>
        <v>1.0284827087215298E-4</v>
      </c>
      <c r="BP38" s="4">
        <f t="shared" si="99"/>
        <v>1.2981742861483843E-4</v>
      </c>
      <c r="BQ38" s="4">
        <f t="shared" si="100"/>
        <v>0.12400478815210736</v>
      </c>
      <c r="BR38" s="4">
        <f t="shared" si="101"/>
        <v>1.8044168600482302E-3</v>
      </c>
      <c r="BS38" s="4">
        <f t="shared" si="102"/>
        <v>1.2241712981341801</v>
      </c>
      <c r="BT38" s="4">
        <f t="shared" si="103"/>
        <v>7.6073328912204822E-4</v>
      </c>
      <c r="BU38" s="4">
        <f t="shared" si="104"/>
        <v>0</v>
      </c>
      <c r="BV38" s="4">
        <f t="shared" si="105"/>
        <v>0</v>
      </c>
      <c r="BW38" s="4">
        <f t="shared" si="106"/>
        <v>5.5695090799063899E-3</v>
      </c>
      <c r="BY38" s="4">
        <f t="shared" si="107"/>
        <v>0.68583459547625791</v>
      </c>
      <c r="BZ38" s="4">
        <f t="shared" si="107"/>
        <v>0</v>
      </c>
      <c r="CA38" s="4">
        <f t="shared" si="108"/>
        <v>2.0569654174430597E-4</v>
      </c>
      <c r="CB38" s="4">
        <f t="shared" si="108"/>
        <v>2.5963485722967685E-4</v>
      </c>
      <c r="CC38" s="4">
        <f t="shared" si="109"/>
        <v>0.12400478815210736</v>
      </c>
      <c r="CD38" s="4">
        <f t="shared" si="109"/>
        <v>1.8044168600482302E-3</v>
      </c>
      <c r="CE38" s="4">
        <f t="shared" si="109"/>
        <v>1.2241712981341801</v>
      </c>
      <c r="CF38" s="4">
        <f t="shared" si="109"/>
        <v>7.6073328912204822E-4</v>
      </c>
      <c r="CG38" s="4">
        <f t="shared" si="110"/>
        <v>0</v>
      </c>
      <c r="CH38" s="4">
        <f t="shared" si="110"/>
        <v>0</v>
      </c>
      <c r="CI38" s="4">
        <f t="shared" ref="CI38:CI39" si="184">BW38</f>
        <v>5.5695090799063899E-3</v>
      </c>
      <c r="CK38" s="69">
        <f t="shared" si="111"/>
        <v>1.3716691909525158</v>
      </c>
      <c r="CL38" s="69">
        <f t="shared" si="111"/>
        <v>0</v>
      </c>
      <c r="CM38" s="69">
        <f t="shared" si="112"/>
        <v>3.0854481261645894E-4</v>
      </c>
      <c r="CN38" s="69">
        <f t="shared" si="112"/>
        <v>3.8945228584451525E-4</v>
      </c>
      <c r="CO38" s="69">
        <f t="shared" si="113"/>
        <v>0.12400478815210736</v>
      </c>
      <c r="CP38" s="69">
        <f t="shared" si="113"/>
        <v>1.8044168600482302E-3</v>
      </c>
      <c r="CQ38" s="69">
        <f t="shared" si="113"/>
        <v>1.2241712981341801</v>
      </c>
      <c r="CR38" s="69">
        <f t="shared" si="113"/>
        <v>7.6073328912204822E-4</v>
      </c>
      <c r="CS38" s="69">
        <f t="shared" si="113"/>
        <v>0</v>
      </c>
      <c r="CT38" s="69">
        <f t="shared" si="113"/>
        <v>0</v>
      </c>
      <c r="CU38" s="69">
        <f t="shared" si="113"/>
        <v>5.5695090799063899E-3</v>
      </c>
      <c r="CV38" s="69">
        <f t="shared" si="114"/>
        <v>2.7286779335663414</v>
      </c>
      <c r="CW38" s="16">
        <f t="shared" si="115"/>
        <v>1.4659113671110535</v>
      </c>
      <c r="CY38" s="23">
        <f t="shared" si="116"/>
        <v>1.0053727294666577</v>
      </c>
      <c r="CZ38" s="23">
        <f t="shared" si="116"/>
        <v>0</v>
      </c>
      <c r="DA38" s="23">
        <f t="shared" si="116"/>
        <v>3.0153289871841146E-4</v>
      </c>
      <c r="DB38" s="23">
        <f t="shared" si="116"/>
        <v>3.806016885112388E-4</v>
      </c>
      <c r="DC38" s="23">
        <f t="shared" si="116"/>
        <v>0.18178002852837227</v>
      </c>
      <c r="DD38" s="23">
        <f t="shared" si="116"/>
        <v>2.6451151861515356E-3</v>
      </c>
      <c r="DE38" s="23">
        <f t="shared" si="116"/>
        <v>1.7945266212259892</v>
      </c>
      <c r="DF38" s="23">
        <f t="shared" si="116"/>
        <v>1.1151675758637901E-3</v>
      </c>
      <c r="DG38" s="23">
        <f t="shared" si="116"/>
        <v>0</v>
      </c>
      <c r="DH38" s="23">
        <f t="shared" si="116"/>
        <v>0</v>
      </c>
      <c r="DI38" s="23">
        <f t="shared" si="116"/>
        <v>8.1644066694630014E-3</v>
      </c>
      <c r="DJ38" s="16">
        <f t="shared" si="117"/>
        <v>0.90802033249700087</v>
      </c>
      <c r="DL38" s="4">
        <f t="shared" si="118"/>
        <v>0.90604663548757558</v>
      </c>
      <c r="DM38" s="4">
        <f t="shared" si="119"/>
        <v>9.76648093658048E-4</v>
      </c>
      <c r="DN38" s="4">
        <f t="shared" si="120"/>
        <v>1.9125132635737157E-2</v>
      </c>
      <c r="DO38" s="4">
        <f t="shared" si="121"/>
        <v>1.2533785295270982E-2</v>
      </c>
      <c r="DP38" s="4">
        <f t="shared" si="122"/>
        <v>3.4560993263181343E-2</v>
      </c>
      <c r="DQ38" s="4">
        <f t="shared" si="123"/>
        <v>1.1277605375301439E-3</v>
      </c>
      <c r="DR38" s="4">
        <f t="shared" si="124"/>
        <v>0.42993251290194517</v>
      </c>
      <c r="DS38" s="4">
        <f t="shared" si="125"/>
        <v>0.34887743638211743</v>
      </c>
      <c r="DT38" s="4">
        <f t="shared" si="126"/>
        <v>1.9732636948450177E-2</v>
      </c>
      <c r="DU38" s="4">
        <f t="shared" si="127"/>
        <v>0</v>
      </c>
      <c r="DV38" s="4">
        <f t="shared" si="128"/>
        <v>5.8908269114394502E-4</v>
      </c>
      <c r="DX38" s="69">
        <f t="shared" si="129"/>
        <v>1.8120932709751512</v>
      </c>
      <c r="DY38" s="69">
        <f t="shared" si="129"/>
        <v>1.953296187316096E-3</v>
      </c>
      <c r="DZ38" s="69">
        <f t="shared" si="130"/>
        <v>5.7375397907211467E-2</v>
      </c>
      <c r="EA38" s="69">
        <f t="shared" si="130"/>
        <v>3.7601355885812947E-2</v>
      </c>
      <c r="EB38" s="69">
        <f t="shared" si="131"/>
        <v>3.4560993263181343E-2</v>
      </c>
      <c r="EC38" s="69">
        <f t="shared" si="131"/>
        <v>1.1277605375301439E-3</v>
      </c>
      <c r="ED38" s="69">
        <f t="shared" si="131"/>
        <v>0.42993251290194517</v>
      </c>
      <c r="EE38" s="69">
        <f t="shared" si="131"/>
        <v>0.34887743638211743</v>
      </c>
      <c r="EF38" s="69">
        <f t="shared" si="131"/>
        <v>1.9732636948450177E-2</v>
      </c>
      <c r="EG38" s="69">
        <f t="shared" si="131"/>
        <v>0</v>
      </c>
      <c r="EH38" s="69">
        <f t="shared" si="131"/>
        <v>5.8908269114394502E-4</v>
      </c>
      <c r="EI38" s="69">
        <f t="shared" si="132"/>
        <v>2.7438437436798599</v>
      </c>
      <c r="EJ38" s="69">
        <f t="shared" ref="EJ38:EJ39" si="185">6/EI38</f>
        <v>2.186713443074277</v>
      </c>
      <c r="EL38" s="23">
        <f t="shared" si="133"/>
        <v>1.9812643578729008</v>
      </c>
      <c r="EM38" s="23">
        <f t="shared" si="133"/>
        <v>2.1356495155549189E-3</v>
      </c>
      <c r="EN38" s="23">
        <f t="shared" si="134"/>
        <v>8.3642369270290035E-2</v>
      </c>
      <c r="EO38" s="23">
        <f t="shared" si="134"/>
        <v>5.48155935955515E-2</v>
      </c>
      <c r="EP38" s="23">
        <f t="shared" si="135"/>
        <v>7.557498857459817E-2</v>
      </c>
      <c r="EQ38" s="23">
        <f t="shared" si="135"/>
        <v>2.4660891279858384E-3</v>
      </c>
      <c r="ER38" s="23">
        <f t="shared" si="135"/>
        <v>0.9401392055773885</v>
      </c>
      <c r="ES38" s="23">
        <f t="shared" si="135"/>
        <v>0.76289498012206702</v>
      </c>
      <c r="ET38" s="23">
        <f t="shared" si="136"/>
        <v>8.6299244964960359E-2</v>
      </c>
      <c r="EU38" s="23">
        <f t="shared" si="136"/>
        <v>0</v>
      </c>
      <c r="EV38" s="23">
        <f t="shared" si="137"/>
        <v>1.2881550398068369E-3</v>
      </c>
      <c r="EX38" s="14">
        <f t="shared" si="138"/>
        <v>-6.5281156952060133</v>
      </c>
      <c r="EY38" s="4">
        <f t="shared" si="139"/>
        <v>1.004378979575391</v>
      </c>
      <c r="EZ38" s="4">
        <f t="shared" si="140"/>
        <v>1.7410606423956483</v>
      </c>
      <c r="FA38" s="4">
        <f t="shared" si="141"/>
        <v>1.7410606423956483</v>
      </c>
      <c r="FC38" s="4">
        <f t="shared" si="142"/>
        <v>1.8809657664693287</v>
      </c>
    </row>
    <row r="39" spans="1:159" x14ac:dyDescent="0.2">
      <c r="A39" s="40" t="s">
        <v>102</v>
      </c>
      <c r="B39" s="40" t="s">
        <v>123</v>
      </c>
      <c r="C39" s="101">
        <v>41.533999999999999</v>
      </c>
      <c r="D39" s="101">
        <v>0</v>
      </c>
      <c r="E39" s="91">
        <f t="shared" si="143"/>
        <v>7.0665228767859464E-3</v>
      </c>
      <c r="F39" s="101">
        <v>9.3246521950684762E-3</v>
      </c>
      <c r="G39" s="101">
        <v>8.6289999999999996</v>
      </c>
      <c r="H39" s="101">
        <v>0.13800000000000001</v>
      </c>
      <c r="I39" s="101">
        <v>49.99</v>
      </c>
      <c r="J39" s="91">
        <f t="shared" si="144"/>
        <v>3.1671505077428316E-2</v>
      </c>
      <c r="K39" s="101">
        <v>0</v>
      </c>
      <c r="L39" s="101">
        <v>0</v>
      </c>
      <c r="M39" s="101">
        <v>0.43099999999999999</v>
      </c>
      <c r="N39" s="107">
        <v>37.4</v>
      </c>
      <c r="O39" s="124">
        <v>226.35493704962323</v>
      </c>
      <c r="P39" s="41"/>
      <c r="Q39" s="102">
        <v>53.677999999999997</v>
      </c>
      <c r="R39" s="102">
        <v>6.2E-2</v>
      </c>
      <c r="S39" s="102">
        <v>2.823</v>
      </c>
      <c r="T39" s="102">
        <v>1.321</v>
      </c>
      <c r="U39" s="102">
        <v>1.972</v>
      </c>
      <c r="V39" s="102">
        <v>6.4000000000000001E-2</v>
      </c>
      <c r="W39" s="102">
        <v>16.608000000000001</v>
      </c>
      <c r="X39" s="102">
        <v>22.059000000000001</v>
      </c>
      <c r="Y39" s="102">
        <v>0.72499999999999998</v>
      </c>
      <c r="Z39" s="102">
        <v>0</v>
      </c>
      <c r="AA39" s="102">
        <v>0.11700000000000001</v>
      </c>
      <c r="AB39" s="27"/>
      <c r="AC39" s="102">
        <v>30.777500000000003</v>
      </c>
      <c r="AD39" s="102">
        <v>39.548000000000002</v>
      </c>
      <c r="AE39" s="27"/>
      <c r="AF39" s="84">
        <f t="shared" si="146"/>
        <v>0.46294389825386562</v>
      </c>
      <c r="AG39" s="42">
        <f t="shared" si="92"/>
        <v>2.2960028841803088E-4</v>
      </c>
      <c r="AH39" s="127">
        <f t="shared" si="145"/>
        <v>903.42097541360772</v>
      </c>
      <c r="AI39" s="127">
        <f t="shared" si="93"/>
        <v>903.42097541360772</v>
      </c>
      <c r="AJ39" s="127">
        <f t="shared" si="94"/>
        <v>0</v>
      </c>
      <c r="AK39" s="43"/>
      <c r="AL39" s="44">
        <f t="shared" si="95"/>
        <v>1.5745865418469405</v>
      </c>
      <c r="AM39" s="27"/>
      <c r="AN39" s="26">
        <v>15.999000000000001</v>
      </c>
      <c r="AO39" s="26">
        <v>28.085000000000001</v>
      </c>
      <c r="AP39" s="26">
        <v>47.866999999999997</v>
      </c>
      <c r="AQ39" s="26">
        <v>26.9815386</v>
      </c>
      <c r="AR39" s="26">
        <v>51.996099999999998</v>
      </c>
      <c r="AS39" s="26">
        <v>55.844999999999999</v>
      </c>
      <c r="AT39" s="26">
        <v>54.938045000000002</v>
      </c>
      <c r="AU39" s="26">
        <v>24.305</v>
      </c>
      <c r="AV39" s="26">
        <v>40.078000000000003</v>
      </c>
      <c r="AW39" s="26">
        <v>22.989769280000001</v>
      </c>
      <c r="AX39" s="26">
        <v>39.098300000000002</v>
      </c>
      <c r="AY39" s="26">
        <v>58.693399999999997</v>
      </c>
      <c r="AZ39" s="27"/>
      <c r="BA39" s="26">
        <f t="shared" si="173"/>
        <v>60.082999999999998</v>
      </c>
      <c r="BB39" s="26">
        <f t="shared" si="174"/>
        <v>79.864999999999995</v>
      </c>
      <c r="BC39" s="26">
        <f t="shared" si="175"/>
        <v>101.9600772</v>
      </c>
      <c r="BD39" s="26">
        <f t="shared" si="176"/>
        <v>151.98919999999998</v>
      </c>
      <c r="BE39" s="26">
        <f t="shared" si="177"/>
        <v>71.843999999999994</v>
      </c>
      <c r="BF39" s="26">
        <f t="shared" si="178"/>
        <v>70.937044999999998</v>
      </c>
      <c r="BG39" s="26">
        <f t="shared" si="179"/>
        <v>40.304000000000002</v>
      </c>
      <c r="BH39" s="26">
        <f t="shared" si="180"/>
        <v>56.077000000000005</v>
      </c>
      <c r="BI39" s="26">
        <f t="shared" si="181"/>
        <v>61.978538560000004</v>
      </c>
      <c r="BJ39" s="26">
        <f t="shared" si="182"/>
        <v>94.195599999999999</v>
      </c>
      <c r="BK39" s="26">
        <f t="shared" si="183"/>
        <v>74.692399999999992</v>
      </c>
      <c r="BL39" s="27"/>
      <c r="BM39" s="26">
        <f t="shared" si="96"/>
        <v>0.69127706672436462</v>
      </c>
      <c r="BN39" s="26">
        <f t="shared" si="97"/>
        <v>0</v>
      </c>
      <c r="BO39" s="26">
        <f t="shared" si="98"/>
        <v>6.9306762713847243E-5</v>
      </c>
      <c r="BP39" s="26">
        <f t="shared" si="99"/>
        <v>6.1350755152790316E-5</v>
      </c>
      <c r="BQ39" s="26">
        <f t="shared" si="100"/>
        <v>0.12010745504147877</v>
      </c>
      <c r="BR39" s="26">
        <f t="shared" si="101"/>
        <v>1.9453869272394982E-3</v>
      </c>
      <c r="BS39" s="26">
        <f t="shared" si="102"/>
        <v>1.2403235410877331</v>
      </c>
      <c r="BT39" s="26">
        <f t="shared" si="103"/>
        <v>5.6478600990474376E-4</v>
      </c>
      <c r="BU39" s="26">
        <f t="shared" si="104"/>
        <v>0</v>
      </c>
      <c r="BV39" s="26">
        <f t="shared" si="105"/>
        <v>0</v>
      </c>
      <c r="BW39" s="26">
        <f t="shared" si="106"/>
        <v>5.7703327246145528E-3</v>
      </c>
      <c r="BX39" s="27"/>
      <c r="BY39" s="26">
        <f t="shared" si="107"/>
        <v>0.69127706672436462</v>
      </c>
      <c r="BZ39" s="26">
        <f t="shared" si="107"/>
        <v>0</v>
      </c>
      <c r="CA39" s="26">
        <f t="shared" si="108"/>
        <v>1.3861352542769449E-4</v>
      </c>
      <c r="CB39" s="26">
        <f t="shared" si="108"/>
        <v>1.2270151030558063E-4</v>
      </c>
      <c r="CC39" s="26">
        <f t="shared" si="109"/>
        <v>0.12010745504147877</v>
      </c>
      <c r="CD39" s="26">
        <f t="shared" si="109"/>
        <v>1.9453869272394982E-3</v>
      </c>
      <c r="CE39" s="26">
        <f t="shared" si="109"/>
        <v>1.2403235410877331</v>
      </c>
      <c r="CF39" s="26">
        <f t="shared" si="109"/>
        <v>5.6478600990474376E-4</v>
      </c>
      <c r="CG39" s="26">
        <f t="shared" si="110"/>
        <v>0</v>
      </c>
      <c r="CH39" s="26">
        <f t="shared" si="110"/>
        <v>0</v>
      </c>
      <c r="CI39" s="26">
        <f t="shared" si="184"/>
        <v>5.7703327246145528E-3</v>
      </c>
      <c r="CJ39" s="27"/>
      <c r="CK39" s="76">
        <f t="shared" si="111"/>
        <v>1.3825541334487292</v>
      </c>
      <c r="CL39" s="76">
        <f t="shared" si="111"/>
        <v>0</v>
      </c>
      <c r="CM39" s="76">
        <f t="shared" si="112"/>
        <v>2.0792028814154172E-4</v>
      </c>
      <c r="CN39" s="76">
        <f t="shared" si="112"/>
        <v>1.8405226545837095E-4</v>
      </c>
      <c r="CO39" s="76">
        <f t="shared" si="113"/>
        <v>0.12010745504147877</v>
      </c>
      <c r="CP39" s="76">
        <f t="shared" si="113"/>
        <v>1.9453869272394982E-3</v>
      </c>
      <c r="CQ39" s="76">
        <f t="shared" si="113"/>
        <v>1.2403235410877331</v>
      </c>
      <c r="CR39" s="76">
        <f t="shared" si="113"/>
        <v>5.6478600990474376E-4</v>
      </c>
      <c r="CS39" s="76">
        <f t="shared" si="113"/>
        <v>0</v>
      </c>
      <c r="CT39" s="76">
        <f t="shared" si="113"/>
        <v>0</v>
      </c>
      <c r="CU39" s="76">
        <f t="shared" si="113"/>
        <v>5.7703327246145528E-3</v>
      </c>
      <c r="CV39" s="76">
        <f t="shared" si="114"/>
        <v>2.7516576077932999</v>
      </c>
      <c r="CW39" s="29">
        <f t="shared" si="115"/>
        <v>1.4536692314738286</v>
      </c>
      <c r="CX39" s="27"/>
      <c r="CY39" s="79">
        <f t="shared" si="116"/>
        <v>1.0048882023206898</v>
      </c>
      <c r="CZ39" s="79">
        <f t="shared" si="116"/>
        <v>0</v>
      </c>
      <c r="DA39" s="79">
        <f t="shared" si="116"/>
        <v>2.0149821698035465E-4</v>
      </c>
      <c r="DB39" s="79">
        <f t="shared" si="116"/>
        <v>1.7836741018659148E-4</v>
      </c>
      <c r="DC39" s="79">
        <f t="shared" si="116"/>
        <v>0.17459651186442388</v>
      </c>
      <c r="DD39" s="79">
        <f t="shared" si="116"/>
        <v>2.8279491194394745E-3</v>
      </c>
      <c r="DE39" s="79">
        <f t="shared" si="116"/>
        <v>1.8030201687519027</v>
      </c>
      <c r="DF39" s="79">
        <f t="shared" si="116"/>
        <v>8.21012044965399E-4</v>
      </c>
      <c r="DG39" s="79">
        <f t="shared" si="116"/>
        <v>0</v>
      </c>
      <c r="DH39" s="79">
        <f t="shared" si="116"/>
        <v>0</v>
      </c>
      <c r="DI39" s="79">
        <f t="shared" si="116"/>
        <v>8.3881551371387201E-3</v>
      </c>
      <c r="DJ39" s="29">
        <f t="shared" si="117"/>
        <v>0.91171367354668009</v>
      </c>
      <c r="DK39" s="27"/>
      <c r="DL39" s="26">
        <f t="shared" si="118"/>
        <v>0.8933974668375414</v>
      </c>
      <c r="DM39" s="26">
        <f t="shared" si="119"/>
        <v>7.7631002316408946E-4</v>
      </c>
      <c r="DN39" s="26">
        <f t="shared" si="120"/>
        <v>2.7687307400351791E-2</v>
      </c>
      <c r="DO39" s="26">
        <f t="shared" si="121"/>
        <v>8.6914070210251781E-3</v>
      </c>
      <c r="DP39" s="26">
        <f t="shared" si="122"/>
        <v>2.7448360336284172E-2</v>
      </c>
      <c r="DQ39" s="26">
        <f t="shared" si="123"/>
        <v>9.022084300241151E-4</v>
      </c>
      <c r="DR39" s="26">
        <f t="shared" si="124"/>
        <v>0.41206828106391424</v>
      </c>
      <c r="DS39" s="26">
        <f t="shared" si="125"/>
        <v>0.3933698307684077</v>
      </c>
      <c r="DT39" s="26">
        <f t="shared" si="126"/>
        <v>1.1697597536898099E-2</v>
      </c>
      <c r="DU39" s="26">
        <f t="shared" si="127"/>
        <v>0</v>
      </c>
      <c r="DV39" s="26">
        <f t="shared" si="128"/>
        <v>1.5664244287236723E-3</v>
      </c>
      <c r="DW39" s="27"/>
      <c r="DX39" s="76">
        <f t="shared" si="129"/>
        <v>1.7867949336750828</v>
      </c>
      <c r="DY39" s="76">
        <f t="shared" si="129"/>
        <v>1.5526200463281789E-3</v>
      </c>
      <c r="DZ39" s="76">
        <f t="shared" si="130"/>
        <v>8.3061922201055377E-2</v>
      </c>
      <c r="EA39" s="76">
        <f t="shared" si="130"/>
        <v>2.6074221063075533E-2</v>
      </c>
      <c r="EB39" s="76">
        <f t="shared" si="131"/>
        <v>2.7448360336284172E-2</v>
      </c>
      <c r="EC39" s="76">
        <f t="shared" si="131"/>
        <v>9.022084300241151E-4</v>
      </c>
      <c r="ED39" s="76">
        <f t="shared" si="131"/>
        <v>0.41206828106391424</v>
      </c>
      <c r="EE39" s="76">
        <f t="shared" si="131"/>
        <v>0.3933698307684077</v>
      </c>
      <c r="EF39" s="76">
        <f t="shared" si="131"/>
        <v>1.1697597536898099E-2</v>
      </c>
      <c r="EG39" s="76">
        <f t="shared" si="131"/>
        <v>0</v>
      </c>
      <c r="EH39" s="76">
        <f t="shared" si="131"/>
        <v>1.5664244287236723E-3</v>
      </c>
      <c r="EI39" s="76">
        <f t="shared" si="132"/>
        <v>2.7445363995497938</v>
      </c>
      <c r="EJ39" s="76">
        <f t="shared" si="185"/>
        <v>2.18616156848356</v>
      </c>
      <c r="EK39" s="27"/>
      <c r="EL39" s="79">
        <f t="shared" si="133"/>
        <v>1.9531112073807988</v>
      </c>
      <c r="EM39" s="79">
        <f t="shared" si="133"/>
        <v>1.6971391378699146E-3</v>
      </c>
      <c r="EN39" s="79">
        <f t="shared" si="134"/>
        <v>0.12105785474687911</v>
      </c>
      <c r="EO39" s="79">
        <f t="shared" si="134"/>
        <v>3.8001640010826856E-2</v>
      </c>
      <c r="EP39" s="79">
        <f t="shared" si="135"/>
        <v>6.0006550485072946E-2</v>
      </c>
      <c r="EQ39" s="79">
        <f t="shared" si="135"/>
        <v>1.9723733964806095E-3</v>
      </c>
      <c r="ER39" s="79">
        <f t="shared" si="135"/>
        <v>0.90084783965301118</v>
      </c>
      <c r="ES39" s="79">
        <f t="shared" si="135"/>
        <v>0.85997000622677477</v>
      </c>
      <c r="ET39" s="79">
        <f t="shared" si="136"/>
        <v>5.1145676357509155E-2</v>
      </c>
      <c r="EU39" s="79">
        <f t="shared" si="136"/>
        <v>0</v>
      </c>
      <c r="EV39" s="79">
        <f t="shared" si="137"/>
        <v>3.4244568860095077E-3</v>
      </c>
      <c r="EW39" s="27"/>
      <c r="EX39" s="30">
        <f t="shared" si="138"/>
        <v>-6.9541150107055687</v>
      </c>
      <c r="EY39" s="26">
        <f t="shared" si="139"/>
        <v>0.79332114817754396</v>
      </c>
      <c r="EZ39" s="26">
        <f t="shared" si="140"/>
        <v>2.1610365759191681</v>
      </c>
      <c r="FA39" s="26">
        <f t="shared" si="141"/>
        <v>2.1610365759191681</v>
      </c>
      <c r="FB39" s="27"/>
      <c r="FC39" s="26">
        <f t="shared" si="142"/>
        <v>1.5745865418469405</v>
      </c>
    </row>
    <row r="40" spans="1:159" x14ac:dyDescent="0.2">
      <c r="A40" s="1" t="s">
        <v>124</v>
      </c>
      <c r="B40" s="24"/>
      <c r="C40" s="72"/>
      <c r="D40" s="72"/>
      <c r="E40" s="74"/>
      <c r="F40" s="72"/>
      <c r="G40" s="72"/>
      <c r="H40" s="72"/>
      <c r="I40" s="72"/>
      <c r="J40" s="75"/>
      <c r="K40" s="72"/>
      <c r="L40" s="72"/>
      <c r="M40" s="72"/>
      <c r="N40" s="10"/>
      <c r="P40" s="52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C40" s="75"/>
      <c r="AD40" s="75"/>
      <c r="AF40" s="85"/>
      <c r="AG40" s="54"/>
      <c r="AH40" s="53"/>
      <c r="AI40" s="153" t="s">
        <v>200</v>
      </c>
      <c r="AJ40" s="53"/>
      <c r="AK40" s="55"/>
      <c r="AL40" s="13"/>
      <c r="FC40" s="4"/>
    </row>
    <row r="41" spans="1:159" x14ac:dyDescent="0.2">
      <c r="A41" s="1" t="s">
        <v>86</v>
      </c>
      <c r="B41" s="1"/>
    </row>
    <row r="42" spans="1:159" ht="14.25" x14ac:dyDescent="0.2">
      <c r="A42" s="151" t="s">
        <v>198</v>
      </c>
      <c r="B42" s="151"/>
      <c r="C42" s="152"/>
      <c r="D42" s="152"/>
      <c r="E42" s="152"/>
      <c r="F42" s="152"/>
      <c r="G42" s="152"/>
      <c r="H42" s="152"/>
    </row>
    <row r="43" spans="1:159" ht="14.25" x14ac:dyDescent="0.2">
      <c r="A43" s="1" t="s">
        <v>114</v>
      </c>
      <c r="B43" s="1"/>
    </row>
    <row r="44" spans="1:159" ht="14.25" x14ac:dyDescent="0.2">
      <c r="A44" s="1" t="s">
        <v>115</v>
      </c>
      <c r="B44" s="1"/>
    </row>
    <row r="45" spans="1:159" ht="14.25" x14ac:dyDescent="0.2">
      <c r="A45" s="1" t="s">
        <v>197</v>
      </c>
      <c r="B45" s="1"/>
    </row>
    <row r="46" spans="1:159" x14ac:dyDescent="0.2">
      <c r="B46" s="1"/>
    </row>
    <row r="47" spans="1:159" x14ac:dyDescent="0.2">
      <c r="A47" s="47" t="s">
        <v>112</v>
      </c>
      <c r="B47" s="51"/>
    </row>
    <row r="48" spans="1:159" x14ac:dyDescent="0.2">
      <c r="A48" s="1" t="s">
        <v>116</v>
      </c>
      <c r="B48" s="1"/>
    </row>
    <row r="49" spans="1:14" x14ac:dyDescent="0.2">
      <c r="A49" s="48" t="s">
        <v>117</v>
      </c>
      <c r="B49" s="48"/>
    </row>
    <row r="50" spans="1:14" x14ac:dyDescent="0.2">
      <c r="A50" s="1" t="s">
        <v>118</v>
      </c>
      <c r="B50" s="1"/>
    </row>
    <row r="55" spans="1:14" x14ac:dyDescent="0.2">
      <c r="N55" s="3"/>
    </row>
  </sheetData>
  <mergeCells count="1">
    <mergeCell ref="A3:AD3"/>
  </mergeCells>
  <phoneticPr fontId="3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124"/>
  <sheetViews>
    <sheetView workbookViewId="0"/>
  </sheetViews>
  <sheetFormatPr defaultRowHeight="12.75" x14ac:dyDescent="0.2"/>
  <cols>
    <col min="1" max="1" width="8.625" style="3" customWidth="1"/>
    <col min="2" max="2" width="26.5" style="3" customWidth="1"/>
    <col min="3" max="3" width="5.125" style="4" customWidth="1"/>
    <col min="4" max="4" width="5.125" style="69" customWidth="1"/>
    <col min="5" max="10" width="5.125" style="4" customWidth="1"/>
    <col min="11" max="12" width="5.125" style="69" customWidth="1"/>
    <col min="13" max="13" width="5.125" style="4" customWidth="1"/>
    <col min="14" max="14" width="7.375" style="59" customWidth="1"/>
    <col min="15" max="15" width="6.5" style="67" customWidth="1"/>
    <col min="16" max="16" width="1.625" style="3" customWidth="1"/>
    <col min="17" max="25" width="5.125" style="4" customWidth="1"/>
    <col min="26" max="26" width="5.125" style="69" customWidth="1"/>
    <col min="27" max="27" width="5.125" style="4" customWidth="1"/>
    <col min="28" max="28" width="1.625" style="3" customWidth="1"/>
    <col min="29" max="30" width="5.125" style="3" customWidth="1"/>
    <col min="31" max="31" width="1.625" style="3" customWidth="1"/>
    <col min="32" max="32" width="5.375" style="80" customWidth="1"/>
    <col min="33" max="33" width="6.625" style="23" customWidth="1"/>
    <col min="34" max="34" width="6.375" style="3" customWidth="1"/>
    <col min="35" max="35" width="12" style="2" customWidth="1"/>
    <col min="36" max="36" width="5" style="2" customWidth="1"/>
    <col min="37" max="37" width="1.625" style="3" customWidth="1"/>
    <col min="38" max="38" width="5.625" style="3" customWidth="1"/>
    <col min="39" max="39" width="1.625" style="3" customWidth="1"/>
    <col min="40" max="51" width="2.625" style="2" hidden="1" customWidth="1"/>
    <col min="52" max="52" width="2.625" style="3" hidden="1" customWidth="1"/>
    <col min="53" max="63" width="4.125" style="2" hidden="1" customWidth="1"/>
    <col min="64" max="64" width="2.625" style="3" hidden="1" customWidth="1"/>
    <col min="65" max="75" width="6" style="2" hidden="1" customWidth="1"/>
    <col min="76" max="76" width="2.625" style="3" hidden="1" customWidth="1"/>
    <col min="77" max="87" width="5.625" style="2" hidden="1" customWidth="1"/>
    <col min="88" max="88" width="2.625" style="3" hidden="1" customWidth="1"/>
    <col min="89" max="99" width="4.125" style="2" hidden="1" customWidth="1"/>
    <col min="100" max="103" width="4.125" style="3" hidden="1" customWidth="1"/>
    <col min="104" max="104" width="0.25" style="3" customWidth="1"/>
    <col min="105" max="116" width="5.625" style="16" customWidth="1"/>
    <col min="117" max="117" width="1.625" style="3" customWidth="1"/>
    <col min="118" max="128" width="4.75" style="2" hidden="1" customWidth="1"/>
    <col min="129" max="129" width="2.625" style="3" hidden="1" customWidth="1"/>
    <col min="130" max="140" width="4.125" style="2" hidden="1" customWidth="1"/>
    <col min="141" max="141" width="2.625" style="3" hidden="1" customWidth="1"/>
    <col min="142" max="144" width="3.875" style="3" hidden="1" customWidth="1"/>
    <col min="145" max="145" width="2.625" style="3" hidden="1" customWidth="1"/>
    <col min="146" max="156" width="5.625" style="16" customWidth="1"/>
    <col min="157" max="157" width="1.625" style="3" customWidth="1"/>
    <col min="158" max="158" width="5.875" style="14" customWidth="1"/>
    <col min="159" max="159" width="5.125" style="4" customWidth="1"/>
    <col min="160" max="160" width="5.25" style="4" customWidth="1"/>
    <col min="161" max="161" width="8" style="4" customWidth="1"/>
    <col min="162" max="162" width="1.625" style="3" customWidth="1"/>
    <col min="163" max="163" width="8" style="3" customWidth="1"/>
    <col min="164" max="16384" width="9" style="3"/>
  </cols>
  <sheetData>
    <row r="1" spans="1:243" ht="15.75" x14ac:dyDescent="0.2">
      <c r="A1" s="110" t="s">
        <v>218</v>
      </c>
      <c r="B1" s="1"/>
    </row>
    <row r="2" spans="1:243" ht="5.25" customHeight="1" x14ac:dyDescent="0.2">
      <c r="A2" s="1"/>
      <c r="B2" s="1"/>
      <c r="C2" s="69"/>
      <c r="E2" s="69"/>
      <c r="F2" s="69"/>
      <c r="G2" s="69"/>
      <c r="H2" s="69"/>
      <c r="I2" s="69"/>
      <c r="J2" s="69"/>
      <c r="M2" s="69"/>
      <c r="N2" s="2"/>
      <c r="O2" s="15"/>
      <c r="Q2" s="69"/>
      <c r="R2" s="69"/>
      <c r="S2" s="69"/>
      <c r="T2" s="69"/>
      <c r="U2" s="69"/>
      <c r="V2" s="69"/>
      <c r="W2" s="69"/>
      <c r="X2" s="69"/>
      <c r="Y2" s="69"/>
      <c r="AA2" s="69"/>
      <c r="AC2" s="69"/>
      <c r="AD2" s="69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K2" s="69"/>
      <c r="CL2" s="69"/>
      <c r="CM2" s="69"/>
      <c r="CN2" s="69"/>
      <c r="CO2" s="69"/>
      <c r="CP2" s="69"/>
      <c r="CQ2" s="69"/>
      <c r="CR2" s="69"/>
      <c r="CS2" s="69"/>
      <c r="CT2" s="69"/>
      <c r="CU2" s="69"/>
      <c r="CV2" s="69"/>
      <c r="CW2" s="16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K2" s="3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3"/>
      <c r="DX2" s="69"/>
      <c r="DY2" s="69"/>
      <c r="DZ2" s="69"/>
      <c r="EA2" s="69"/>
      <c r="EB2" s="69"/>
      <c r="EC2" s="69"/>
      <c r="ED2" s="69"/>
      <c r="EE2" s="69"/>
      <c r="EF2" s="69"/>
      <c r="EG2" s="69"/>
      <c r="EH2" s="69"/>
      <c r="EI2" s="69"/>
      <c r="EJ2" s="69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3"/>
      <c r="EX2" s="14"/>
      <c r="EY2" s="4"/>
      <c r="EZ2" s="4"/>
      <c r="FA2" s="4"/>
      <c r="FB2" s="3"/>
      <c r="FC2" s="3"/>
      <c r="FD2" s="3"/>
      <c r="FE2" s="3"/>
    </row>
    <row r="3" spans="1:243" ht="33.950000000000003" customHeight="1" x14ac:dyDescent="0.2">
      <c r="A3" s="154" t="s">
        <v>219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I3" s="120"/>
      <c r="AJ3" s="120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K3" s="69"/>
      <c r="CL3" s="69"/>
      <c r="CM3" s="69"/>
      <c r="CN3" s="69"/>
      <c r="CO3" s="69"/>
      <c r="CP3" s="69"/>
      <c r="CQ3" s="69"/>
      <c r="CR3" s="69"/>
      <c r="CS3" s="69"/>
      <c r="CT3" s="69"/>
      <c r="CU3" s="69"/>
      <c r="CV3" s="69"/>
      <c r="CW3" s="16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K3" s="3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3"/>
      <c r="DX3" s="69"/>
      <c r="DY3" s="69"/>
      <c r="DZ3" s="69"/>
      <c r="EA3" s="69"/>
      <c r="EB3" s="69"/>
      <c r="EC3" s="69"/>
      <c r="ED3" s="69"/>
      <c r="EE3" s="69"/>
      <c r="EF3" s="69"/>
      <c r="EG3" s="69"/>
      <c r="EH3" s="69"/>
      <c r="EI3" s="69"/>
      <c r="EJ3" s="69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3"/>
      <c r="EX3" s="14"/>
      <c r="EY3" s="4"/>
      <c r="EZ3" s="4"/>
      <c r="FA3" s="4"/>
      <c r="FB3" s="3"/>
      <c r="FC3" s="3"/>
      <c r="FD3" s="3"/>
      <c r="FE3" s="3"/>
    </row>
    <row r="4" spans="1:243" ht="5.25" customHeight="1" x14ac:dyDescent="0.2">
      <c r="A4" s="1"/>
      <c r="B4" s="1"/>
      <c r="C4" s="69"/>
      <c r="E4" s="69"/>
      <c r="F4" s="69"/>
      <c r="G4" s="69"/>
      <c r="H4" s="69"/>
      <c r="I4" s="69"/>
      <c r="J4" s="69"/>
      <c r="M4" s="69"/>
      <c r="N4" s="2"/>
      <c r="O4" s="15"/>
      <c r="Q4" s="69"/>
      <c r="R4" s="69"/>
      <c r="S4" s="69"/>
      <c r="T4" s="69"/>
      <c r="U4" s="69"/>
      <c r="V4" s="69"/>
      <c r="W4" s="69"/>
      <c r="X4" s="69"/>
      <c r="Y4" s="69"/>
      <c r="AA4" s="69"/>
      <c r="AC4" s="69"/>
      <c r="AD4" s="69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K4" s="69"/>
      <c r="CL4" s="69"/>
      <c r="CM4" s="69"/>
      <c r="CN4" s="69"/>
      <c r="CO4" s="69"/>
      <c r="CP4" s="69"/>
      <c r="CQ4" s="69"/>
      <c r="CR4" s="69"/>
      <c r="CS4" s="69"/>
      <c r="CT4" s="69"/>
      <c r="CU4" s="69"/>
      <c r="CV4" s="69"/>
      <c r="CW4" s="16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K4" s="3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3"/>
      <c r="DX4" s="69"/>
      <c r="DY4" s="69"/>
      <c r="DZ4" s="69"/>
      <c r="EA4" s="69"/>
      <c r="EB4" s="69"/>
      <c r="EC4" s="69"/>
      <c r="ED4" s="69"/>
      <c r="EE4" s="69"/>
      <c r="EF4" s="69"/>
      <c r="EG4" s="69"/>
      <c r="EH4" s="69"/>
      <c r="EI4" s="69"/>
      <c r="EJ4" s="69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3"/>
      <c r="EX4" s="14"/>
      <c r="EY4" s="4"/>
      <c r="EZ4" s="4"/>
      <c r="FA4" s="4"/>
      <c r="FB4" s="3"/>
      <c r="FC4" s="3"/>
      <c r="FD4" s="3"/>
      <c r="FE4" s="3"/>
    </row>
    <row r="5" spans="1:243" ht="15.75" x14ac:dyDescent="0.2">
      <c r="A5" s="110" t="s">
        <v>212</v>
      </c>
      <c r="B5" s="1"/>
      <c r="C5" s="69"/>
      <c r="E5" s="69"/>
      <c r="F5" s="69"/>
      <c r="G5" s="69"/>
      <c r="H5" s="69"/>
      <c r="I5" s="69"/>
      <c r="J5" s="69"/>
      <c r="M5" s="69"/>
      <c r="N5" s="2"/>
      <c r="O5" s="15"/>
      <c r="Q5" s="69"/>
      <c r="R5" s="69"/>
      <c r="S5" s="69"/>
      <c r="T5" s="69"/>
      <c r="U5" s="69"/>
      <c r="V5" s="69"/>
      <c r="W5" s="69"/>
      <c r="X5" s="69"/>
      <c r="Y5" s="69"/>
      <c r="AA5" s="69"/>
      <c r="AC5" s="69"/>
      <c r="AD5" s="69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K5" s="69"/>
      <c r="CL5" s="69"/>
      <c r="CM5" s="69"/>
      <c r="CN5" s="69"/>
      <c r="CO5" s="69"/>
      <c r="CP5" s="69"/>
      <c r="CQ5" s="69"/>
      <c r="CR5" s="69"/>
      <c r="CS5" s="69"/>
      <c r="CT5" s="69"/>
      <c r="CU5" s="69"/>
      <c r="CV5" s="69"/>
      <c r="CW5" s="16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K5" s="3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3"/>
      <c r="DX5" s="69"/>
      <c r="DY5" s="69"/>
      <c r="DZ5" s="69"/>
      <c r="EA5" s="69"/>
      <c r="EB5" s="69"/>
      <c r="EC5" s="69"/>
      <c r="ED5" s="69"/>
      <c r="EE5" s="69"/>
      <c r="EF5" s="69"/>
      <c r="EG5" s="69"/>
      <c r="EH5" s="69"/>
      <c r="EI5" s="69"/>
      <c r="EJ5" s="69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3"/>
      <c r="EX5" s="14"/>
      <c r="EY5" s="4"/>
      <c r="EZ5" s="4"/>
      <c r="FA5" s="4"/>
      <c r="FB5" s="3"/>
      <c r="FC5" s="3"/>
      <c r="FD5" s="3"/>
      <c r="FE5" s="3"/>
    </row>
    <row r="6" spans="1:243" ht="15.75" x14ac:dyDescent="0.2">
      <c r="A6" s="110" t="s">
        <v>213</v>
      </c>
      <c r="B6" s="1"/>
      <c r="C6" s="69"/>
      <c r="E6" s="69"/>
      <c r="F6" s="69"/>
      <c r="G6" s="69"/>
      <c r="H6" s="69"/>
      <c r="I6" s="69"/>
      <c r="J6" s="69"/>
      <c r="M6" s="69"/>
      <c r="N6" s="2"/>
      <c r="O6" s="15"/>
      <c r="Q6" s="69"/>
      <c r="R6" s="69"/>
      <c r="S6" s="69"/>
      <c r="T6" s="69"/>
      <c r="U6" s="69"/>
      <c r="V6" s="69"/>
      <c r="W6" s="69"/>
      <c r="X6" s="69"/>
      <c r="Y6" s="69"/>
      <c r="AA6" s="69"/>
      <c r="AC6" s="69"/>
      <c r="AD6" s="69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K6" s="69"/>
      <c r="CL6" s="69"/>
      <c r="CM6" s="69"/>
      <c r="CN6" s="69"/>
      <c r="CO6" s="69"/>
      <c r="CP6" s="69"/>
      <c r="CQ6" s="69"/>
      <c r="CR6" s="69"/>
      <c r="CS6" s="69"/>
      <c r="CT6" s="69"/>
      <c r="CU6" s="69"/>
      <c r="CV6" s="69"/>
      <c r="CW6" s="16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K6" s="3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3"/>
      <c r="DX6" s="69"/>
      <c r="DY6" s="69"/>
      <c r="DZ6" s="69"/>
      <c r="EA6" s="69"/>
      <c r="EB6" s="69"/>
      <c r="EC6" s="69"/>
      <c r="ED6" s="69"/>
      <c r="EE6" s="69"/>
      <c r="EF6" s="69"/>
      <c r="EG6" s="69"/>
      <c r="EH6" s="69"/>
      <c r="EI6" s="69"/>
      <c r="EJ6" s="69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3"/>
      <c r="EX6" s="14"/>
      <c r="EY6" s="4"/>
      <c r="EZ6" s="4"/>
      <c r="FA6" s="4"/>
      <c r="FB6" s="3"/>
      <c r="FC6" s="3"/>
      <c r="FD6" s="3"/>
      <c r="FE6" s="3"/>
    </row>
    <row r="7" spans="1:243" ht="15.75" x14ac:dyDescent="0.2">
      <c r="A7" s="110" t="s">
        <v>214</v>
      </c>
      <c r="B7" s="1"/>
      <c r="C7" s="69"/>
      <c r="E7" s="69"/>
      <c r="F7" s="69"/>
      <c r="G7" s="69"/>
      <c r="H7" s="69"/>
      <c r="I7" s="69"/>
      <c r="J7" s="69"/>
      <c r="M7" s="69"/>
      <c r="N7" s="2"/>
      <c r="O7" s="15"/>
      <c r="Q7" s="69"/>
      <c r="R7" s="69"/>
      <c r="S7" s="69"/>
      <c r="T7" s="69"/>
      <c r="U7" s="69"/>
      <c r="V7" s="69"/>
      <c r="W7" s="69"/>
      <c r="X7" s="69"/>
      <c r="Y7" s="69"/>
      <c r="AA7" s="69"/>
      <c r="AC7" s="69"/>
      <c r="AD7" s="69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K7" s="69"/>
      <c r="CL7" s="69"/>
      <c r="CM7" s="69"/>
      <c r="CN7" s="69"/>
      <c r="CO7" s="69"/>
      <c r="CP7" s="69"/>
      <c r="CQ7" s="69"/>
      <c r="CR7" s="69"/>
      <c r="CS7" s="69"/>
      <c r="CT7" s="69"/>
      <c r="CU7" s="69"/>
      <c r="CV7" s="69"/>
      <c r="CW7" s="16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K7" s="3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3"/>
      <c r="DX7" s="69"/>
      <c r="DY7" s="69"/>
      <c r="DZ7" s="69"/>
      <c r="EA7" s="69"/>
      <c r="EB7" s="69"/>
      <c r="EC7" s="69"/>
      <c r="ED7" s="69"/>
      <c r="EE7" s="69"/>
      <c r="EF7" s="69"/>
      <c r="EG7" s="69"/>
      <c r="EH7" s="69"/>
      <c r="EI7" s="69"/>
      <c r="EJ7" s="69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3"/>
      <c r="EX7" s="14"/>
      <c r="EY7" s="4"/>
      <c r="EZ7" s="4"/>
      <c r="FA7" s="4"/>
      <c r="FB7" s="3"/>
      <c r="FC7" s="3"/>
      <c r="FD7" s="3"/>
      <c r="FE7" s="3"/>
    </row>
    <row r="8" spans="1:243" ht="15.75" x14ac:dyDescent="0.2">
      <c r="A8" s="110" t="s">
        <v>215</v>
      </c>
      <c r="B8" s="1"/>
      <c r="C8" s="69"/>
      <c r="E8" s="69"/>
      <c r="F8" s="69"/>
      <c r="G8" s="69"/>
      <c r="H8" s="69"/>
      <c r="I8" s="69"/>
      <c r="J8" s="69"/>
      <c r="M8" s="69"/>
      <c r="N8" s="2"/>
      <c r="O8" s="15"/>
      <c r="Q8" s="69"/>
      <c r="R8" s="69"/>
      <c r="S8" s="69"/>
      <c r="T8" s="69"/>
      <c r="U8" s="69"/>
      <c r="V8" s="69"/>
      <c r="W8" s="69"/>
      <c r="X8" s="69"/>
      <c r="Y8" s="69"/>
      <c r="AA8" s="69"/>
      <c r="AC8" s="69"/>
      <c r="AD8" s="69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K8" s="69"/>
      <c r="CL8" s="69"/>
      <c r="CM8" s="69"/>
      <c r="CN8" s="69"/>
      <c r="CO8" s="69"/>
      <c r="CP8" s="69"/>
      <c r="CQ8" s="69"/>
      <c r="CR8" s="69"/>
      <c r="CS8" s="69"/>
      <c r="CT8" s="69"/>
      <c r="CU8" s="69"/>
      <c r="CV8" s="69"/>
      <c r="CW8" s="16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K8" s="3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3"/>
      <c r="DX8" s="69"/>
      <c r="DY8" s="69"/>
      <c r="DZ8" s="69"/>
      <c r="EA8" s="69"/>
      <c r="EB8" s="69"/>
      <c r="EC8" s="69"/>
      <c r="ED8" s="69"/>
      <c r="EE8" s="69"/>
      <c r="EF8" s="69"/>
      <c r="EG8" s="69"/>
      <c r="EH8" s="69"/>
      <c r="EI8" s="69"/>
      <c r="EJ8" s="69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3"/>
      <c r="EX8" s="14"/>
      <c r="EY8" s="4"/>
      <c r="EZ8" s="4"/>
      <c r="FA8" s="4"/>
      <c r="FB8" s="3"/>
      <c r="FC8" s="3"/>
      <c r="FD8" s="3"/>
      <c r="FE8" s="3"/>
    </row>
    <row r="9" spans="1:243" ht="18.75" x14ac:dyDescent="0.2">
      <c r="A9" s="155" t="s">
        <v>220</v>
      </c>
      <c r="B9" s="1"/>
      <c r="C9" s="69"/>
      <c r="E9" s="69"/>
      <c r="F9" s="69"/>
      <c r="G9" s="69"/>
      <c r="H9" s="69"/>
      <c r="I9" s="69"/>
      <c r="J9" s="69"/>
      <c r="M9" s="69"/>
      <c r="N9" s="2"/>
      <c r="O9" s="15"/>
      <c r="Q9" s="69"/>
      <c r="R9" s="69"/>
      <c r="S9" s="69"/>
      <c r="T9" s="69"/>
      <c r="U9" s="69"/>
      <c r="V9" s="69"/>
      <c r="W9" s="69"/>
      <c r="X9" s="69"/>
      <c r="Y9" s="69"/>
      <c r="AA9" s="69"/>
      <c r="AC9" s="69"/>
      <c r="AD9" s="69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K9" s="69"/>
      <c r="CL9" s="69"/>
      <c r="CM9" s="69"/>
      <c r="CN9" s="69"/>
      <c r="CO9" s="69"/>
      <c r="CP9" s="69"/>
      <c r="CQ9" s="69"/>
      <c r="CR9" s="69"/>
      <c r="CS9" s="69"/>
      <c r="CT9" s="69"/>
      <c r="CU9" s="69"/>
      <c r="CV9" s="69"/>
      <c r="CW9" s="16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K9" s="3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3"/>
      <c r="DX9" s="69"/>
      <c r="DY9" s="69"/>
      <c r="DZ9" s="69"/>
      <c r="EA9" s="69"/>
      <c r="EB9" s="69"/>
      <c r="EC9" s="69"/>
      <c r="ED9" s="69"/>
      <c r="EE9" s="69"/>
      <c r="EF9" s="69"/>
      <c r="EG9" s="69"/>
      <c r="EH9" s="69"/>
      <c r="EI9" s="69"/>
      <c r="EJ9" s="69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3"/>
      <c r="EX9" s="14"/>
      <c r="EY9" s="4"/>
      <c r="EZ9" s="4"/>
      <c r="FA9" s="4"/>
      <c r="FB9" s="3"/>
      <c r="FC9" s="3"/>
      <c r="FD9" s="3"/>
      <c r="FE9" s="3"/>
    </row>
    <row r="10" spans="1:243" x14ac:dyDescent="0.2">
      <c r="A10" s="1"/>
      <c r="B10" s="1"/>
    </row>
    <row r="11" spans="1:243" ht="13.5" x14ac:dyDescent="0.2">
      <c r="A11" s="1"/>
      <c r="B11" s="1"/>
      <c r="C11" s="108" t="s">
        <v>208</v>
      </c>
      <c r="D11" s="71"/>
      <c r="E11" s="71"/>
      <c r="F11" s="71"/>
      <c r="G11" s="69"/>
      <c r="H11" s="69"/>
      <c r="I11" s="69"/>
      <c r="J11" s="69"/>
      <c r="M11" s="69"/>
      <c r="N11" s="2"/>
      <c r="O11" s="128"/>
      <c r="Q11" s="108" t="s">
        <v>209</v>
      </c>
      <c r="R11" s="69"/>
      <c r="S11" s="69"/>
      <c r="T11" s="69"/>
      <c r="U11" s="69"/>
      <c r="V11" s="69"/>
      <c r="W11" s="69"/>
      <c r="X11" s="69"/>
      <c r="Y11" s="69"/>
      <c r="AA11" s="69"/>
      <c r="AC11" s="108" t="s">
        <v>210</v>
      </c>
    </row>
    <row r="12" spans="1:243" ht="24.75" x14ac:dyDescent="0.25">
      <c r="A12" s="31" t="s">
        <v>0</v>
      </c>
      <c r="B12" s="31" t="s">
        <v>126</v>
      </c>
      <c r="C12" s="132" t="s">
        <v>1</v>
      </c>
      <c r="D12" s="95" t="s">
        <v>2</v>
      </c>
      <c r="E12" s="147" t="s">
        <v>3</v>
      </c>
      <c r="F12" s="132" t="s">
        <v>4</v>
      </c>
      <c r="G12" s="132" t="s">
        <v>5</v>
      </c>
      <c r="H12" s="132" t="s">
        <v>6</v>
      </c>
      <c r="I12" s="132" t="s">
        <v>7</v>
      </c>
      <c r="J12" s="147" t="s">
        <v>8</v>
      </c>
      <c r="K12" s="95" t="s">
        <v>9</v>
      </c>
      <c r="L12" s="95" t="s">
        <v>10</v>
      </c>
      <c r="M12" s="132" t="s">
        <v>11</v>
      </c>
      <c r="N12" s="133" t="s">
        <v>203</v>
      </c>
      <c r="O12" s="134" t="s">
        <v>204</v>
      </c>
      <c r="P12" s="33"/>
      <c r="Q12" s="132" t="s">
        <v>1</v>
      </c>
      <c r="R12" s="132" t="s">
        <v>2</v>
      </c>
      <c r="S12" s="132" t="s">
        <v>3</v>
      </c>
      <c r="T12" s="132" t="s">
        <v>4</v>
      </c>
      <c r="U12" s="132" t="s">
        <v>5</v>
      </c>
      <c r="V12" s="132" t="s">
        <v>6</v>
      </c>
      <c r="W12" s="132" t="s">
        <v>7</v>
      </c>
      <c r="X12" s="132" t="s">
        <v>8</v>
      </c>
      <c r="Y12" s="132" t="s">
        <v>9</v>
      </c>
      <c r="Z12" s="95" t="s">
        <v>10</v>
      </c>
      <c r="AA12" s="132" t="s">
        <v>11</v>
      </c>
      <c r="AB12" s="33"/>
      <c r="AC12" s="132" t="s">
        <v>3</v>
      </c>
      <c r="AD12" s="132" t="s">
        <v>4</v>
      </c>
      <c r="AE12" s="33"/>
      <c r="AF12" s="81" t="s">
        <v>19</v>
      </c>
      <c r="AG12" s="34" t="s">
        <v>20</v>
      </c>
      <c r="AH12" s="129" t="s">
        <v>105</v>
      </c>
      <c r="AI12" s="129" t="s">
        <v>104</v>
      </c>
      <c r="AJ12" s="93" t="s">
        <v>13</v>
      </c>
      <c r="AK12" s="35"/>
      <c r="AL12" s="49" t="s">
        <v>103</v>
      </c>
      <c r="AM12" s="36"/>
      <c r="AN12" s="36" t="s">
        <v>22</v>
      </c>
      <c r="AO12" s="36" t="s">
        <v>23</v>
      </c>
      <c r="AP12" s="36" t="s">
        <v>24</v>
      </c>
      <c r="AQ12" s="36" t="s">
        <v>12</v>
      </c>
      <c r="AR12" s="36" t="s">
        <v>25</v>
      </c>
      <c r="AS12" s="36" t="s">
        <v>26</v>
      </c>
      <c r="AT12" s="36" t="s">
        <v>27</v>
      </c>
      <c r="AU12" s="36" t="s">
        <v>28</v>
      </c>
      <c r="AV12" s="36" t="s">
        <v>29</v>
      </c>
      <c r="AW12" s="36" t="s">
        <v>30</v>
      </c>
      <c r="AX12" s="36" t="s">
        <v>31</v>
      </c>
      <c r="AY12" s="36" t="s">
        <v>32</v>
      </c>
      <c r="AZ12" s="33"/>
      <c r="BA12" s="36" t="s">
        <v>1</v>
      </c>
      <c r="BB12" s="36" t="s">
        <v>2</v>
      </c>
      <c r="BC12" s="36" t="s">
        <v>3</v>
      </c>
      <c r="BD12" s="36" t="s">
        <v>4</v>
      </c>
      <c r="BE12" s="36" t="s">
        <v>5</v>
      </c>
      <c r="BF12" s="36" t="s">
        <v>6</v>
      </c>
      <c r="BG12" s="36" t="s">
        <v>7</v>
      </c>
      <c r="BH12" s="36" t="s">
        <v>8</v>
      </c>
      <c r="BI12" s="36" t="s">
        <v>9</v>
      </c>
      <c r="BJ12" s="36" t="s">
        <v>10</v>
      </c>
      <c r="BK12" s="36" t="s">
        <v>11</v>
      </c>
      <c r="BL12" s="33"/>
      <c r="BM12" s="36" t="s">
        <v>1</v>
      </c>
      <c r="BN12" s="36" t="s">
        <v>2</v>
      </c>
      <c r="BO12" s="36" t="s">
        <v>3</v>
      </c>
      <c r="BP12" s="36" t="s">
        <v>4</v>
      </c>
      <c r="BQ12" s="36" t="s">
        <v>5</v>
      </c>
      <c r="BR12" s="36" t="s">
        <v>6</v>
      </c>
      <c r="BS12" s="36" t="s">
        <v>7</v>
      </c>
      <c r="BT12" s="36" t="s">
        <v>8</v>
      </c>
      <c r="BU12" s="36" t="s">
        <v>9</v>
      </c>
      <c r="BV12" s="36" t="s">
        <v>10</v>
      </c>
      <c r="BW12" s="36" t="s">
        <v>11</v>
      </c>
      <c r="BX12" s="32"/>
      <c r="BY12" s="36" t="s">
        <v>1</v>
      </c>
      <c r="BZ12" s="36" t="s">
        <v>2</v>
      </c>
      <c r="CA12" s="36" t="s">
        <v>3</v>
      </c>
      <c r="CB12" s="36" t="s">
        <v>4</v>
      </c>
      <c r="CC12" s="36" t="s">
        <v>5</v>
      </c>
      <c r="CD12" s="36" t="s">
        <v>6</v>
      </c>
      <c r="CE12" s="36" t="s">
        <v>7</v>
      </c>
      <c r="CF12" s="36" t="s">
        <v>8</v>
      </c>
      <c r="CG12" s="36" t="s">
        <v>9</v>
      </c>
      <c r="CH12" s="36" t="s">
        <v>10</v>
      </c>
      <c r="CI12" s="36" t="s">
        <v>11</v>
      </c>
      <c r="CJ12" s="32"/>
      <c r="CK12" s="36" t="s">
        <v>1</v>
      </c>
      <c r="CL12" s="36" t="s">
        <v>2</v>
      </c>
      <c r="CM12" s="36" t="s">
        <v>3</v>
      </c>
      <c r="CN12" s="36" t="s">
        <v>4</v>
      </c>
      <c r="CO12" s="36" t="s">
        <v>5</v>
      </c>
      <c r="CP12" s="36" t="s">
        <v>6</v>
      </c>
      <c r="CQ12" s="36" t="s">
        <v>7</v>
      </c>
      <c r="CR12" s="36" t="s">
        <v>8</v>
      </c>
      <c r="CS12" s="36" t="s">
        <v>9</v>
      </c>
      <c r="CT12" s="36" t="s">
        <v>10</v>
      </c>
      <c r="CU12" s="36" t="s">
        <v>11</v>
      </c>
      <c r="CV12" s="33"/>
      <c r="CW12" s="33" t="s">
        <v>80</v>
      </c>
      <c r="CX12" s="33"/>
      <c r="CY12" s="33" t="s">
        <v>81</v>
      </c>
      <c r="CZ12" s="33"/>
      <c r="DA12" s="37" t="s" ph="1">
        <v>45</v>
      </c>
      <c r="DB12" s="37" t="s" ph="1">
        <v>46</v>
      </c>
      <c r="DC12" s="37" t="s" ph="1">
        <v>47</v>
      </c>
      <c r="DD12" s="37" t="s" ph="1">
        <v>48</v>
      </c>
      <c r="DE12" s="37" t="s" ph="1">
        <v>49</v>
      </c>
      <c r="DF12" s="37" t="s" ph="1">
        <v>50</v>
      </c>
      <c r="DG12" s="37" t="s" ph="1">
        <v>51</v>
      </c>
      <c r="DH12" s="37" t="s" ph="1">
        <v>52</v>
      </c>
      <c r="DI12" s="37" t="s" ph="1">
        <v>53</v>
      </c>
      <c r="DJ12" s="37" t="s" ph="1">
        <v>54</v>
      </c>
      <c r="DK12" s="37" t="s" ph="1">
        <v>55</v>
      </c>
      <c r="DL12" s="37" t="s">
        <v>56</v>
      </c>
      <c r="DM12" s="33"/>
      <c r="DN12" s="36" t="s">
        <v>1</v>
      </c>
      <c r="DO12" s="36" t="s">
        <v>2</v>
      </c>
      <c r="DP12" s="36" t="s">
        <v>3</v>
      </c>
      <c r="DQ12" s="36" t="s">
        <v>4</v>
      </c>
      <c r="DR12" s="36" t="s">
        <v>5</v>
      </c>
      <c r="DS12" s="36" t="s">
        <v>6</v>
      </c>
      <c r="DT12" s="36" t="s">
        <v>7</v>
      </c>
      <c r="DU12" s="36" t="s">
        <v>8</v>
      </c>
      <c r="DV12" s="36" t="s">
        <v>9</v>
      </c>
      <c r="DW12" s="36" t="s">
        <v>10</v>
      </c>
      <c r="DX12" s="36" t="s">
        <v>11</v>
      </c>
      <c r="DY12" s="33"/>
      <c r="DZ12" s="36" t="s">
        <v>1</v>
      </c>
      <c r="EA12" s="36" t="s">
        <v>2</v>
      </c>
      <c r="EB12" s="36" t="s">
        <v>3</v>
      </c>
      <c r="EC12" s="36" t="s">
        <v>4</v>
      </c>
      <c r="ED12" s="36" t="s">
        <v>5</v>
      </c>
      <c r="EE12" s="36" t="s">
        <v>6</v>
      </c>
      <c r="EF12" s="36" t="s">
        <v>7</v>
      </c>
      <c r="EG12" s="36" t="s">
        <v>8</v>
      </c>
      <c r="EH12" s="36" t="s">
        <v>9</v>
      </c>
      <c r="EI12" s="36" t="s">
        <v>10</v>
      </c>
      <c r="EJ12" s="36" t="s">
        <v>11</v>
      </c>
      <c r="EK12" s="33"/>
      <c r="EL12" s="38" t="s">
        <v>80</v>
      </c>
      <c r="EM12" s="33"/>
      <c r="EN12" s="33" t="s">
        <v>81</v>
      </c>
      <c r="EO12" s="33"/>
      <c r="EP12" s="37" t="s" ph="1">
        <v>87</v>
      </c>
      <c r="EQ12" s="37" t="s" ph="1">
        <v>88</v>
      </c>
      <c r="ER12" s="37" t="s" ph="1">
        <v>65</v>
      </c>
      <c r="ES12" s="37" t="s" ph="1">
        <v>66</v>
      </c>
      <c r="ET12" s="37" t="s" ph="1">
        <v>67</v>
      </c>
      <c r="EU12" s="37" t="s" ph="1">
        <v>68</v>
      </c>
      <c r="EV12" s="37" t="s" ph="1">
        <v>69</v>
      </c>
      <c r="EW12" s="37" t="s" ph="1">
        <v>70</v>
      </c>
      <c r="EX12" s="37" t="s" ph="1">
        <v>71</v>
      </c>
      <c r="EY12" s="37" t="s" ph="1">
        <v>72</v>
      </c>
      <c r="EZ12" s="37" t="s" ph="1">
        <v>73</v>
      </c>
      <c r="FA12" s="33"/>
      <c r="FB12" s="39" t="s">
        <v>74</v>
      </c>
      <c r="FC12" s="45" t="s">
        <v>108</v>
      </c>
      <c r="FD12" s="46" t="s">
        <v>109</v>
      </c>
      <c r="FE12" s="32" t="s">
        <v>106</v>
      </c>
      <c r="FF12" s="33"/>
      <c r="FG12" s="33" t="s">
        <v>107</v>
      </c>
      <c r="FH12" s="3" ph="1"/>
      <c r="FM12" s="3" ph="1"/>
      <c r="FN12" s="3" ph="1"/>
      <c r="FO12" s="3" ph="1"/>
      <c r="FP12" s="3" ph="1"/>
      <c r="FQ12" s="3" ph="1"/>
      <c r="FR12" s="3" ph="1"/>
      <c r="FS12" s="3" ph="1"/>
      <c r="FT12" s="3" ph="1"/>
      <c r="FU12" s="3" ph="1"/>
      <c r="FV12" s="3" ph="1"/>
      <c r="FW12" s="3" ph="1"/>
      <c r="FX12" s="3" ph="1"/>
      <c r="GG12" s="3" ph="1"/>
      <c r="GL12" s="3" ph="1"/>
      <c r="GM12" s="3" ph="1"/>
      <c r="GN12" s="3" ph="1"/>
      <c r="GO12" s="3" ph="1"/>
      <c r="GP12" s="3" ph="1"/>
      <c r="GQ12" s="3" ph="1"/>
      <c r="GR12" s="3" ph="1"/>
      <c r="GS12" s="3" ph="1"/>
      <c r="GT12" s="3" ph="1"/>
      <c r="GY12" s="3" ph="1"/>
      <c r="GZ12" s="3" ph="1"/>
      <c r="HA12" s="3" ph="1"/>
      <c r="HB12" s="3" ph="1"/>
      <c r="HC12" s="3" ph="1"/>
      <c r="HD12" s="3" ph="1"/>
      <c r="HE12" s="3" ph="1"/>
      <c r="HF12" s="3" ph="1"/>
      <c r="HG12" s="3" ph="1"/>
      <c r="HH12" s="3" ph="1"/>
      <c r="HL12" s="3" ph="1"/>
      <c r="HM12" s="3" ph="1"/>
      <c r="HN12" s="3" ph="1"/>
      <c r="HO12" s="3" ph="1"/>
      <c r="HP12" s="3" ph="1"/>
      <c r="HQ12" s="3" ph="1"/>
      <c r="HR12" s="3" ph="1"/>
      <c r="HS12" s="3" ph="1"/>
      <c r="HT12" s="3" ph="1"/>
      <c r="HU12" s="3" ph="1"/>
      <c r="HV12" s="3" ph="1"/>
      <c r="HW12" s="3" ph="1"/>
      <c r="HX12" s="3" ph="1"/>
      <c r="HY12" s="3" ph="1"/>
      <c r="HZ12" s="3" ph="1"/>
      <c r="IA12" s="3" ph="1"/>
      <c r="IB12" s="3" ph="1"/>
      <c r="IC12" s="3" ph="1"/>
      <c r="ID12" s="3" ph="1"/>
      <c r="IE12" s="3" ph="1"/>
      <c r="IF12" s="3" ph="1"/>
      <c r="IG12" s="3" ph="1"/>
      <c r="IH12" s="3" ph="1"/>
      <c r="II12" s="3" ph="1"/>
    </row>
    <row r="13" spans="1:243" s="1" customFormat="1" ht="13.5" x14ac:dyDescent="0.2">
      <c r="A13" s="5"/>
      <c r="B13" s="5"/>
      <c r="C13" s="135" t="s">
        <v>75</v>
      </c>
      <c r="D13" s="97"/>
      <c r="E13" s="94" t="s">
        <v>206</v>
      </c>
      <c r="F13" s="97"/>
      <c r="G13" s="97"/>
      <c r="H13" s="97"/>
      <c r="I13" s="97"/>
      <c r="J13" s="94" t="s">
        <v>206</v>
      </c>
      <c r="K13" s="97"/>
      <c r="L13" s="97"/>
      <c r="M13" s="97"/>
      <c r="N13" s="104" t="s">
        <v>207</v>
      </c>
      <c r="O13" s="122" t="s">
        <v>196</v>
      </c>
      <c r="Q13" s="135" t="s">
        <v>77</v>
      </c>
      <c r="R13" s="136"/>
      <c r="S13" s="136"/>
      <c r="T13" s="136"/>
      <c r="U13" s="136"/>
      <c r="V13" s="136"/>
      <c r="W13" s="136"/>
      <c r="X13" s="136"/>
      <c r="Y13" s="136"/>
      <c r="Z13" s="97"/>
      <c r="AA13" s="136"/>
      <c r="AC13" s="137" t="s">
        <v>78</v>
      </c>
      <c r="AD13" s="106"/>
      <c r="AF13" s="82"/>
      <c r="AG13" s="21"/>
      <c r="AH13" s="130"/>
      <c r="AI13" s="131" t="s">
        <v>125</v>
      </c>
      <c r="AJ13" s="125" t="s">
        <v>76</v>
      </c>
      <c r="AL13" s="50" t="s">
        <v>120</v>
      </c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M13" s="6" t="s">
        <v>79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8"/>
      <c r="BY13" s="6" t="s">
        <v>82</v>
      </c>
      <c r="BZ13" s="6"/>
      <c r="CA13" s="6"/>
      <c r="CB13" s="6"/>
      <c r="CC13" s="6"/>
      <c r="CD13" s="6"/>
      <c r="CE13" s="6"/>
      <c r="CF13" s="6"/>
      <c r="CG13" s="6"/>
      <c r="CH13" s="6"/>
      <c r="CI13" s="6"/>
      <c r="CK13" s="6" t="s">
        <v>83</v>
      </c>
      <c r="CL13" s="6"/>
      <c r="CM13" s="6"/>
      <c r="CN13" s="6"/>
      <c r="CO13" s="6"/>
      <c r="CP13" s="6"/>
      <c r="CQ13" s="6"/>
      <c r="CR13" s="6"/>
      <c r="CS13" s="6"/>
      <c r="CT13" s="6"/>
      <c r="CU13" s="6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N13" s="6" t="s">
        <v>84</v>
      </c>
      <c r="DO13" s="6"/>
      <c r="DP13" s="6"/>
      <c r="DQ13" s="6"/>
      <c r="DR13" s="6"/>
      <c r="DS13" s="6"/>
      <c r="DT13" s="6"/>
      <c r="DU13" s="6"/>
      <c r="DV13" s="6"/>
      <c r="DW13" s="6"/>
      <c r="DX13" s="6"/>
      <c r="DZ13" s="6" t="s">
        <v>85</v>
      </c>
      <c r="EA13" s="6"/>
      <c r="EB13" s="6"/>
      <c r="EC13" s="6"/>
      <c r="ED13" s="6"/>
      <c r="EE13" s="6"/>
      <c r="EF13" s="6"/>
      <c r="EG13" s="6"/>
      <c r="EH13" s="6"/>
      <c r="EI13" s="6"/>
      <c r="EJ13" s="6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B13" s="19"/>
      <c r="FC13" s="17"/>
      <c r="FD13" s="18"/>
      <c r="FE13" s="8"/>
      <c r="FF13" s="9"/>
      <c r="FG13" s="7"/>
    </row>
    <row r="14" spans="1:243" x14ac:dyDescent="0.2">
      <c r="A14" s="56" t="s">
        <v>127</v>
      </c>
      <c r="B14" s="57" t="s">
        <v>132</v>
      </c>
      <c r="C14" s="138">
        <v>40.549999999999997</v>
      </c>
      <c r="D14" s="98">
        <v>0.01</v>
      </c>
      <c r="E14" s="148">
        <f>N14/(26.9815*10000)*101.9601/2</f>
        <v>4.3646170709560249E-2</v>
      </c>
      <c r="F14" s="138">
        <v>0.04</v>
      </c>
      <c r="G14" s="138">
        <v>9.39</v>
      </c>
      <c r="H14" s="138">
        <v>0.12</v>
      </c>
      <c r="I14" s="138">
        <v>49.2</v>
      </c>
      <c r="J14" s="150">
        <f>O14/40.078*56.077/10000</f>
        <v>7.4486874496498573E-2</v>
      </c>
      <c r="K14" s="98">
        <v>0.02</v>
      </c>
      <c r="L14" s="98">
        <v>0.02</v>
      </c>
      <c r="M14" s="138">
        <v>0.41</v>
      </c>
      <c r="N14" s="141">
        <v>231</v>
      </c>
      <c r="O14" s="142">
        <v>532.35461170723647</v>
      </c>
      <c r="P14" s="11"/>
      <c r="Q14" s="140">
        <v>53.05</v>
      </c>
      <c r="R14" s="140">
        <v>0.13</v>
      </c>
      <c r="S14" s="140">
        <v>3.56</v>
      </c>
      <c r="T14" s="140">
        <v>1.24</v>
      </c>
      <c r="U14" s="140">
        <v>3.1</v>
      </c>
      <c r="V14" s="140">
        <v>0.08</v>
      </c>
      <c r="W14" s="140">
        <v>17.649999999999999</v>
      </c>
      <c r="X14" s="140">
        <v>19.7</v>
      </c>
      <c r="Y14" s="140">
        <v>1.06</v>
      </c>
      <c r="Z14" s="100">
        <v>0.01</v>
      </c>
      <c r="AA14" s="140">
        <v>0.05</v>
      </c>
      <c r="AC14" s="139">
        <v>30.5</v>
      </c>
      <c r="AD14" s="139">
        <v>36.200000000000003</v>
      </c>
      <c r="AE14" s="11"/>
      <c r="AF14" s="83">
        <f>AD14/151.9892/(AD14/151.9892+AC14/101.9601)</f>
        <v>0.44327144301668919</v>
      </c>
      <c r="AG14" s="22">
        <f t="shared" ref="AG14:AG45" si="0">E14/AC14</f>
        <v>1.4310219904773852E-3</v>
      </c>
      <c r="AH14" s="126">
        <f>10000/(0.575+0.884*AF14-0.897*LN(AG14))-273</f>
        <v>1188.6392145223524</v>
      </c>
      <c r="AI14" s="126">
        <f t="shared" ref="AI14:AI34" si="1">(10539+79.8*AL14*10)/(15.45-LN(O14))-273</f>
        <v>1188.6392171105872</v>
      </c>
      <c r="AJ14" s="126">
        <f t="shared" ref="AJ14:AJ34" si="2">AH14-AI14</f>
        <v>-2.588234792710864E-6</v>
      </c>
      <c r="AK14" s="12"/>
      <c r="AL14" s="25">
        <f>FE14</f>
        <v>3.5941900725964131</v>
      </c>
      <c r="AN14" s="2">
        <v>15.999000000000001</v>
      </c>
      <c r="AO14" s="2">
        <v>28.085000000000001</v>
      </c>
      <c r="AP14" s="2">
        <v>47.866999999999997</v>
      </c>
      <c r="AQ14" s="2">
        <v>26.9815386</v>
      </c>
      <c r="AR14" s="2">
        <v>51.996099999999998</v>
      </c>
      <c r="AS14" s="2">
        <v>55.844999999999999</v>
      </c>
      <c r="AT14" s="2">
        <v>54.938045000000002</v>
      </c>
      <c r="AU14" s="2">
        <v>24.305</v>
      </c>
      <c r="AV14" s="2">
        <v>40.078000000000003</v>
      </c>
      <c r="AW14" s="2">
        <v>22.989769280000001</v>
      </c>
      <c r="AX14" s="2">
        <v>39.098300000000002</v>
      </c>
      <c r="AY14" s="2">
        <v>58.693399999999997</v>
      </c>
      <c r="BA14" s="2">
        <f>AN14*2+AO14</f>
        <v>60.082999999999998</v>
      </c>
      <c r="BB14" s="2">
        <f>AN14*2+AP14</f>
        <v>79.864999999999995</v>
      </c>
      <c r="BC14" s="2">
        <f>AQ14*2+AN14*3</f>
        <v>101.9600772</v>
      </c>
      <c r="BD14" s="2">
        <f>AR14*2+AN14*3</f>
        <v>151.98919999999998</v>
      </c>
      <c r="BE14" s="2">
        <f>AS14+AN14</f>
        <v>71.843999999999994</v>
      </c>
      <c r="BF14" s="2">
        <f>AT14+AN14</f>
        <v>70.937044999999998</v>
      </c>
      <c r="BG14" s="2">
        <f>AU14+AN14</f>
        <v>40.304000000000002</v>
      </c>
      <c r="BH14" s="2">
        <f>AV14+AN14</f>
        <v>56.077000000000005</v>
      </c>
      <c r="BI14" s="2">
        <f>AW14*2+AN14</f>
        <v>61.978538560000004</v>
      </c>
      <c r="BJ14" s="2">
        <f>AX14*2+AN14</f>
        <v>94.195599999999999</v>
      </c>
      <c r="BK14" s="2">
        <f>AY14+AN14</f>
        <v>74.692399999999992</v>
      </c>
      <c r="BM14" s="2">
        <f t="shared" ref="BM14:BM45" si="3">C14/BA14</f>
        <v>0.67489972205116255</v>
      </c>
      <c r="BN14" s="2">
        <f t="shared" ref="BN14:BN45" si="4">D14/BB14</f>
        <v>1.2521129405872411E-4</v>
      </c>
      <c r="BO14" s="2">
        <f t="shared" ref="BO14:BO45" si="5">E14/BC14</f>
        <v>4.2807118146787992E-4</v>
      </c>
      <c r="BP14" s="2">
        <f t="shared" ref="BP14:BP45" si="6">F14/BD14</f>
        <v>2.6317659412642482E-4</v>
      </c>
      <c r="BQ14" s="2">
        <f t="shared" ref="BQ14:BQ45" si="7">G14/BE14</f>
        <v>0.13069984967429432</v>
      </c>
      <c r="BR14" s="2">
        <f t="shared" ref="BR14:BR45" si="8">H14/BF14</f>
        <v>1.6916408062952156E-3</v>
      </c>
      <c r="BS14" s="2">
        <f t="shared" ref="BS14:BS45" si="9">I14/BG14</f>
        <v>1.2207225089321159</v>
      </c>
      <c r="BT14" s="2">
        <f t="shared" ref="BT14:BT45" si="10">J14/BH14</f>
        <v>1.3282963513828944E-3</v>
      </c>
      <c r="BU14" s="2">
        <f t="shared" ref="BU14:BU45" si="11">K14/BI14</f>
        <v>3.2269234584546486E-4</v>
      </c>
      <c r="BV14" s="2">
        <f t="shared" ref="BV14:BV45" si="12">L14/BJ14</f>
        <v>2.123241425289504E-4</v>
      </c>
      <c r="BW14" s="2">
        <f t="shared" ref="BW14:BW45" si="13">M14/BK14</f>
        <v>5.4891796220231243E-3</v>
      </c>
      <c r="BY14" s="2">
        <f>BM14</f>
        <v>0.67489972205116255</v>
      </c>
      <c r="BZ14" s="2">
        <f t="shared" ref="BY14:BZ59" si="14">BN14</f>
        <v>1.2521129405872411E-4</v>
      </c>
      <c r="CA14" s="2">
        <f>BO14*2</f>
        <v>8.5614236293575985E-4</v>
      </c>
      <c r="CB14" s="2">
        <f t="shared" ref="CA14:CB59" si="15">BP14*2</f>
        <v>5.2635318825284964E-4</v>
      </c>
      <c r="CC14" s="2">
        <f t="shared" ref="CC14:CF59" si="16">BQ14</f>
        <v>0.13069984967429432</v>
      </c>
      <c r="CD14" s="2">
        <f t="shared" si="16"/>
        <v>1.6916408062952156E-3</v>
      </c>
      <c r="CE14" s="2">
        <f t="shared" si="16"/>
        <v>1.2207225089321159</v>
      </c>
      <c r="CF14" s="2">
        <f t="shared" si="16"/>
        <v>1.3282963513828944E-3</v>
      </c>
      <c r="CG14" s="2">
        <f t="shared" ref="CG14:CH59" si="17">BU14*2</f>
        <v>6.4538469169092972E-4</v>
      </c>
      <c r="CH14" s="2">
        <f t="shared" si="17"/>
        <v>4.246482850579008E-4</v>
      </c>
      <c r="CI14" s="2">
        <f>BW14</f>
        <v>5.4891796220231243E-3</v>
      </c>
      <c r="CK14" s="2">
        <f>BM14*2</f>
        <v>1.3497994441023251</v>
      </c>
      <c r="CL14" s="2">
        <f t="shared" ref="CK14:CL59" si="18">BN14*2</f>
        <v>2.5042258811744822E-4</v>
      </c>
      <c r="CM14" s="2">
        <f>BO14*3</f>
        <v>1.2842135444036398E-3</v>
      </c>
      <c r="CN14" s="2">
        <f t="shared" ref="CM14:CN59" si="19">BP14*3</f>
        <v>7.895297823792744E-4</v>
      </c>
      <c r="CO14" s="2">
        <f t="shared" ref="CO14:CU59" si="20">BQ14</f>
        <v>0.13069984967429432</v>
      </c>
      <c r="CP14" s="2">
        <f t="shared" si="20"/>
        <v>1.6916408062952156E-3</v>
      </c>
      <c r="CQ14" s="2">
        <f t="shared" si="20"/>
        <v>1.2207225089321159</v>
      </c>
      <c r="CR14" s="2">
        <f t="shared" si="20"/>
        <v>1.3282963513828944E-3</v>
      </c>
      <c r="CS14" s="2">
        <f t="shared" si="20"/>
        <v>3.2269234584546486E-4</v>
      </c>
      <c r="CT14" s="2">
        <f t="shared" si="20"/>
        <v>2.123241425289504E-4</v>
      </c>
      <c r="CU14" s="2">
        <f t="shared" si="20"/>
        <v>5.4891796220231243E-3</v>
      </c>
      <c r="CW14" s="14">
        <f>SUM(CK14:CU14)</f>
        <v>2.7125901018917116</v>
      </c>
      <c r="CY14" s="14">
        <f>4/CW14</f>
        <v>1.4746053954891569</v>
      </c>
      <c r="DA14" s="16">
        <f t="shared" ref="DA14:DK16" si="21">BY14*$CY14</f>
        <v>0.99521077155077664</v>
      </c>
      <c r="DB14" s="16">
        <f t="shared" si="21"/>
        <v>1.8463724979517399E-4</v>
      </c>
      <c r="DC14" s="16">
        <f t="shared" si="21"/>
        <v>1.2624721476919075E-3</v>
      </c>
      <c r="DD14" s="16">
        <f t="shared" si="21"/>
        <v>7.7616325133057198E-4</v>
      </c>
      <c r="DE14" s="16">
        <f t="shared" si="21"/>
        <v>0.19273070351933613</v>
      </c>
      <c r="DF14" s="16">
        <f t="shared" si="21"/>
        <v>2.4945026601925525E-3</v>
      </c>
      <c r="DG14" s="16">
        <f t="shared" si="21"/>
        <v>1.8000839980663585</v>
      </c>
      <c r="DH14" s="16">
        <f t="shared" si="21"/>
        <v>1.958712966557777E-3</v>
      </c>
      <c r="DI14" s="16">
        <f t="shared" si="21"/>
        <v>9.51687748533551E-4</v>
      </c>
      <c r="DJ14" s="16">
        <f t="shared" si="21"/>
        <v>6.261886523315981E-4</v>
      </c>
      <c r="DK14" s="16">
        <f t="shared" si="21"/>
        <v>8.0943738874444306E-3</v>
      </c>
      <c r="DL14" s="16">
        <f t="shared" ref="DL14:DL45" si="22">DG14/(DG14+DE14)</f>
        <v>0.90328719305112548</v>
      </c>
      <c r="DN14" s="2">
        <f t="shared" ref="DN14:DN45" si="23">Q14/BA14</f>
        <v>0.88294525905830268</v>
      </c>
      <c r="DO14" s="2">
        <f t="shared" ref="DO14:DO45" si="24">R14/BB14</f>
        <v>1.6277468227634134E-3</v>
      </c>
      <c r="DP14" s="2">
        <f t="shared" ref="DP14:DP45" si="25">S14/BC14</f>
        <v>3.4915626760627837E-2</v>
      </c>
      <c r="DQ14" s="2">
        <f t="shared" ref="DQ14:DQ45" si="26">T14/BD14</f>
        <v>8.1584744179191687E-3</v>
      </c>
      <c r="DR14" s="2">
        <f t="shared" ref="DR14:DR45" si="27">U14/BE14</f>
        <v>4.3149045153387904E-2</v>
      </c>
      <c r="DS14" s="2">
        <f t="shared" ref="DS14:DS45" si="28">V14/BF14</f>
        <v>1.1277605375301439E-3</v>
      </c>
      <c r="DT14" s="2">
        <f t="shared" ref="DT14:DT45" si="29">W14/BG14</f>
        <v>0.43792179436284234</v>
      </c>
      <c r="DU14" s="2">
        <f t="shared" ref="DU14:DU45" si="30">X14/BH14</f>
        <v>0.35130267311018776</v>
      </c>
      <c r="DV14" s="2">
        <f t="shared" ref="DV14:DV45" si="31">Y14/BI14</f>
        <v>1.7102694329809636E-2</v>
      </c>
      <c r="DW14" s="2">
        <f t="shared" ref="DW14:DW45" si="32">Z14/BJ14</f>
        <v>1.061620712644752E-4</v>
      </c>
      <c r="DX14" s="2">
        <f t="shared" ref="DX14:DX45" si="33">AA14/BK14</f>
        <v>6.6941214902721037E-4</v>
      </c>
      <c r="DZ14" s="2">
        <f>DN14*2</f>
        <v>1.7658905181166054</v>
      </c>
      <c r="EA14" s="2">
        <f>DO14*2</f>
        <v>3.2554936455268268E-3</v>
      </c>
      <c r="EB14" s="2">
        <f>DP14*3</f>
        <v>0.1047468802818835</v>
      </c>
      <c r="EC14" s="2">
        <f t="shared" ref="EB14:EC59" si="34">DQ14*3</f>
        <v>2.4475423253757504E-2</v>
      </c>
      <c r="ED14" s="2">
        <f t="shared" ref="ED14:EJ59" si="35">DR14</f>
        <v>4.3149045153387904E-2</v>
      </c>
      <c r="EE14" s="2">
        <f t="shared" si="35"/>
        <v>1.1277605375301439E-3</v>
      </c>
      <c r="EF14" s="2">
        <f t="shared" si="35"/>
        <v>0.43792179436284234</v>
      </c>
      <c r="EG14" s="2">
        <f t="shared" si="35"/>
        <v>0.35130267311018776</v>
      </c>
      <c r="EH14" s="2">
        <f t="shared" si="35"/>
        <v>1.7102694329809636E-2</v>
      </c>
      <c r="EI14" s="2">
        <f t="shared" si="35"/>
        <v>1.061620712644752E-4</v>
      </c>
      <c r="EJ14" s="2">
        <f t="shared" si="35"/>
        <v>6.6941214902721037E-4</v>
      </c>
      <c r="EL14" s="16">
        <f>SUM(DZ14:EJ14)</f>
        <v>2.7497478570118221</v>
      </c>
      <c r="EN14" s="14">
        <f>6/EL14</f>
        <v>2.1820182474913388</v>
      </c>
      <c r="EP14" s="16">
        <f t="shared" ref="EP14:EQ16" si="36">DN14*$EN14</f>
        <v>1.9266026668011837</v>
      </c>
      <c r="EQ14" s="16">
        <f t="shared" si="36"/>
        <v>3.5517732695658183E-3</v>
      </c>
      <c r="ER14" s="16">
        <f t="shared" ref="ER14:ES16" si="37">2*DP14*$EN14</f>
        <v>0.15237306942857368</v>
      </c>
      <c r="ES14" s="16">
        <f t="shared" si="37"/>
        <v>3.5603880103181808E-2</v>
      </c>
      <c r="ET14" s="16">
        <f t="shared" ref="ET14:EW16" si="38">DR14*$EN14</f>
        <v>9.4152003886520119E-2</v>
      </c>
      <c r="EU14" s="16">
        <f t="shared" si="38"/>
        <v>2.4607940716914146E-3</v>
      </c>
      <c r="EV14" s="16">
        <f t="shared" si="38"/>
        <v>0.95555334627387167</v>
      </c>
      <c r="EW14" s="16">
        <f t="shared" si="38"/>
        <v>0.76654884311891458</v>
      </c>
      <c r="EX14" s="16">
        <f t="shared" ref="EX14:EY16" si="39">2*DV14*$EN14</f>
        <v>7.4636782217822564E-2</v>
      </c>
      <c r="EY14" s="16">
        <f t="shared" si="39"/>
        <v>4.6329515338112157E-4</v>
      </c>
      <c r="EZ14" s="16">
        <f>DX14*$EN14</f>
        <v>1.4606695242697645E-3</v>
      </c>
      <c r="FB14" s="14">
        <f t="shared" ref="FB14:FB45" si="40">LN(DH14/EW14)</f>
        <v>-5.9696108107121786</v>
      </c>
      <c r="FC14" s="4">
        <f t="shared" ref="FC14:FC45" si="41">(-(AH14+273)*FB14-11982+3.61*(AH14+273))/56.2/10</f>
        <v>3.5941900725964131</v>
      </c>
      <c r="FD14" s="4">
        <f t="shared" ref="FD14:FD45" si="42">(-(AH14+273)*FB14-5792-1.25*(AH14+273))/42.5/10</f>
        <v>2.603219384048356</v>
      </c>
      <c r="FE14" s="4">
        <f t="shared" ref="FE14:FE45" si="43">IF(AH14&gt;(1275.25-273+2.827*FC14*10), FC14, FD14)</f>
        <v>3.5941900725964131</v>
      </c>
      <c r="FG14" s="4">
        <f t="shared" ref="FG14:FG45" si="44">(3.64-2.328*DL14-9525/(AH14+273)-LN(DH14))/0.0334/10</f>
        <v>3.7603564563059519</v>
      </c>
    </row>
    <row r="15" spans="1:243" x14ac:dyDescent="0.2">
      <c r="A15" s="56" t="s">
        <v>128</v>
      </c>
      <c r="B15" s="57" t="s">
        <v>132</v>
      </c>
      <c r="C15" s="138">
        <v>40.700000000000003</v>
      </c>
      <c r="D15" s="98">
        <v>0.03</v>
      </c>
      <c r="E15" s="148">
        <f t="shared" ref="E15:E59" si="45">N15/(26.9815*10000)*101.9601/2</f>
        <v>6.9720506458128717E-2</v>
      </c>
      <c r="F15" s="138">
        <v>0.03</v>
      </c>
      <c r="G15" s="138">
        <v>9.1300000000000008</v>
      </c>
      <c r="H15" s="138">
        <v>0.13</v>
      </c>
      <c r="I15" s="138">
        <v>50.3</v>
      </c>
      <c r="J15" s="150">
        <f t="shared" ref="J15:J59" si="46">O15/40.078*56.077/10000</f>
        <v>0.14566368234733545</v>
      </c>
      <c r="K15" s="98">
        <v>0.01</v>
      </c>
      <c r="L15" s="98"/>
      <c r="M15" s="138">
        <v>0.4</v>
      </c>
      <c r="N15" s="141">
        <v>369</v>
      </c>
      <c r="O15" s="142">
        <v>1041.0523139819375</v>
      </c>
      <c r="P15" s="11"/>
      <c r="Q15" s="140">
        <v>52</v>
      </c>
      <c r="R15" s="140">
        <v>0.7</v>
      </c>
      <c r="S15" s="140">
        <v>5</v>
      </c>
      <c r="T15" s="140">
        <v>1.35</v>
      </c>
      <c r="U15" s="140">
        <v>3.1</v>
      </c>
      <c r="V15" s="140">
        <v>0.1</v>
      </c>
      <c r="W15" s="140">
        <v>16.2</v>
      </c>
      <c r="X15" s="140">
        <v>19.899999999999999</v>
      </c>
      <c r="Y15" s="140">
        <v>1.36</v>
      </c>
      <c r="Z15" s="100">
        <v>0.01</v>
      </c>
      <c r="AA15" s="140">
        <v>0.03</v>
      </c>
      <c r="AC15" s="139">
        <v>34.200000000000003</v>
      </c>
      <c r="AD15" s="139">
        <v>29.5</v>
      </c>
      <c r="AE15" s="11"/>
      <c r="AF15" s="83">
        <f>AD15/151.9892/(AD15/151.9892+AC15/101.9601)</f>
        <v>0.36654601706097462</v>
      </c>
      <c r="AG15" s="22">
        <f t="shared" si="0"/>
        <v>2.038611299945284E-3</v>
      </c>
      <c r="AH15" s="126">
        <f t="shared" ref="AH15:AH59" si="47">10000/(0.575+0.884*AF15-0.897*LN(AG15))-273</f>
        <v>1275.8560270193295</v>
      </c>
      <c r="AI15" s="126">
        <f t="shared" si="1"/>
        <v>1275.8560248912327</v>
      </c>
      <c r="AJ15" s="126">
        <f t="shared" si="2"/>
        <v>2.1280968667269917E-6</v>
      </c>
      <c r="AK15" s="12"/>
      <c r="AL15" s="25">
        <f t="shared" ref="AL15:AL59" si="48">FE15</f>
        <v>3.294979400586441</v>
      </c>
      <c r="AN15" s="2">
        <v>15.999000000000001</v>
      </c>
      <c r="AO15" s="2">
        <v>28.085000000000001</v>
      </c>
      <c r="AP15" s="2">
        <v>47.866999999999997</v>
      </c>
      <c r="AQ15" s="2">
        <v>26.9815386</v>
      </c>
      <c r="AR15" s="2">
        <v>51.996099999999998</v>
      </c>
      <c r="AS15" s="2">
        <v>55.844999999999999</v>
      </c>
      <c r="AT15" s="2">
        <v>54.938045000000002</v>
      </c>
      <c r="AU15" s="2">
        <v>24.305</v>
      </c>
      <c r="AV15" s="2">
        <v>40.078000000000003</v>
      </c>
      <c r="AW15" s="2">
        <v>22.989769280000001</v>
      </c>
      <c r="AX15" s="2">
        <v>39.098300000000002</v>
      </c>
      <c r="AY15" s="2">
        <v>58.693399999999997</v>
      </c>
      <c r="BA15" s="2">
        <f>AN15*2+AO15</f>
        <v>60.082999999999998</v>
      </c>
      <c r="BB15" s="2">
        <f>AN15*2+AP15</f>
        <v>79.864999999999995</v>
      </c>
      <c r="BC15" s="2">
        <f>AQ15*2+AN15*3</f>
        <v>101.9600772</v>
      </c>
      <c r="BD15" s="2">
        <f>AR15*2+AN15*3</f>
        <v>151.98919999999998</v>
      </c>
      <c r="BE15" s="2">
        <f>AS15+AN15</f>
        <v>71.843999999999994</v>
      </c>
      <c r="BF15" s="2">
        <f>AT15+AN15</f>
        <v>70.937044999999998</v>
      </c>
      <c r="BG15" s="2">
        <f>AU15+AN15</f>
        <v>40.304000000000002</v>
      </c>
      <c r="BH15" s="2">
        <f>AV15+AN15</f>
        <v>56.077000000000005</v>
      </c>
      <c r="BI15" s="2">
        <f>AW15*2+AN15</f>
        <v>61.978538560000004</v>
      </c>
      <c r="BJ15" s="2">
        <f>AX15*2+AN15</f>
        <v>94.195599999999999</v>
      </c>
      <c r="BK15" s="2">
        <f>AY15+AN15</f>
        <v>74.692399999999992</v>
      </c>
      <c r="BM15" s="2">
        <f t="shared" si="3"/>
        <v>0.67739626849524825</v>
      </c>
      <c r="BN15" s="2">
        <f t="shared" si="4"/>
        <v>3.7563388217617228E-4</v>
      </c>
      <c r="BO15" s="2">
        <f t="shared" si="5"/>
        <v>6.8380201714999015E-4</v>
      </c>
      <c r="BP15" s="2">
        <f t="shared" si="6"/>
        <v>1.973824455948186E-4</v>
      </c>
      <c r="BQ15" s="2">
        <f t="shared" si="7"/>
        <v>0.12708089750013921</v>
      </c>
      <c r="BR15" s="2">
        <f t="shared" si="8"/>
        <v>1.8326108734864838E-3</v>
      </c>
      <c r="BS15" s="2">
        <f t="shared" si="9"/>
        <v>1.2480150853513297</v>
      </c>
      <c r="BT15" s="2">
        <f t="shared" si="10"/>
        <v>2.5975655321671173E-3</v>
      </c>
      <c r="BU15" s="2">
        <f t="shared" si="11"/>
        <v>1.6134617292273243E-4</v>
      </c>
      <c r="BV15" s="2">
        <f t="shared" si="12"/>
        <v>0</v>
      </c>
      <c r="BW15" s="2">
        <f t="shared" si="13"/>
        <v>5.3552971922176829E-3</v>
      </c>
      <c r="BY15" s="2">
        <f t="shared" si="14"/>
        <v>0.67739626849524825</v>
      </c>
      <c r="BZ15" s="2">
        <f t="shared" si="14"/>
        <v>3.7563388217617228E-4</v>
      </c>
      <c r="CA15" s="2">
        <f t="shared" si="15"/>
        <v>1.3676040342999803E-3</v>
      </c>
      <c r="CB15" s="2">
        <f t="shared" si="15"/>
        <v>3.947648911896372E-4</v>
      </c>
      <c r="CC15" s="2">
        <f t="shared" si="16"/>
        <v>0.12708089750013921</v>
      </c>
      <c r="CD15" s="2">
        <f t="shared" si="16"/>
        <v>1.8326108734864838E-3</v>
      </c>
      <c r="CE15" s="2">
        <f t="shared" si="16"/>
        <v>1.2480150853513297</v>
      </c>
      <c r="CF15" s="2">
        <f t="shared" si="16"/>
        <v>2.5975655321671173E-3</v>
      </c>
      <c r="CG15" s="2">
        <f t="shared" si="17"/>
        <v>3.2269234584546486E-4</v>
      </c>
      <c r="CH15" s="2">
        <f t="shared" si="17"/>
        <v>0</v>
      </c>
      <c r="CI15" s="2">
        <f>BW15</f>
        <v>5.3552971922176829E-3</v>
      </c>
      <c r="CK15" s="2">
        <f t="shared" si="18"/>
        <v>1.3547925369904965</v>
      </c>
      <c r="CL15" s="2">
        <f t="shared" si="18"/>
        <v>7.5126776435234456E-4</v>
      </c>
      <c r="CM15" s="2">
        <f t="shared" si="19"/>
        <v>2.0514060514499706E-3</v>
      </c>
      <c r="CN15" s="2">
        <f t="shared" si="19"/>
        <v>5.921473367844558E-4</v>
      </c>
      <c r="CO15" s="2">
        <f t="shared" si="20"/>
        <v>0.12708089750013921</v>
      </c>
      <c r="CP15" s="2">
        <f t="shared" si="20"/>
        <v>1.8326108734864838E-3</v>
      </c>
      <c r="CQ15" s="2">
        <f t="shared" si="20"/>
        <v>1.2480150853513297</v>
      </c>
      <c r="CR15" s="2">
        <f t="shared" si="20"/>
        <v>2.5975655321671173E-3</v>
      </c>
      <c r="CS15" s="2">
        <f t="shared" si="20"/>
        <v>1.6134617292273243E-4</v>
      </c>
      <c r="CT15" s="2">
        <f t="shared" si="20"/>
        <v>0</v>
      </c>
      <c r="CU15" s="2">
        <f t="shared" si="20"/>
        <v>5.3552971922176829E-3</v>
      </c>
      <c r="CW15" s="14">
        <f>SUM(CK15:CU15)</f>
        <v>2.7432301607653464</v>
      </c>
      <c r="CY15" s="14">
        <f>4/CW15</f>
        <v>1.4581350326375901</v>
      </c>
      <c r="DA15" s="16">
        <f t="shared" si="21"/>
        <v>0.98773523007090058</v>
      </c>
      <c r="DB15" s="16">
        <f t="shared" si="21"/>
        <v>5.4772492304673765E-4</v>
      </c>
      <c r="DC15" s="16">
        <f t="shared" si="21"/>
        <v>1.9941513531893016E-3</v>
      </c>
      <c r="DD15" s="16">
        <f t="shared" si="21"/>
        <v>5.7562051749897639E-4</v>
      </c>
      <c r="DE15" s="16">
        <f t="shared" si="21"/>
        <v>0.18530110862397972</v>
      </c>
      <c r="DF15" s="16">
        <f t="shared" si="21"/>
        <v>2.6721941158232166E-3</v>
      </c>
      <c r="DG15" s="16">
        <f t="shared" si="21"/>
        <v>1.8197745172109658</v>
      </c>
      <c r="DH15" s="16">
        <f t="shared" si="21"/>
        <v>3.7876013020247787E-3</v>
      </c>
      <c r="DI15" s="16">
        <f t="shared" si="21"/>
        <v>4.7052901424127745E-4</v>
      </c>
      <c r="DJ15" s="16">
        <f t="shared" si="21"/>
        <v>0</v>
      </c>
      <c r="DK15" s="16">
        <f t="shared" si="21"/>
        <v>7.8087464461583257E-3</v>
      </c>
      <c r="DL15" s="16">
        <f t="shared" si="22"/>
        <v>0.90758398025669618</v>
      </c>
      <c r="DN15" s="2">
        <f t="shared" si="23"/>
        <v>0.86546943394970288</v>
      </c>
      <c r="DO15" s="2">
        <f t="shared" si="24"/>
        <v>8.7647905841106866E-3</v>
      </c>
      <c r="DP15" s="2">
        <f t="shared" si="25"/>
        <v>4.9038801630095274E-2</v>
      </c>
      <c r="DQ15" s="2">
        <f t="shared" si="26"/>
        <v>8.8822100517668371E-3</v>
      </c>
      <c r="DR15" s="2">
        <f t="shared" si="27"/>
        <v>4.3149045153387904E-2</v>
      </c>
      <c r="DS15" s="2">
        <f t="shared" si="28"/>
        <v>1.4097006719126799E-3</v>
      </c>
      <c r="DT15" s="2">
        <f t="shared" si="29"/>
        <v>0.40194521635569669</v>
      </c>
      <c r="DU15" s="2">
        <f t="shared" si="30"/>
        <v>0.35486919771029113</v>
      </c>
      <c r="DV15" s="2">
        <f t="shared" si="31"/>
        <v>2.1943079517491609E-2</v>
      </c>
      <c r="DW15" s="2">
        <f t="shared" si="32"/>
        <v>1.061620712644752E-4</v>
      </c>
      <c r="DX15" s="2">
        <f t="shared" si="33"/>
        <v>4.0164728941632618E-4</v>
      </c>
      <c r="DZ15" s="2">
        <f t="shared" ref="DZ15:EA59" si="49">DN15*2</f>
        <v>1.7309388678994058</v>
      </c>
      <c r="EA15" s="2">
        <f t="shared" si="49"/>
        <v>1.7529581168221373E-2</v>
      </c>
      <c r="EB15" s="2">
        <f t="shared" si="34"/>
        <v>0.14711640489028582</v>
      </c>
      <c r="EC15" s="2">
        <f t="shared" si="34"/>
        <v>2.6646630155300513E-2</v>
      </c>
      <c r="ED15" s="2">
        <f t="shared" si="35"/>
        <v>4.3149045153387904E-2</v>
      </c>
      <c r="EE15" s="2">
        <f t="shared" si="35"/>
        <v>1.4097006719126799E-3</v>
      </c>
      <c r="EF15" s="2">
        <f t="shared" si="35"/>
        <v>0.40194521635569669</v>
      </c>
      <c r="EG15" s="2">
        <f t="shared" si="35"/>
        <v>0.35486919771029113</v>
      </c>
      <c r="EH15" s="2">
        <f t="shared" si="35"/>
        <v>2.1943079517491609E-2</v>
      </c>
      <c r="EI15" s="2">
        <f t="shared" si="35"/>
        <v>1.061620712644752E-4</v>
      </c>
      <c r="EJ15" s="2">
        <f t="shared" si="35"/>
        <v>4.0164728941632618E-4</v>
      </c>
      <c r="EL15" s="16">
        <f>SUM(DZ15:EJ15)</f>
        <v>2.7460555328826741</v>
      </c>
      <c r="EN15" s="14">
        <f>6/EL15</f>
        <v>2.1849521716341602</v>
      </c>
      <c r="EP15" s="16">
        <f t="shared" si="36"/>
        <v>1.8910093191913908</v>
      </c>
      <c r="EQ15" s="16">
        <f t="shared" si="36"/>
        <v>1.9150648220671286E-2</v>
      </c>
      <c r="ER15" s="16">
        <f t="shared" si="37"/>
        <v>0.21429487223202692</v>
      </c>
      <c r="ES15" s="16">
        <f t="shared" si="37"/>
        <v>3.8814408283037435E-2</v>
      </c>
      <c r="ET15" s="16">
        <f t="shared" si="38"/>
        <v>9.4278599911835334E-2</v>
      </c>
      <c r="EU15" s="16">
        <f t="shared" si="38"/>
        <v>3.0801285444497445E-3</v>
      </c>
      <c r="EV15" s="16">
        <f t="shared" si="38"/>
        <v>0.87823107335434181</v>
      </c>
      <c r="EW15" s="16">
        <f t="shared" si="38"/>
        <v>0.77537222418317275</v>
      </c>
      <c r="EX15" s="16">
        <f t="shared" si="39"/>
        <v>9.5889158488168702E-2</v>
      </c>
      <c r="EY15" s="16">
        <f t="shared" si="39"/>
        <v>4.6391809630899112E-4</v>
      </c>
      <c r="EZ15" s="16">
        <f>DX15*$EN15</f>
        <v>8.7758011724117595E-4</v>
      </c>
      <c r="FB15" s="14">
        <f t="shared" si="40"/>
        <v>-5.3216102864329926</v>
      </c>
      <c r="FC15" s="4">
        <f t="shared" si="41"/>
        <v>3.294979400586441</v>
      </c>
      <c r="FD15" s="4">
        <f t="shared" si="42"/>
        <v>1.210207368977974</v>
      </c>
      <c r="FE15" s="4">
        <f t="shared" si="43"/>
        <v>3.294979400586441</v>
      </c>
      <c r="FG15" s="4">
        <f t="shared" si="44"/>
        <v>2.8546910105911545</v>
      </c>
    </row>
    <row r="16" spans="1:243" x14ac:dyDescent="0.2">
      <c r="A16" s="56" t="s">
        <v>129</v>
      </c>
      <c r="B16" s="57" t="s">
        <v>132</v>
      </c>
      <c r="C16" s="138">
        <v>40.65</v>
      </c>
      <c r="D16" s="98">
        <v>0.01</v>
      </c>
      <c r="E16" s="148">
        <f t="shared" si="45"/>
        <v>4.3646170709560249E-2</v>
      </c>
      <c r="F16" s="138">
        <v>0.04</v>
      </c>
      <c r="G16" s="138">
        <v>8.93</v>
      </c>
      <c r="H16" s="138">
        <v>0.12</v>
      </c>
      <c r="I16" s="138">
        <v>50.45</v>
      </c>
      <c r="J16" s="150">
        <f t="shared" si="46"/>
        <v>6.1502774029608041E-2</v>
      </c>
      <c r="K16" s="98">
        <v>0.02</v>
      </c>
      <c r="L16" s="98">
        <v>0.01</v>
      </c>
      <c r="M16" s="138">
        <v>0.41</v>
      </c>
      <c r="N16" s="141">
        <v>231</v>
      </c>
      <c r="O16" s="142">
        <v>439.55778261294853</v>
      </c>
      <c r="P16" s="11"/>
      <c r="Q16" s="140">
        <v>52.3</v>
      </c>
      <c r="R16" s="140">
        <v>0.42</v>
      </c>
      <c r="S16" s="140">
        <v>5.31</v>
      </c>
      <c r="T16" s="140">
        <v>1.47</v>
      </c>
      <c r="U16" s="140">
        <v>3.03</v>
      </c>
      <c r="V16" s="140">
        <v>0.06</v>
      </c>
      <c r="W16" s="140">
        <v>16.350000000000001</v>
      </c>
      <c r="X16" s="140">
        <v>19.05</v>
      </c>
      <c r="Y16" s="140">
        <v>1.69</v>
      </c>
      <c r="Z16" s="100">
        <v>0.01</v>
      </c>
      <c r="AA16" s="140">
        <v>0.04</v>
      </c>
      <c r="AC16" s="139">
        <v>35.35</v>
      </c>
      <c r="AD16" s="139">
        <v>31.35</v>
      </c>
      <c r="AE16" s="11"/>
      <c r="AF16" s="83">
        <f t="shared" ref="AF16:AF59" si="50">AD16/151.9892/(AD16/151.9892+AC16/101.9601)</f>
        <v>0.37301311799251241</v>
      </c>
      <c r="AG16" s="22">
        <f t="shared" si="0"/>
        <v>1.2346865830144341E-3</v>
      </c>
      <c r="AH16" s="126">
        <f t="shared" si="47"/>
        <v>1173.7807998021513</v>
      </c>
      <c r="AI16" s="126">
        <f t="shared" si="1"/>
        <v>1173.7800955103623</v>
      </c>
      <c r="AJ16" s="126">
        <f t="shared" si="2"/>
        <v>7.0429178890663025E-4</v>
      </c>
      <c r="AK16" s="12"/>
      <c r="AL16" s="25">
        <f t="shared" si="48"/>
        <v>3.7706550842597593</v>
      </c>
      <c r="AN16" s="2">
        <v>15.999000000000001</v>
      </c>
      <c r="AO16" s="2">
        <v>28.085000000000001</v>
      </c>
      <c r="AP16" s="2">
        <v>47.866999999999997</v>
      </c>
      <c r="AQ16" s="2">
        <v>26.9815386</v>
      </c>
      <c r="AR16" s="2">
        <v>51.996099999999998</v>
      </c>
      <c r="AS16" s="2">
        <v>55.844999999999999</v>
      </c>
      <c r="AT16" s="2">
        <v>54.938045000000002</v>
      </c>
      <c r="AU16" s="2">
        <v>24.305</v>
      </c>
      <c r="AV16" s="2">
        <v>40.078000000000003</v>
      </c>
      <c r="AW16" s="2">
        <v>22.989769280000001</v>
      </c>
      <c r="AX16" s="2">
        <v>39.098300000000002</v>
      </c>
      <c r="AY16" s="2">
        <v>58.693399999999997</v>
      </c>
      <c r="BA16" s="2">
        <f>AN16*2+AO16</f>
        <v>60.082999999999998</v>
      </c>
      <c r="BB16" s="2">
        <f>AN16*2+AP16</f>
        <v>79.864999999999995</v>
      </c>
      <c r="BC16" s="2">
        <f>AQ16*2+AN16*3</f>
        <v>101.9600772</v>
      </c>
      <c r="BD16" s="2">
        <f>AR16*2+AN16*3</f>
        <v>151.98919999999998</v>
      </c>
      <c r="BE16" s="2">
        <f>AS16+AN16</f>
        <v>71.843999999999994</v>
      </c>
      <c r="BF16" s="2">
        <f>AT16+AN16</f>
        <v>70.937044999999998</v>
      </c>
      <c r="BG16" s="2">
        <f>AU16+AN16</f>
        <v>40.304000000000002</v>
      </c>
      <c r="BH16" s="2">
        <f>AV16+AN16</f>
        <v>56.077000000000005</v>
      </c>
      <c r="BI16" s="2">
        <f>AW16*2+AN16</f>
        <v>61.978538560000004</v>
      </c>
      <c r="BJ16" s="2">
        <f>AX16*2+AN16</f>
        <v>94.195599999999999</v>
      </c>
      <c r="BK16" s="2">
        <f>AY16+AN16</f>
        <v>74.692399999999992</v>
      </c>
      <c r="BM16" s="2">
        <f t="shared" si="3"/>
        <v>0.67656408634721965</v>
      </c>
      <c r="BN16" s="2">
        <f t="shared" si="4"/>
        <v>1.2521129405872411E-4</v>
      </c>
      <c r="BO16" s="2">
        <f t="shared" si="5"/>
        <v>4.2807118146787992E-4</v>
      </c>
      <c r="BP16" s="2">
        <f t="shared" si="6"/>
        <v>2.6317659412642482E-4</v>
      </c>
      <c r="BQ16" s="2">
        <f t="shared" si="7"/>
        <v>0.12429708813540449</v>
      </c>
      <c r="BR16" s="2">
        <f t="shared" si="8"/>
        <v>1.6916408062952156E-3</v>
      </c>
      <c r="BS16" s="2">
        <f t="shared" si="9"/>
        <v>1.2517368003175864</v>
      </c>
      <c r="BT16" s="2">
        <f t="shared" si="10"/>
        <v>1.0967557827559968E-3</v>
      </c>
      <c r="BU16" s="2">
        <f t="shared" si="11"/>
        <v>3.2269234584546486E-4</v>
      </c>
      <c r="BV16" s="2">
        <f t="shared" si="12"/>
        <v>1.061620712644752E-4</v>
      </c>
      <c r="BW16" s="2">
        <f t="shared" si="13"/>
        <v>5.4891796220231243E-3</v>
      </c>
      <c r="BY16" s="2">
        <f t="shared" si="14"/>
        <v>0.67656408634721965</v>
      </c>
      <c r="BZ16" s="2">
        <f t="shared" si="14"/>
        <v>1.2521129405872411E-4</v>
      </c>
      <c r="CA16" s="2">
        <f t="shared" si="15"/>
        <v>8.5614236293575985E-4</v>
      </c>
      <c r="CB16" s="2">
        <f t="shared" si="15"/>
        <v>5.2635318825284964E-4</v>
      </c>
      <c r="CC16" s="2">
        <f t="shared" si="16"/>
        <v>0.12429708813540449</v>
      </c>
      <c r="CD16" s="2">
        <f t="shared" si="16"/>
        <v>1.6916408062952156E-3</v>
      </c>
      <c r="CE16" s="2">
        <f t="shared" si="16"/>
        <v>1.2517368003175864</v>
      </c>
      <c r="CF16" s="2">
        <f t="shared" si="16"/>
        <v>1.0967557827559968E-3</v>
      </c>
      <c r="CG16" s="2">
        <f t="shared" si="17"/>
        <v>6.4538469169092972E-4</v>
      </c>
      <c r="CH16" s="2">
        <f t="shared" si="17"/>
        <v>2.123241425289504E-4</v>
      </c>
      <c r="CI16" s="2">
        <f>BW16</f>
        <v>5.4891796220231243E-3</v>
      </c>
      <c r="CK16" s="2">
        <f t="shared" si="18"/>
        <v>1.3531281726944393</v>
      </c>
      <c r="CL16" s="2">
        <f t="shared" si="18"/>
        <v>2.5042258811744822E-4</v>
      </c>
      <c r="CM16" s="2">
        <f t="shared" si="19"/>
        <v>1.2842135444036398E-3</v>
      </c>
      <c r="CN16" s="2">
        <f t="shared" si="19"/>
        <v>7.895297823792744E-4</v>
      </c>
      <c r="CO16" s="2">
        <f t="shared" si="20"/>
        <v>0.12429708813540449</v>
      </c>
      <c r="CP16" s="2">
        <f t="shared" si="20"/>
        <v>1.6916408062952156E-3</v>
      </c>
      <c r="CQ16" s="2">
        <f t="shared" si="20"/>
        <v>1.2517368003175864</v>
      </c>
      <c r="CR16" s="2">
        <f t="shared" si="20"/>
        <v>1.0967557827559968E-3</v>
      </c>
      <c r="CS16" s="2">
        <f t="shared" si="20"/>
        <v>3.2269234584546486E-4</v>
      </c>
      <c r="CT16" s="2">
        <f t="shared" si="20"/>
        <v>1.061620712644752E-4</v>
      </c>
      <c r="CU16" s="2">
        <f t="shared" si="20"/>
        <v>5.4891796220231243E-3</v>
      </c>
      <c r="CW16" s="14">
        <f>SUM(CK16:CU16)</f>
        <v>2.7401926576905145</v>
      </c>
      <c r="CY16" s="14">
        <f>4/CW16</f>
        <v>1.4597513750625384</v>
      </c>
      <c r="DA16" s="16">
        <f t="shared" si="21"/>
        <v>0.98761535536328382</v>
      </c>
      <c r="DB16" s="16">
        <f t="shared" si="21"/>
        <v>1.8277735867558236E-4</v>
      </c>
      <c r="DC16" s="16">
        <f t="shared" si="21"/>
        <v>1.2497549915447663E-3</v>
      </c>
      <c r="DD16" s="16">
        <f t="shared" si="21"/>
        <v>7.6834479032064835E-4</v>
      </c>
      <c r="DE16" s="16">
        <f t="shared" si="21"/>
        <v>0.18144284532192623</v>
      </c>
      <c r="DF16" s="16">
        <f t="shared" si="21"/>
        <v>2.4693749931013419E-3</v>
      </c>
      <c r="DG16" s="16">
        <f t="shared" si="21"/>
        <v>1.8272245154799787</v>
      </c>
      <c r="DH16" s="16">
        <f t="shared" si="21"/>
        <v>1.6009907619858568E-3</v>
      </c>
      <c r="DI16" s="16">
        <f t="shared" si="21"/>
        <v>9.421011911401471E-4</v>
      </c>
      <c r="DJ16" s="16">
        <f t="shared" si="21"/>
        <v>3.0994045901560973E-4</v>
      </c>
      <c r="DK16" s="16">
        <f t="shared" si="21"/>
        <v>8.0128375012135204E-3</v>
      </c>
      <c r="DL16" s="16">
        <f t="shared" si="22"/>
        <v>0.90967003852270989</v>
      </c>
      <c r="DN16" s="2">
        <f t="shared" si="23"/>
        <v>0.87046252683787428</v>
      </c>
      <c r="DO16" s="2">
        <f t="shared" si="24"/>
        <v>5.2588743504664122E-3</v>
      </c>
      <c r="DP16" s="2">
        <f t="shared" si="25"/>
        <v>5.2079207331161177E-2</v>
      </c>
      <c r="DQ16" s="2">
        <f t="shared" si="26"/>
        <v>9.6717398341461119E-3</v>
      </c>
      <c r="DR16" s="2">
        <f t="shared" si="27"/>
        <v>4.2174711875730748E-2</v>
      </c>
      <c r="DS16" s="2">
        <f t="shared" si="28"/>
        <v>8.458204031476078E-4</v>
      </c>
      <c r="DT16" s="2">
        <f t="shared" si="29"/>
        <v>0.40566693132195319</v>
      </c>
      <c r="DU16" s="2">
        <f t="shared" si="30"/>
        <v>0.33971146815985159</v>
      </c>
      <c r="DV16" s="2">
        <f t="shared" si="31"/>
        <v>2.7267503223941777E-2</v>
      </c>
      <c r="DW16" s="2">
        <f t="shared" si="32"/>
        <v>1.061620712644752E-4</v>
      </c>
      <c r="DX16" s="2">
        <f t="shared" si="33"/>
        <v>5.3552971922176827E-4</v>
      </c>
      <c r="DZ16" s="2">
        <f t="shared" si="49"/>
        <v>1.7409250536757486</v>
      </c>
      <c r="EA16" s="2">
        <f t="shared" si="49"/>
        <v>1.0517748700932824E-2</v>
      </c>
      <c r="EB16" s="2">
        <f t="shared" si="34"/>
        <v>0.15623762199348354</v>
      </c>
      <c r="EC16" s="2">
        <f t="shared" si="34"/>
        <v>2.9015219502438336E-2</v>
      </c>
      <c r="ED16" s="2">
        <f t="shared" si="35"/>
        <v>4.2174711875730748E-2</v>
      </c>
      <c r="EE16" s="2">
        <f t="shared" si="35"/>
        <v>8.458204031476078E-4</v>
      </c>
      <c r="EF16" s="2">
        <f t="shared" si="35"/>
        <v>0.40566693132195319</v>
      </c>
      <c r="EG16" s="2">
        <f t="shared" si="35"/>
        <v>0.33971146815985159</v>
      </c>
      <c r="EH16" s="2">
        <f t="shared" si="35"/>
        <v>2.7267503223941777E-2</v>
      </c>
      <c r="EI16" s="2">
        <f t="shared" si="35"/>
        <v>1.061620712644752E-4</v>
      </c>
      <c r="EJ16" s="2">
        <f t="shared" si="35"/>
        <v>5.3552971922176827E-4</v>
      </c>
      <c r="EL16" s="16">
        <f>SUM(DZ16:EJ16)</f>
        <v>2.7530037706477142</v>
      </c>
      <c r="EN16" s="14">
        <f>6/EL16</f>
        <v>2.1794376251756269</v>
      </c>
      <c r="EP16" s="16">
        <f t="shared" si="36"/>
        <v>1.8971187822959121</v>
      </c>
      <c r="EQ16" s="16">
        <f t="shared" si="36"/>
        <v>1.1461388625477536E-2</v>
      </c>
      <c r="ER16" s="16">
        <f t="shared" si="37"/>
        <v>0.22700676789371002</v>
      </c>
      <c r="ES16" s="16">
        <f t="shared" si="37"/>
        <v>4.2157907390895824E-2</v>
      </c>
      <c r="ET16" s="16">
        <f t="shared" si="38"/>
        <v>9.1917153892908929E-2</v>
      </c>
      <c r="EU16" s="16">
        <f t="shared" si="38"/>
        <v>1.8434128107611136E-3</v>
      </c>
      <c r="EV16" s="16">
        <f t="shared" si="38"/>
        <v>0.88412577341260179</v>
      </c>
      <c r="EW16" s="16">
        <f t="shared" si="38"/>
        <v>0.74037995541123258</v>
      </c>
      <c r="EX16" s="16">
        <f t="shared" si="39"/>
        <v>0.11885564494171283</v>
      </c>
      <c r="EY16" s="16">
        <f t="shared" si="39"/>
        <v>4.6274722496074698E-4</v>
      </c>
      <c r="EZ16" s="16">
        <f>DX16*$EN16</f>
        <v>1.1671536194716608E-3</v>
      </c>
      <c r="FB16" s="14">
        <f t="shared" si="40"/>
        <v>-6.1365408438391817</v>
      </c>
      <c r="FC16" s="4">
        <f t="shared" si="41"/>
        <v>3.7706550842597593</v>
      </c>
      <c r="FD16" s="4">
        <f t="shared" si="42"/>
        <v>3.0064787536836013</v>
      </c>
      <c r="FE16" s="4">
        <f t="shared" si="43"/>
        <v>3.7706550842597593</v>
      </c>
      <c r="FG16" s="4">
        <f t="shared" si="44"/>
        <v>4.119277806120472</v>
      </c>
    </row>
    <row r="17" spans="1:163" x14ac:dyDescent="0.2">
      <c r="A17" s="56" t="s">
        <v>130</v>
      </c>
      <c r="B17" s="57" t="s">
        <v>132</v>
      </c>
      <c r="C17" s="138">
        <v>40.65</v>
      </c>
      <c r="D17" s="98">
        <v>0.01</v>
      </c>
      <c r="E17" s="148">
        <f t="shared" ref="E17:E36" si="51">N17/(26.9815*10000)*101.9601/2</f>
        <v>4.2134615013991066E-2</v>
      </c>
      <c r="F17" s="138">
        <v>0.04</v>
      </c>
      <c r="G17" s="138">
        <v>8.31</v>
      </c>
      <c r="H17" s="138">
        <v>0.12</v>
      </c>
      <c r="I17" s="138">
        <v>50.5</v>
      </c>
      <c r="J17" s="150">
        <f t="shared" ref="J17:J36" si="52">O17/40.078*56.077/10000</f>
        <v>4.8887121521710472E-2</v>
      </c>
      <c r="K17" s="98">
        <v>0.01</v>
      </c>
      <c r="L17" s="98">
        <v>0.01</v>
      </c>
      <c r="M17" s="138">
        <v>0.42</v>
      </c>
      <c r="N17" s="141">
        <v>223</v>
      </c>
      <c r="O17" s="142">
        <v>349.39423584484058</v>
      </c>
      <c r="P17" s="11"/>
      <c r="Q17" s="140">
        <v>51.6</v>
      </c>
      <c r="R17" s="140">
        <v>0.56000000000000005</v>
      </c>
      <c r="S17" s="140">
        <v>6.24</v>
      </c>
      <c r="T17" s="140">
        <v>1.36</v>
      </c>
      <c r="U17" s="140">
        <v>2.77</v>
      </c>
      <c r="V17" s="140">
        <v>0.08</v>
      </c>
      <c r="W17" s="140">
        <v>15.75</v>
      </c>
      <c r="X17" s="140">
        <v>19</v>
      </c>
      <c r="Y17" s="140">
        <v>1.87</v>
      </c>
      <c r="Z17" s="100">
        <v>0.01</v>
      </c>
      <c r="AA17" s="140">
        <v>0.04</v>
      </c>
      <c r="AC17" s="139">
        <v>46.4</v>
      </c>
      <c r="AD17" s="139">
        <v>20.190000000000001</v>
      </c>
      <c r="AE17" s="11"/>
      <c r="AF17" s="83">
        <f t="shared" ref="AF17:AF36" si="53">AD17/151.9892/(AD17/151.9892+AC17/101.9601)</f>
        <v>0.22594699228513551</v>
      </c>
      <c r="AG17" s="22">
        <f t="shared" si="0"/>
        <v>9.080735994394626E-4</v>
      </c>
      <c r="AH17" s="126">
        <f t="shared" ref="AH17:AH36" si="54">10000/(0.575+0.884*AF17-0.897*LN(AG17))-273</f>
        <v>1143.9341084173186</v>
      </c>
      <c r="AI17" s="126">
        <f t="shared" si="1"/>
        <v>1143.9341060299912</v>
      </c>
      <c r="AJ17" s="126">
        <f t="shared" si="2"/>
        <v>2.3873274130892241E-6</v>
      </c>
      <c r="AK17" s="12"/>
      <c r="AL17" s="25">
        <f t="shared" ref="AL17:AL36" si="55">FE17</f>
        <v>3.8280465548997724</v>
      </c>
      <c r="AN17" s="2">
        <v>15.999000000000001</v>
      </c>
      <c r="AO17" s="2">
        <v>28.085000000000001</v>
      </c>
      <c r="AP17" s="2">
        <v>47.866999999999997</v>
      </c>
      <c r="AQ17" s="2">
        <v>26.9815386</v>
      </c>
      <c r="AR17" s="2">
        <v>51.996099999999998</v>
      </c>
      <c r="AS17" s="2">
        <v>55.844999999999999</v>
      </c>
      <c r="AT17" s="2">
        <v>54.938045000000002</v>
      </c>
      <c r="AU17" s="2">
        <v>24.305</v>
      </c>
      <c r="AV17" s="2">
        <v>40.078000000000003</v>
      </c>
      <c r="AW17" s="2">
        <v>22.989769280000001</v>
      </c>
      <c r="AX17" s="2">
        <v>39.098300000000002</v>
      </c>
      <c r="AY17" s="2">
        <v>58.693399999999997</v>
      </c>
      <c r="BA17" s="2">
        <f t="shared" ref="BA17:BA36" si="56">AN17*2+AO17</f>
        <v>60.082999999999998</v>
      </c>
      <c r="BB17" s="2">
        <f t="shared" ref="BB17:BB36" si="57">AN17*2+AP17</f>
        <v>79.864999999999995</v>
      </c>
      <c r="BC17" s="2">
        <f t="shared" ref="BC17:BC36" si="58">AQ17*2+AN17*3</f>
        <v>101.9600772</v>
      </c>
      <c r="BD17" s="2">
        <f t="shared" ref="BD17:BD36" si="59">AR17*2+AN17*3</f>
        <v>151.98919999999998</v>
      </c>
      <c r="BE17" s="2">
        <f t="shared" ref="BE17:BE36" si="60">AS17+AN17</f>
        <v>71.843999999999994</v>
      </c>
      <c r="BF17" s="2">
        <f t="shared" ref="BF17:BF36" si="61">AT17+AN17</f>
        <v>70.937044999999998</v>
      </c>
      <c r="BG17" s="2">
        <f t="shared" ref="BG17:BG36" si="62">AU17+AN17</f>
        <v>40.304000000000002</v>
      </c>
      <c r="BH17" s="2">
        <f t="shared" ref="BH17:BH36" si="63">AV17+AN17</f>
        <v>56.077000000000005</v>
      </c>
      <c r="BI17" s="2">
        <f t="shared" ref="BI17:BI36" si="64">AW17*2+AN17</f>
        <v>61.978538560000004</v>
      </c>
      <c r="BJ17" s="2">
        <f t="shared" ref="BJ17:BJ36" si="65">AX17*2+AN17</f>
        <v>94.195599999999999</v>
      </c>
      <c r="BK17" s="2">
        <f t="shared" ref="BK17:BK36" si="66">AY17+AN17</f>
        <v>74.692399999999992</v>
      </c>
      <c r="BM17" s="2">
        <f t="shared" si="3"/>
        <v>0.67656408634721965</v>
      </c>
      <c r="BN17" s="2">
        <f t="shared" si="4"/>
        <v>1.2521129405872411E-4</v>
      </c>
      <c r="BO17" s="2">
        <f t="shared" si="5"/>
        <v>4.132462054863084E-4</v>
      </c>
      <c r="BP17" s="2">
        <f t="shared" si="6"/>
        <v>2.6317659412642482E-4</v>
      </c>
      <c r="BQ17" s="2">
        <f t="shared" si="7"/>
        <v>0.11566727910472692</v>
      </c>
      <c r="BR17" s="2">
        <f t="shared" si="8"/>
        <v>1.6916408062952156E-3</v>
      </c>
      <c r="BS17" s="2">
        <f t="shared" si="9"/>
        <v>1.2529773719730051</v>
      </c>
      <c r="BT17" s="2">
        <f t="shared" si="10"/>
        <v>8.7178560767713087E-4</v>
      </c>
      <c r="BU17" s="2">
        <f t="shared" si="11"/>
        <v>1.6134617292273243E-4</v>
      </c>
      <c r="BV17" s="2">
        <f t="shared" si="12"/>
        <v>1.061620712644752E-4</v>
      </c>
      <c r="BW17" s="2">
        <f t="shared" si="13"/>
        <v>5.6230620518285665E-3</v>
      </c>
      <c r="BY17" s="2">
        <f t="shared" ref="BY17:BY36" si="67">BM17</f>
        <v>0.67656408634721965</v>
      </c>
      <c r="BZ17" s="2">
        <f t="shared" ref="BZ17:BZ36" si="68">BN17</f>
        <v>1.2521129405872411E-4</v>
      </c>
      <c r="CA17" s="2">
        <f t="shared" ref="CA17:CA36" si="69">BO17*2</f>
        <v>8.2649241097261679E-4</v>
      </c>
      <c r="CB17" s="2">
        <f t="shared" ref="CB17:CB36" si="70">BP17*2</f>
        <v>5.2635318825284964E-4</v>
      </c>
      <c r="CC17" s="2">
        <f t="shared" ref="CC17:CC36" si="71">BQ17</f>
        <v>0.11566727910472692</v>
      </c>
      <c r="CD17" s="2">
        <f t="shared" ref="CD17:CD36" si="72">BR17</f>
        <v>1.6916408062952156E-3</v>
      </c>
      <c r="CE17" s="2">
        <f t="shared" ref="CE17:CE36" si="73">BS17</f>
        <v>1.2529773719730051</v>
      </c>
      <c r="CF17" s="2">
        <f t="shared" ref="CF17:CF36" si="74">BT17</f>
        <v>8.7178560767713087E-4</v>
      </c>
      <c r="CG17" s="2">
        <f t="shared" ref="CG17:CG36" si="75">BU17*2</f>
        <v>3.2269234584546486E-4</v>
      </c>
      <c r="CH17" s="2">
        <f t="shared" ref="CH17:CH36" si="76">BV17*2</f>
        <v>2.123241425289504E-4</v>
      </c>
      <c r="CI17" s="2">
        <f t="shared" ref="CI17:CI36" si="77">BW17</f>
        <v>5.6230620518285665E-3</v>
      </c>
      <c r="CK17" s="2">
        <f t="shared" ref="CK17:CK36" si="78">BM17*2</f>
        <v>1.3531281726944393</v>
      </c>
      <c r="CL17" s="2">
        <f t="shared" ref="CL17:CL36" si="79">BN17*2</f>
        <v>2.5042258811744822E-4</v>
      </c>
      <c r="CM17" s="2">
        <f t="shared" ref="CM17:CM36" si="80">BO17*3</f>
        <v>1.2397386164589251E-3</v>
      </c>
      <c r="CN17" s="2">
        <f t="shared" ref="CN17:CN36" si="81">BP17*3</f>
        <v>7.895297823792744E-4</v>
      </c>
      <c r="CO17" s="2">
        <f t="shared" ref="CO17:CO36" si="82">BQ17</f>
        <v>0.11566727910472692</v>
      </c>
      <c r="CP17" s="2">
        <f t="shared" ref="CP17:CP36" si="83">BR17</f>
        <v>1.6916408062952156E-3</v>
      </c>
      <c r="CQ17" s="2">
        <f t="shared" ref="CQ17:CQ36" si="84">BS17</f>
        <v>1.2529773719730051</v>
      </c>
      <c r="CR17" s="2">
        <f t="shared" ref="CR17:CR36" si="85">BT17</f>
        <v>8.7178560767713087E-4</v>
      </c>
      <c r="CS17" s="2">
        <f t="shared" ref="CS17:CS36" si="86">BU17</f>
        <v>1.6134617292273243E-4</v>
      </c>
      <c r="CT17" s="2">
        <f t="shared" ref="CT17:CT36" si="87">BV17</f>
        <v>1.061620712644752E-4</v>
      </c>
      <c r="CU17" s="2">
        <f t="shared" ref="CU17:CU36" si="88">BW17</f>
        <v>5.6230620518285665E-3</v>
      </c>
      <c r="CW17" s="14">
        <f t="shared" ref="CW17:CW36" si="89">SUM(CK17:CU17)</f>
        <v>2.7325065114691149</v>
      </c>
      <c r="CY17" s="14">
        <f t="shared" ref="CY17:CY36" si="90">4/CW17</f>
        <v>1.4638574448810462</v>
      </c>
      <c r="DA17" s="16">
        <f t="shared" ref="DA17:DA36" si="91">BY17*$CY17</f>
        <v>0.99039337473852052</v>
      </c>
      <c r="DB17" s="16">
        <f t="shared" ref="DB17:DB36" si="92">BZ17*$CY17</f>
        <v>1.8329148499105321E-4</v>
      </c>
      <c r="DC17" s="16">
        <f t="shared" ref="DC17:DC36" si="93">CA17*$CY17</f>
        <v>1.2098670689399504E-3</v>
      </c>
      <c r="DD17" s="16">
        <f t="shared" ref="DD17:DD36" si="94">CB17*$CY17</f>
        <v>7.7050603326080872E-4</v>
      </c>
      <c r="DE17" s="16">
        <f t="shared" ref="DE17:DE36" si="95">CC17*$CY17</f>
        <v>0.16932040764658837</v>
      </c>
      <c r="DF17" s="16">
        <f t="shared" ref="DF17:DF36" si="96">CD17*$CY17</f>
        <v>2.4763209883598273E-3</v>
      </c>
      <c r="DG17" s="16">
        <f t="shared" ref="DG17:DG36" si="97">CE17*$CY17</f>
        <v>1.8341802542301713</v>
      </c>
      <c r="DH17" s="16">
        <f t="shared" ref="DH17:DH36" si="98">CF17*$CY17</f>
        <v>1.2761698521383149E-3</v>
      </c>
      <c r="DI17" s="16">
        <f t="shared" ref="DI17:DI36" si="99">CG17*$CY17</f>
        <v>4.7237559287201307E-4</v>
      </c>
      <c r="DJ17" s="16">
        <f t="shared" ref="DJ17:DJ36" si="100">CH17*$CY17</f>
        <v>3.1081227676898842E-4</v>
      </c>
      <c r="DK17" s="16">
        <f t="shared" ref="DK17:DK36" si="101">CI17*$CY17</f>
        <v>8.231361247597338E-3</v>
      </c>
      <c r="DL17" s="16">
        <f t="shared" si="22"/>
        <v>0.91548772063395334</v>
      </c>
      <c r="DN17" s="2">
        <f t="shared" si="23"/>
        <v>0.85881197676547449</v>
      </c>
      <c r="DO17" s="2">
        <f t="shared" si="24"/>
        <v>7.0118324672885507E-3</v>
      </c>
      <c r="DP17" s="2">
        <f t="shared" si="25"/>
        <v>6.1200424434358906E-2</v>
      </c>
      <c r="DQ17" s="2">
        <f t="shared" si="26"/>
        <v>8.9480042002984435E-3</v>
      </c>
      <c r="DR17" s="2">
        <f t="shared" si="27"/>
        <v>3.855575970157564E-2</v>
      </c>
      <c r="DS17" s="2">
        <f t="shared" si="28"/>
        <v>1.1277605375301439E-3</v>
      </c>
      <c r="DT17" s="2">
        <f t="shared" si="29"/>
        <v>0.39078007145692734</v>
      </c>
      <c r="DU17" s="2">
        <f t="shared" si="30"/>
        <v>0.33881983700982576</v>
      </c>
      <c r="DV17" s="2">
        <f t="shared" si="31"/>
        <v>3.0171734336550966E-2</v>
      </c>
      <c r="DW17" s="2">
        <f t="shared" si="32"/>
        <v>1.061620712644752E-4</v>
      </c>
      <c r="DX17" s="2">
        <f t="shared" si="33"/>
        <v>5.3552971922176827E-4</v>
      </c>
      <c r="DZ17" s="2">
        <f t="shared" ref="DZ17:DZ36" si="102">DN17*2</f>
        <v>1.717623953530949</v>
      </c>
      <c r="EA17" s="2">
        <f t="shared" ref="EA17:EA36" si="103">DO17*2</f>
        <v>1.4023664934577101E-2</v>
      </c>
      <c r="EB17" s="2">
        <f t="shared" ref="EB17:EB36" si="104">DP17*3</f>
        <v>0.18360127330307671</v>
      </c>
      <c r="EC17" s="2">
        <f t="shared" ref="EC17:EC36" si="105">DQ17*3</f>
        <v>2.684401260089533E-2</v>
      </c>
      <c r="ED17" s="2">
        <f t="shared" ref="ED17:ED36" si="106">DR17</f>
        <v>3.855575970157564E-2</v>
      </c>
      <c r="EE17" s="2">
        <f t="shared" ref="EE17:EE36" si="107">DS17</f>
        <v>1.1277605375301439E-3</v>
      </c>
      <c r="EF17" s="2">
        <f t="shared" ref="EF17:EF36" si="108">DT17</f>
        <v>0.39078007145692734</v>
      </c>
      <c r="EG17" s="2">
        <f t="shared" ref="EG17:EG36" si="109">DU17</f>
        <v>0.33881983700982576</v>
      </c>
      <c r="EH17" s="2">
        <f t="shared" ref="EH17:EH36" si="110">DV17</f>
        <v>3.0171734336550966E-2</v>
      </c>
      <c r="EI17" s="2">
        <f t="shared" ref="EI17:EI36" si="111">DW17</f>
        <v>1.061620712644752E-4</v>
      </c>
      <c r="EJ17" s="2">
        <f t="shared" ref="EJ17:EJ36" si="112">DX17</f>
        <v>5.3552971922176827E-4</v>
      </c>
      <c r="EL17" s="16">
        <f t="shared" ref="EL17:EL36" si="113">SUM(DZ17:EJ17)</f>
        <v>2.7421897592023941</v>
      </c>
      <c r="EN17" s="14">
        <f t="shared" ref="EN17:EN36" si="114">6/EL17</f>
        <v>2.1880323853828365</v>
      </c>
      <c r="EP17" s="16">
        <f t="shared" ref="EP17:EP36" si="115">DN17*$EN17</f>
        <v>1.8791084181175104</v>
      </c>
      <c r="EQ17" s="16">
        <f t="shared" ref="EQ17:EQ36" si="116">DO17*$EN17</f>
        <v>1.5342116519306188E-2</v>
      </c>
      <c r="ER17" s="16">
        <f t="shared" ref="ER17:ER36" si="117">2*DP17*$EN17</f>
        <v>0.2678170213231047</v>
      </c>
      <c r="ES17" s="16">
        <f t="shared" ref="ES17:ES36" si="118">2*DQ17*$EN17</f>
        <v>3.9157045949589291E-2</v>
      </c>
      <c r="ET17" s="16">
        <f t="shared" ref="ET17:ET36" si="119">DR17*$EN17</f>
        <v>8.4361250870085988E-2</v>
      </c>
      <c r="EU17" s="16">
        <f t="shared" ref="EU17:EU36" si="120">DS17*$EN17</f>
        <v>2.4675765790727108E-3</v>
      </c>
      <c r="EV17" s="16">
        <f t="shared" ref="EV17:EV36" si="121">DT17*$EN17</f>
        <v>0.85503945190997599</v>
      </c>
      <c r="EW17" s="16">
        <f t="shared" ref="EW17:EW36" si="122">DU17*$EN17</f>
        <v>0.74134877618763295</v>
      </c>
      <c r="EX17" s="16">
        <f t="shared" ref="EX17:EX36" si="123">2*DV17*$EN17</f>
        <v>0.13203346370308169</v>
      </c>
      <c r="EY17" s="16">
        <f t="shared" ref="EY17:EY36" si="124">2*DW17*$EN17</f>
        <v>4.6457210005198472E-4</v>
      </c>
      <c r="EZ17" s="16">
        <f t="shared" ref="EZ17:EZ36" si="125">DX17*$EN17</f>
        <v>1.1717563689922063E-3</v>
      </c>
      <c r="FB17" s="14">
        <f t="shared" si="40"/>
        <v>-6.3646079086488347</v>
      </c>
      <c r="FC17" s="4">
        <f t="shared" si="41"/>
        <v>3.8280465548997724</v>
      </c>
      <c r="FD17" s="4">
        <f t="shared" si="42"/>
        <v>3.4236762281070683</v>
      </c>
      <c r="FE17" s="4">
        <f t="shared" si="43"/>
        <v>3.8280465548997724</v>
      </c>
      <c r="FG17" s="4">
        <f t="shared" si="44"/>
        <v>4.342443739773663</v>
      </c>
    </row>
    <row r="18" spans="1:163" x14ac:dyDescent="0.2">
      <c r="A18" s="56" t="s">
        <v>131</v>
      </c>
      <c r="B18" s="57" t="s">
        <v>132</v>
      </c>
      <c r="C18" s="138">
        <v>40.549999999999997</v>
      </c>
      <c r="D18" s="98">
        <v>0.02</v>
      </c>
      <c r="E18" s="148">
        <f t="shared" si="51"/>
        <v>6.4052172599744273E-2</v>
      </c>
      <c r="F18" s="138">
        <v>0.04</v>
      </c>
      <c r="G18" s="138">
        <v>12.55</v>
      </c>
      <c r="H18" s="138">
        <v>0.16</v>
      </c>
      <c r="I18" s="138">
        <v>47.3</v>
      </c>
      <c r="J18" s="150">
        <f t="shared" si="52"/>
        <v>0.10940807256517424</v>
      </c>
      <c r="K18" s="98">
        <v>0.02</v>
      </c>
      <c r="L18" s="98">
        <v>0.01</v>
      </c>
      <c r="M18" s="138">
        <v>0.37</v>
      </c>
      <c r="N18" s="141">
        <v>339</v>
      </c>
      <c r="O18" s="142">
        <v>781.93497017797915</v>
      </c>
      <c r="P18" s="11"/>
      <c r="Q18" s="140">
        <v>50.2</v>
      </c>
      <c r="R18" s="140">
        <v>1.3</v>
      </c>
      <c r="S18" s="140">
        <v>5.94</v>
      </c>
      <c r="T18" s="140">
        <v>1.27</v>
      </c>
      <c r="U18" s="140">
        <v>4.1500000000000004</v>
      </c>
      <c r="V18" s="140">
        <v>0.11</v>
      </c>
      <c r="W18" s="140">
        <v>15.15</v>
      </c>
      <c r="X18" s="140">
        <v>18.899999999999999</v>
      </c>
      <c r="Y18" s="140">
        <v>1.56</v>
      </c>
      <c r="Z18" s="100"/>
      <c r="AA18" s="140">
        <v>0.06</v>
      </c>
      <c r="AC18" s="139">
        <v>35.950000000000003</v>
      </c>
      <c r="AD18" s="139">
        <v>25.56</v>
      </c>
      <c r="AE18" s="11"/>
      <c r="AF18" s="83">
        <f t="shared" si="53"/>
        <v>0.32293234462978504</v>
      </c>
      <c r="AG18" s="22">
        <f t="shared" si="0"/>
        <v>1.7817016022181995E-3</v>
      </c>
      <c r="AH18" s="126">
        <f t="shared" si="54"/>
        <v>1256.3678216514293</v>
      </c>
      <c r="AI18" s="126">
        <f t="shared" si="1"/>
        <v>1256.3676652417821</v>
      </c>
      <c r="AJ18" s="126">
        <f t="shared" si="2"/>
        <v>1.5640964716112649E-4</v>
      </c>
      <c r="AK18" s="12"/>
      <c r="AL18" s="25">
        <f t="shared" si="55"/>
        <v>3.6358801782239807</v>
      </c>
      <c r="AN18" s="2">
        <v>15.999000000000001</v>
      </c>
      <c r="AO18" s="2">
        <v>28.085000000000001</v>
      </c>
      <c r="AP18" s="2">
        <v>47.866999999999997</v>
      </c>
      <c r="AQ18" s="2">
        <v>26.9815386</v>
      </c>
      <c r="AR18" s="2">
        <v>51.996099999999998</v>
      </c>
      <c r="AS18" s="2">
        <v>55.844999999999999</v>
      </c>
      <c r="AT18" s="2">
        <v>54.938045000000002</v>
      </c>
      <c r="AU18" s="2">
        <v>24.305</v>
      </c>
      <c r="AV18" s="2">
        <v>40.078000000000003</v>
      </c>
      <c r="AW18" s="2">
        <v>22.989769280000001</v>
      </c>
      <c r="AX18" s="2">
        <v>39.098300000000002</v>
      </c>
      <c r="AY18" s="2">
        <v>58.693399999999997</v>
      </c>
      <c r="BA18" s="2">
        <f t="shared" si="56"/>
        <v>60.082999999999998</v>
      </c>
      <c r="BB18" s="2">
        <f t="shared" si="57"/>
        <v>79.864999999999995</v>
      </c>
      <c r="BC18" s="2">
        <f t="shared" si="58"/>
        <v>101.9600772</v>
      </c>
      <c r="BD18" s="2">
        <f t="shared" si="59"/>
        <v>151.98919999999998</v>
      </c>
      <c r="BE18" s="2">
        <f t="shared" si="60"/>
        <v>71.843999999999994</v>
      </c>
      <c r="BF18" s="2">
        <f t="shared" si="61"/>
        <v>70.937044999999998</v>
      </c>
      <c r="BG18" s="2">
        <f t="shared" si="62"/>
        <v>40.304000000000002</v>
      </c>
      <c r="BH18" s="2">
        <f t="shared" si="63"/>
        <v>56.077000000000005</v>
      </c>
      <c r="BI18" s="2">
        <f t="shared" si="64"/>
        <v>61.978538560000004</v>
      </c>
      <c r="BJ18" s="2">
        <f t="shared" si="65"/>
        <v>94.195599999999999</v>
      </c>
      <c r="BK18" s="2">
        <f t="shared" si="66"/>
        <v>74.692399999999992</v>
      </c>
      <c r="BM18" s="2">
        <f t="shared" si="3"/>
        <v>0.67489972205116255</v>
      </c>
      <c r="BN18" s="2">
        <f t="shared" si="4"/>
        <v>2.5042258811744822E-4</v>
      </c>
      <c r="BO18" s="2">
        <f t="shared" si="5"/>
        <v>6.2820835721909664E-4</v>
      </c>
      <c r="BP18" s="2">
        <f t="shared" si="6"/>
        <v>2.6317659412642482E-4</v>
      </c>
      <c r="BQ18" s="2">
        <f t="shared" si="7"/>
        <v>0.17468403763710263</v>
      </c>
      <c r="BR18" s="2">
        <f t="shared" si="8"/>
        <v>2.2555210750602878E-3</v>
      </c>
      <c r="BS18" s="2">
        <f t="shared" si="9"/>
        <v>1.1735807860262006</v>
      </c>
      <c r="BT18" s="2">
        <f t="shared" si="10"/>
        <v>1.9510329112679748E-3</v>
      </c>
      <c r="BU18" s="2">
        <f t="shared" si="11"/>
        <v>3.2269234584546486E-4</v>
      </c>
      <c r="BV18" s="2">
        <f t="shared" si="12"/>
        <v>1.061620712644752E-4</v>
      </c>
      <c r="BW18" s="2">
        <f t="shared" si="13"/>
        <v>4.9536499028013563E-3</v>
      </c>
      <c r="BY18" s="2">
        <f t="shared" si="67"/>
        <v>0.67489972205116255</v>
      </c>
      <c r="BZ18" s="2">
        <f t="shared" si="68"/>
        <v>2.5042258811744822E-4</v>
      </c>
      <c r="CA18" s="2">
        <f t="shared" si="69"/>
        <v>1.2564167144381933E-3</v>
      </c>
      <c r="CB18" s="2">
        <f t="shared" si="70"/>
        <v>5.2635318825284964E-4</v>
      </c>
      <c r="CC18" s="2">
        <f t="shared" si="71"/>
        <v>0.17468403763710263</v>
      </c>
      <c r="CD18" s="2">
        <f t="shared" si="72"/>
        <v>2.2555210750602878E-3</v>
      </c>
      <c r="CE18" s="2">
        <f t="shared" si="73"/>
        <v>1.1735807860262006</v>
      </c>
      <c r="CF18" s="2">
        <f t="shared" si="74"/>
        <v>1.9510329112679748E-3</v>
      </c>
      <c r="CG18" s="2">
        <f t="shared" si="75"/>
        <v>6.4538469169092972E-4</v>
      </c>
      <c r="CH18" s="2">
        <f t="shared" si="76"/>
        <v>2.123241425289504E-4</v>
      </c>
      <c r="CI18" s="2">
        <f t="shared" si="77"/>
        <v>4.9536499028013563E-3</v>
      </c>
      <c r="CK18" s="2">
        <f t="shared" si="78"/>
        <v>1.3497994441023251</v>
      </c>
      <c r="CL18" s="2">
        <f t="shared" si="79"/>
        <v>5.0084517623489645E-4</v>
      </c>
      <c r="CM18" s="2">
        <f t="shared" si="80"/>
        <v>1.8846250716572899E-3</v>
      </c>
      <c r="CN18" s="2">
        <f t="shared" si="81"/>
        <v>7.895297823792744E-4</v>
      </c>
      <c r="CO18" s="2">
        <f t="shared" si="82"/>
        <v>0.17468403763710263</v>
      </c>
      <c r="CP18" s="2">
        <f t="shared" si="83"/>
        <v>2.2555210750602878E-3</v>
      </c>
      <c r="CQ18" s="2">
        <f t="shared" si="84"/>
        <v>1.1735807860262006</v>
      </c>
      <c r="CR18" s="2">
        <f t="shared" si="85"/>
        <v>1.9510329112679748E-3</v>
      </c>
      <c r="CS18" s="2">
        <f t="shared" si="86"/>
        <v>3.2269234584546486E-4</v>
      </c>
      <c r="CT18" s="2">
        <f t="shared" si="87"/>
        <v>1.061620712644752E-4</v>
      </c>
      <c r="CU18" s="2">
        <f t="shared" si="88"/>
        <v>4.9536499028013563E-3</v>
      </c>
      <c r="CW18" s="14">
        <f t="shared" si="89"/>
        <v>2.7108283261021393</v>
      </c>
      <c r="CY18" s="14">
        <f t="shared" si="90"/>
        <v>1.4755637461378979</v>
      </c>
      <c r="DA18" s="16">
        <f t="shared" si="91"/>
        <v>0.99585756213723942</v>
      </c>
      <c r="DB18" s="16">
        <f t="shared" si="92"/>
        <v>3.6951449224012972E-4</v>
      </c>
      <c r="DC18" s="16">
        <f t="shared" si="93"/>
        <v>1.8539229538666899E-3</v>
      </c>
      <c r="DD18" s="16">
        <f t="shared" si="94"/>
        <v>7.7666768225000094E-4</v>
      </c>
      <c r="DE18" s="16">
        <f t="shared" si="95"/>
        <v>0.25775743296629672</v>
      </c>
      <c r="DF18" s="16">
        <f t="shared" si="96"/>
        <v>3.3281651270089369E-3</v>
      </c>
      <c r="DG18" s="16">
        <f t="shared" si="97"/>
        <v>1.7316932610242795</v>
      </c>
      <c r="DH18" s="16">
        <f t="shared" si="98"/>
        <v>2.8788734313889017E-3</v>
      </c>
      <c r="DI18" s="16">
        <f t="shared" si="99"/>
        <v>9.5230625337152047E-4</v>
      </c>
      <c r="DJ18" s="16">
        <f t="shared" si="100"/>
        <v>3.1329780714553501E-4</v>
      </c>
      <c r="DK18" s="16">
        <f t="shared" si="101"/>
        <v>7.3094262076332031E-3</v>
      </c>
      <c r="DL18" s="16">
        <f t="shared" si="22"/>
        <v>0.87043788833526237</v>
      </c>
      <c r="DN18" s="2">
        <f t="shared" si="23"/>
        <v>0.8355108766206748</v>
      </c>
      <c r="DO18" s="2">
        <f t="shared" si="24"/>
        <v>1.6277468227634134E-2</v>
      </c>
      <c r="DP18" s="2">
        <f t="shared" si="25"/>
        <v>5.825809633655319E-2</v>
      </c>
      <c r="DQ18" s="2">
        <f t="shared" si="26"/>
        <v>8.3558568635139878E-3</v>
      </c>
      <c r="DR18" s="2">
        <f t="shared" si="27"/>
        <v>5.7764044318245097E-2</v>
      </c>
      <c r="DS18" s="2">
        <f t="shared" si="28"/>
        <v>1.5506707391039478E-3</v>
      </c>
      <c r="DT18" s="2">
        <f t="shared" si="29"/>
        <v>0.37589321159190153</v>
      </c>
      <c r="DU18" s="2">
        <f t="shared" si="30"/>
        <v>0.337036574709774</v>
      </c>
      <c r="DV18" s="2">
        <f t="shared" si="31"/>
        <v>2.5170002975946258E-2</v>
      </c>
      <c r="DW18" s="2">
        <f t="shared" si="32"/>
        <v>0</v>
      </c>
      <c r="DX18" s="2">
        <f t="shared" si="33"/>
        <v>8.0329457883265235E-4</v>
      </c>
      <c r="DZ18" s="2">
        <f t="shared" si="102"/>
        <v>1.6710217532413496</v>
      </c>
      <c r="EA18" s="2">
        <f t="shared" si="103"/>
        <v>3.2554936455268267E-2</v>
      </c>
      <c r="EB18" s="2">
        <f t="shared" si="104"/>
        <v>0.17477428900965958</v>
      </c>
      <c r="EC18" s="2">
        <f t="shared" si="105"/>
        <v>2.5067570590541963E-2</v>
      </c>
      <c r="ED18" s="2">
        <f t="shared" si="106"/>
        <v>5.7764044318245097E-2</v>
      </c>
      <c r="EE18" s="2">
        <f t="shared" si="107"/>
        <v>1.5506707391039478E-3</v>
      </c>
      <c r="EF18" s="2">
        <f t="shared" si="108"/>
        <v>0.37589321159190153</v>
      </c>
      <c r="EG18" s="2">
        <f t="shared" si="109"/>
        <v>0.337036574709774</v>
      </c>
      <c r="EH18" s="2">
        <f t="shared" si="110"/>
        <v>2.5170002975946258E-2</v>
      </c>
      <c r="EI18" s="2">
        <f t="shared" si="111"/>
        <v>0</v>
      </c>
      <c r="EJ18" s="2">
        <f t="shared" si="112"/>
        <v>8.0329457883265235E-4</v>
      </c>
      <c r="EL18" s="16">
        <f t="shared" si="113"/>
        <v>2.7016363482106227</v>
      </c>
      <c r="EN18" s="14">
        <f t="shared" si="114"/>
        <v>2.2208762493049758</v>
      </c>
      <c r="EP18" s="16">
        <f t="shared" si="115"/>
        <v>1.8555662619228366</v>
      </c>
      <c r="EQ18" s="16">
        <f t="shared" si="116"/>
        <v>3.6150242585569009E-2</v>
      </c>
      <c r="ER18" s="16">
        <f t="shared" si="117"/>
        <v>0.25876804496714439</v>
      </c>
      <c r="ES18" s="16">
        <f t="shared" si="118"/>
        <v>3.7114648101540366E-2</v>
      </c>
      <c r="ET18" s="16">
        <f t="shared" si="119"/>
        <v>0.12828679409019056</v>
      </c>
      <c r="EU18" s="16">
        <f t="shared" si="120"/>
        <v>3.4438478149681506E-3</v>
      </c>
      <c r="EV18" s="16">
        <f t="shared" si="121"/>
        <v>0.8348123058994239</v>
      </c>
      <c r="EW18" s="16">
        <f t="shared" si="122"/>
        <v>0.7485165239200392</v>
      </c>
      <c r="EX18" s="16">
        <f t="shared" si="123"/>
        <v>0.11179892360842922</v>
      </c>
      <c r="EY18" s="16">
        <f t="shared" si="124"/>
        <v>0</v>
      </c>
      <c r="EZ18" s="16">
        <f t="shared" si="125"/>
        <v>1.7840178513248812E-3</v>
      </c>
      <c r="FB18" s="14">
        <f t="shared" si="40"/>
        <v>-5.560694231697072</v>
      </c>
      <c r="FC18" s="4">
        <f t="shared" si="41"/>
        <v>3.6358801782239807</v>
      </c>
      <c r="FD18" s="4">
        <f t="shared" si="42"/>
        <v>1.8838518751433693</v>
      </c>
      <c r="FE18" s="4">
        <f t="shared" si="43"/>
        <v>3.6358801782239807</v>
      </c>
      <c r="FG18" s="4">
        <f t="shared" si="44"/>
        <v>3.7003391224077982</v>
      </c>
    </row>
    <row r="19" spans="1:163" x14ac:dyDescent="0.2">
      <c r="A19" s="56" t="s">
        <v>133</v>
      </c>
      <c r="B19" s="57" t="s">
        <v>145</v>
      </c>
      <c r="C19" s="138">
        <v>41.46668962334406</v>
      </c>
      <c r="D19" s="98">
        <v>1.5059852130797134E-3</v>
      </c>
      <c r="E19" s="148">
        <f t="shared" si="51"/>
        <v>9.0573007729524008E-3</v>
      </c>
      <c r="F19" s="138">
        <v>4.1355122783021617E-3</v>
      </c>
      <c r="G19" s="138">
        <v>8.9744333097865425</v>
      </c>
      <c r="H19" s="138">
        <v>0.11936499420603429</v>
      </c>
      <c r="I19" s="138">
        <v>49.078932162895143</v>
      </c>
      <c r="J19" s="150">
        <f t="shared" si="52"/>
        <v>4.8912858020508584E-2</v>
      </c>
      <c r="K19" s="98">
        <v>6.1615085145573078E-3</v>
      </c>
      <c r="L19" s="98"/>
      <c r="M19" s="138">
        <v>0.36057990976820919</v>
      </c>
      <c r="N19" s="141">
        <v>47.936312499774949</v>
      </c>
      <c r="O19" s="142">
        <v>349.57817353744724</v>
      </c>
      <c r="P19" s="11"/>
      <c r="Q19" s="140">
        <v>52.561269586179193</v>
      </c>
      <c r="R19" s="140">
        <v>0.3917235837685818</v>
      </c>
      <c r="S19" s="140">
        <v>4.9919646444355177</v>
      </c>
      <c r="T19" s="140">
        <v>0.81357975090397772</v>
      </c>
      <c r="U19" s="140">
        <v>2.792286058658096</v>
      </c>
      <c r="V19" s="140">
        <v>0</v>
      </c>
      <c r="W19" s="140">
        <v>15.176777822418646</v>
      </c>
      <c r="X19" s="140">
        <v>22.087183607874653</v>
      </c>
      <c r="Y19" s="140">
        <v>1.1852149457613501</v>
      </c>
      <c r="Z19" s="100"/>
      <c r="AA19" s="140"/>
      <c r="AC19" s="139">
        <v>54.895245769540693</v>
      </c>
      <c r="AD19" s="139">
        <v>12.520145044319097</v>
      </c>
      <c r="AE19" s="11"/>
      <c r="AF19" s="83">
        <f t="shared" si="53"/>
        <v>0.13269750195298355</v>
      </c>
      <c r="AG19" s="22">
        <f t="shared" si="0"/>
        <v>1.6499244417224115E-4</v>
      </c>
      <c r="AH19" s="126">
        <f t="shared" si="54"/>
        <v>902.80307109577393</v>
      </c>
      <c r="AI19" s="126">
        <f t="shared" si="1"/>
        <v>902.6532396677801</v>
      </c>
      <c r="AJ19" s="126">
        <f t="shared" si="2"/>
        <v>0.14983142799383131</v>
      </c>
      <c r="AK19" s="12"/>
      <c r="AL19" s="25">
        <f t="shared" si="55"/>
        <v>0.92651909219145634</v>
      </c>
      <c r="AN19" s="2">
        <v>15.999000000000001</v>
      </c>
      <c r="AO19" s="2">
        <v>28.085000000000001</v>
      </c>
      <c r="AP19" s="2">
        <v>47.866999999999997</v>
      </c>
      <c r="AQ19" s="2">
        <v>26.9815386</v>
      </c>
      <c r="AR19" s="2">
        <v>51.996099999999998</v>
      </c>
      <c r="AS19" s="2">
        <v>55.844999999999999</v>
      </c>
      <c r="AT19" s="2">
        <v>54.938045000000002</v>
      </c>
      <c r="AU19" s="2">
        <v>24.305</v>
      </c>
      <c r="AV19" s="2">
        <v>40.078000000000003</v>
      </c>
      <c r="AW19" s="2">
        <v>22.989769280000001</v>
      </c>
      <c r="AX19" s="2">
        <v>39.098300000000002</v>
      </c>
      <c r="AY19" s="2">
        <v>58.693399999999997</v>
      </c>
      <c r="BA19" s="2">
        <f t="shared" si="56"/>
        <v>60.082999999999998</v>
      </c>
      <c r="BB19" s="2">
        <f t="shared" si="57"/>
        <v>79.864999999999995</v>
      </c>
      <c r="BC19" s="2">
        <f t="shared" si="58"/>
        <v>101.9600772</v>
      </c>
      <c r="BD19" s="2">
        <f t="shared" si="59"/>
        <v>151.98919999999998</v>
      </c>
      <c r="BE19" s="2">
        <f t="shared" si="60"/>
        <v>71.843999999999994</v>
      </c>
      <c r="BF19" s="2">
        <f t="shared" si="61"/>
        <v>70.937044999999998</v>
      </c>
      <c r="BG19" s="2">
        <f t="shared" si="62"/>
        <v>40.304000000000002</v>
      </c>
      <c r="BH19" s="2">
        <f t="shared" si="63"/>
        <v>56.077000000000005</v>
      </c>
      <c r="BI19" s="2">
        <f t="shared" si="64"/>
        <v>61.978538560000004</v>
      </c>
      <c r="BJ19" s="2">
        <f t="shared" si="65"/>
        <v>94.195599999999999</v>
      </c>
      <c r="BK19" s="2">
        <f t="shared" si="66"/>
        <v>74.692399999999992</v>
      </c>
      <c r="BM19" s="2">
        <f t="shared" si="3"/>
        <v>0.69015677684776155</v>
      </c>
      <c r="BN19" s="2">
        <f t="shared" si="4"/>
        <v>1.8856635736301429E-5</v>
      </c>
      <c r="BO19" s="2">
        <f t="shared" si="5"/>
        <v>8.8831835181784276E-5</v>
      </c>
      <c r="BP19" s="2">
        <f t="shared" si="6"/>
        <v>2.7209250909289358E-5</v>
      </c>
      <c r="BQ19" s="2">
        <f t="shared" si="7"/>
        <v>0.12491555745485418</v>
      </c>
      <c r="BR19" s="2">
        <f t="shared" si="8"/>
        <v>1.6826891253509967E-3</v>
      </c>
      <c r="BS19" s="2">
        <f t="shared" si="9"/>
        <v>1.2177186423902129</v>
      </c>
      <c r="BT19" s="2">
        <f t="shared" si="10"/>
        <v>8.7224455695755082E-4</v>
      </c>
      <c r="BU19" s="2">
        <f t="shared" si="11"/>
        <v>9.9413581825465158E-5</v>
      </c>
      <c r="BV19" s="2">
        <f t="shared" si="12"/>
        <v>0</v>
      </c>
      <c r="BW19" s="2">
        <f t="shared" si="13"/>
        <v>4.8275314458794899E-3</v>
      </c>
      <c r="BY19" s="2">
        <f t="shared" si="67"/>
        <v>0.69015677684776155</v>
      </c>
      <c r="BZ19" s="2">
        <f t="shared" si="68"/>
        <v>1.8856635736301429E-5</v>
      </c>
      <c r="CA19" s="2">
        <f t="shared" si="69"/>
        <v>1.7766367036356855E-4</v>
      </c>
      <c r="CB19" s="2">
        <f t="shared" si="70"/>
        <v>5.4418501818578715E-5</v>
      </c>
      <c r="CC19" s="2">
        <f t="shared" si="71"/>
        <v>0.12491555745485418</v>
      </c>
      <c r="CD19" s="2">
        <f t="shared" si="72"/>
        <v>1.6826891253509967E-3</v>
      </c>
      <c r="CE19" s="2">
        <f t="shared" si="73"/>
        <v>1.2177186423902129</v>
      </c>
      <c r="CF19" s="2">
        <f t="shared" si="74"/>
        <v>8.7224455695755082E-4</v>
      </c>
      <c r="CG19" s="2">
        <f t="shared" si="75"/>
        <v>1.9882716365093032E-4</v>
      </c>
      <c r="CH19" s="2">
        <f t="shared" si="76"/>
        <v>0</v>
      </c>
      <c r="CI19" s="2">
        <f t="shared" si="77"/>
        <v>4.8275314458794899E-3</v>
      </c>
      <c r="CK19" s="2">
        <f t="shared" si="78"/>
        <v>1.3803135536955231</v>
      </c>
      <c r="CL19" s="2">
        <f t="shared" si="79"/>
        <v>3.7713271472602857E-5</v>
      </c>
      <c r="CM19" s="2">
        <f t="shared" si="80"/>
        <v>2.6649550554535282E-4</v>
      </c>
      <c r="CN19" s="2">
        <f t="shared" si="81"/>
        <v>8.162775272786807E-5</v>
      </c>
      <c r="CO19" s="2">
        <f t="shared" si="82"/>
        <v>0.12491555745485418</v>
      </c>
      <c r="CP19" s="2">
        <f t="shared" si="83"/>
        <v>1.6826891253509967E-3</v>
      </c>
      <c r="CQ19" s="2">
        <f t="shared" si="84"/>
        <v>1.2177186423902129</v>
      </c>
      <c r="CR19" s="2">
        <f t="shared" si="85"/>
        <v>8.7224455695755082E-4</v>
      </c>
      <c r="CS19" s="2">
        <f t="shared" si="86"/>
        <v>9.9413581825465158E-5</v>
      </c>
      <c r="CT19" s="2">
        <f t="shared" si="87"/>
        <v>0</v>
      </c>
      <c r="CU19" s="2">
        <f t="shared" si="88"/>
        <v>4.8275314458794899E-3</v>
      </c>
      <c r="CW19" s="14">
        <f t="shared" si="89"/>
        <v>2.7308154687803494</v>
      </c>
      <c r="CY19" s="14">
        <f t="shared" si="90"/>
        <v>1.4647639306754403</v>
      </c>
      <c r="DA19" s="16">
        <f t="shared" si="91"/>
        <v>1.01091675323782</v>
      </c>
      <c r="DB19" s="16">
        <f t="shared" si="92"/>
        <v>2.7620519880419855E-5</v>
      </c>
      <c r="DC19" s="16">
        <f t="shared" si="93"/>
        <v>2.6023533613996638E-4</v>
      </c>
      <c r="DD19" s="16">
        <f t="shared" si="94"/>
        <v>7.9710258625249953E-5</v>
      </c>
      <c r="DE19" s="16">
        <f t="shared" si="95"/>
        <v>0.182971802940086</v>
      </c>
      <c r="DF19" s="16">
        <f t="shared" si="96"/>
        <v>2.4647423373539445E-3</v>
      </c>
      <c r="DG19" s="16">
        <f t="shared" si="97"/>
        <v>1.783670345084249</v>
      </c>
      <c r="DH19" s="16">
        <f t="shared" si="98"/>
        <v>1.2776323657594001E-3</v>
      </c>
      <c r="DI19" s="16">
        <f t="shared" si="99"/>
        <v>2.9123485775438572E-4</v>
      </c>
      <c r="DJ19" s="16">
        <f t="shared" si="100"/>
        <v>0</v>
      </c>
      <c r="DK19" s="16">
        <f t="shared" si="101"/>
        <v>7.0711939361257333E-3</v>
      </c>
      <c r="DL19" s="16">
        <f t="shared" si="22"/>
        <v>0.9069623301199472</v>
      </c>
      <c r="DN19" s="2">
        <f t="shared" si="23"/>
        <v>0.87481100454669702</v>
      </c>
      <c r="DO19" s="2">
        <f t="shared" si="24"/>
        <v>4.9048216836985138E-3</v>
      </c>
      <c r="DP19" s="2">
        <f t="shared" si="25"/>
        <v>4.895999278858449E-2</v>
      </c>
      <c r="DQ19" s="2">
        <f t="shared" si="26"/>
        <v>5.352878697328348E-3</v>
      </c>
      <c r="DR19" s="2">
        <f t="shared" si="27"/>
        <v>3.8865960395552811E-2</v>
      </c>
      <c r="DS19" s="2">
        <f t="shared" si="28"/>
        <v>0</v>
      </c>
      <c r="DT19" s="2">
        <f t="shared" si="29"/>
        <v>0.37655760774162977</v>
      </c>
      <c r="DU19" s="2">
        <f t="shared" si="30"/>
        <v>0.39387241842243076</v>
      </c>
      <c r="DV19" s="2">
        <f t="shared" si="31"/>
        <v>1.9122989558941771E-2</v>
      </c>
      <c r="DW19" s="2">
        <f t="shared" si="32"/>
        <v>0</v>
      </c>
      <c r="DX19" s="2">
        <f t="shared" si="33"/>
        <v>0</v>
      </c>
      <c r="DZ19" s="2">
        <f t="shared" si="102"/>
        <v>1.749622009093394</v>
      </c>
      <c r="EA19" s="2">
        <f t="shared" si="103"/>
        <v>9.8096433673970276E-3</v>
      </c>
      <c r="EB19" s="2">
        <f t="shared" si="104"/>
        <v>0.14687997836575348</v>
      </c>
      <c r="EC19" s="2">
        <f t="shared" si="105"/>
        <v>1.6058636091985046E-2</v>
      </c>
      <c r="ED19" s="2">
        <f t="shared" si="106"/>
        <v>3.8865960395552811E-2</v>
      </c>
      <c r="EE19" s="2">
        <f t="shared" si="107"/>
        <v>0</v>
      </c>
      <c r="EF19" s="2">
        <f t="shared" si="108"/>
        <v>0.37655760774162977</v>
      </c>
      <c r="EG19" s="2">
        <f t="shared" si="109"/>
        <v>0.39387241842243076</v>
      </c>
      <c r="EH19" s="2">
        <f t="shared" si="110"/>
        <v>1.9122989558941771E-2</v>
      </c>
      <c r="EI19" s="2">
        <f t="shared" si="111"/>
        <v>0</v>
      </c>
      <c r="EJ19" s="2">
        <f t="shared" si="112"/>
        <v>0</v>
      </c>
      <c r="EL19" s="16">
        <f t="shared" si="113"/>
        <v>2.7507892430370848</v>
      </c>
      <c r="EN19" s="14">
        <f t="shared" si="114"/>
        <v>2.1811921851837455</v>
      </c>
      <c r="EP19" s="16">
        <f t="shared" si="115"/>
        <v>1.9081309266299975</v>
      </c>
      <c r="EQ19" s="16">
        <f t="shared" si="116"/>
        <v>1.069835872620298E-2</v>
      </c>
      <c r="ER19" s="16">
        <f t="shared" si="117"/>
        <v>0.21358230731422606</v>
      </c>
      <c r="ES19" s="16">
        <f t="shared" si="118"/>
        <v>2.3351314365698282E-2</v>
      </c>
      <c r="ET19" s="16">
        <f t="shared" si="119"/>
        <v>8.477412908444075E-2</v>
      </c>
      <c r="EU19" s="16">
        <f t="shared" si="120"/>
        <v>0</v>
      </c>
      <c r="EV19" s="16">
        <f t="shared" si="121"/>
        <v>0.82134451127752917</v>
      </c>
      <c r="EW19" s="16">
        <f t="shared" si="122"/>
        <v>0.85911144102242831</v>
      </c>
      <c r="EX19" s="16">
        <f t="shared" si="123"/>
        <v>8.3421830766628305E-2</v>
      </c>
      <c r="EY19" s="16">
        <f t="shared" si="124"/>
        <v>0</v>
      </c>
      <c r="EZ19" s="16">
        <f t="shared" si="125"/>
        <v>0</v>
      </c>
      <c r="FB19" s="14">
        <f t="shared" si="40"/>
        <v>-6.510889996159495</v>
      </c>
      <c r="FC19" s="4">
        <f t="shared" si="41"/>
        <v>-0.14559868379567684</v>
      </c>
      <c r="FD19" s="4">
        <f t="shared" si="42"/>
        <v>0.92651909219145634</v>
      </c>
      <c r="FE19" s="4">
        <f t="shared" si="43"/>
        <v>0.92651909219145634</v>
      </c>
      <c r="FG19" s="4">
        <f t="shared" si="44"/>
        <v>0.27093409553321324</v>
      </c>
    </row>
    <row r="20" spans="1:163" x14ac:dyDescent="0.2">
      <c r="A20" s="56" t="s">
        <v>134</v>
      </c>
      <c r="B20" s="57" t="s">
        <v>145</v>
      </c>
      <c r="C20" s="138">
        <v>41.354961841290219</v>
      </c>
      <c r="D20" s="98">
        <v>2.940373348966031E-3</v>
      </c>
      <c r="E20" s="148">
        <f t="shared" si="51"/>
        <v>2.2148551309512508E-2</v>
      </c>
      <c r="F20" s="138">
        <v>1.2715015652216824E-2</v>
      </c>
      <c r="G20" s="138">
        <v>8.3312180408424474</v>
      </c>
      <c r="H20" s="138">
        <v>0.12575963086464256</v>
      </c>
      <c r="I20" s="138">
        <v>49.776518391009269</v>
      </c>
      <c r="J20" s="150">
        <f t="shared" si="52"/>
        <v>4.6515024766695473E-2</v>
      </c>
      <c r="K20" s="98">
        <v>1.3064608299390585E-2</v>
      </c>
      <c r="L20" s="98"/>
      <c r="M20" s="138">
        <v>0.41154209599342206</v>
      </c>
      <c r="N20" s="141">
        <v>117.22254826301892</v>
      </c>
      <c r="O20" s="142">
        <v>332.44095843208828</v>
      </c>
      <c r="P20" s="11"/>
      <c r="Q20" s="140">
        <v>53.104689531046908</v>
      </c>
      <c r="R20" s="140">
        <v>0.36996300369963014</v>
      </c>
      <c r="S20" s="140">
        <v>4.859514048595142</v>
      </c>
      <c r="T20" s="140">
        <v>1.0298970102989702</v>
      </c>
      <c r="U20" s="140">
        <v>2.1897810218978107</v>
      </c>
      <c r="V20" s="140">
        <v>0</v>
      </c>
      <c r="W20" s="140">
        <v>15.678432156784325</v>
      </c>
      <c r="X20" s="140">
        <v>21.307869213078696</v>
      </c>
      <c r="Y20" s="140">
        <v>1.4598540145985406</v>
      </c>
      <c r="Z20" s="100"/>
      <c r="AA20" s="140"/>
      <c r="AC20" s="139">
        <v>49.205231388329977</v>
      </c>
      <c r="AD20" s="139">
        <v>20.221327967806843</v>
      </c>
      <c r="AE20" s="11"/>
      <c r="AF20" s="83">
        <f t="shared" si="53"/>
        <v>0.2161085095955744</v>
      </c>
      <c r="AG20" s="22">
        <f t="shared" si="0"/>
        <v>4.5012594564824033E-4</v>
      </c>
      <c r="AH20" s="126">
        <f t="shared" si="54"/>
        <v>1029.370466220236</v>
      </c>
      <c r="AI20" s="126">
        <f t="shared" si="1"/>
        <v>1029.2206363318264</v>
      </c>
      <c r="AJ20" s="126">
        <f t="shared" si="2"/>
        <v>0.14982988840961298</v>
      </c>
      <c r="AK20" s="12"/>
      <c r="AL20" s="25">
        <f t="shared" si="55"/>
        <v>2.5300925210820129</v>
      </c>
      <c r="AN20" s="2">
        <v>15.999000000000001</v>
      </c>
      <c r="AO20" s="2">
        <v>28.085000000000001</v>
      </c>
      <c r="AP20" s="2">
        <v>47.866999999999997</v>
      </c>
      <c r="AQ20" s="2">
        <v>26.9815386</v>
      </c>
      <c r="AR20" s="2">
        <v>51.996099999999998</v>
      </c>
      <c r="AS20" s="2">
        <v>55.844999999999999</v>
      </c>
      <c r="AT20" s="2">
        <v>54.938045000000002</v>
      </c>
      <c r="AU20" s="2">
        <v>24.305</v>
      </c>
      <c r="AV20" s="2">
        <v>40.078000000000003</v>
      </c>
      <c r="AW20" s="2">
        <v>22.989769280000001</v>
      </c>
      <c r="AX20" s="2">
        <v>39.098300000000002</v>
      </c>
      <c r="AY20" s="2">
        <v>58.693399999999997</v>
      </c>
      <c r="BA20" s="2">
        <f t="shared" si="56"/>
        <v>60.082999999999998</v>
      </c>
      <c r="BB20" s="2">
        <f t="shared" si="57"/>
        <v>79.864999999999995</v>
      </c>
      <c r="BC20" s="2">
        <f t="shared" si="58"/>
        <v>101.9600772</v>
      </c>
      <c r="BD20" s="2">
        <f t="shared" si="59"/>
        <v>151.98919999999998</v>
      </c>
      <c r="BE20" s="2">
        <f t="shared" si="60"/>
        <v>71.843999999999994</v>
      </c>
      <c r="BF20" s="2">
        <f t="shared" si="61"/>
        <v>70.937044999999998</v>
      </c>
      <c r="BG20" s="2">
        <f t="shared" si="62"/>
        <v>40.304000000000002</v>
      </c>
      <c r="BH20" s="2">
        <f t="shared" si="63"/>
        <v>56.077000000000005</v>
      </c>
      <c r="BI20" s="2">
        <f t="shared" si="64"/>
        <v>61.978538560000004</v>
      </c>
      <c r="BJ20" s="2">
        <f t="shared" si="65"/>
        <v>94.195599999999999</v>
      </c>
      <c r="BK20" s="2">
        <f t="shared" si="66"/>
        <v>74.692399999999992</v>
      </c>
      <c r="BM20" s="2">
        <f t="shared" si="3"/>
        <v>0.68829721953448098</v>
      </c>
      <c r="BN20" s="2">
        <f t="shared" si="4"/>
        <v>3.6816795203982111E-5</v>
      </c>
      <c r="BO20" s="2">
        <f t="shared" si="5"/>
        <v>2.1722768281223415E-4</v>
      </c>
      <c r="BP20" s="2">
        <f t="shared" si="6"/>
        <v>8.3657362840365137E-5</v>
      </c>
      <c r="BQ20" s="2">
        <f t="shared" si="7"/>
        <v>0.11596261400871956</v>
      </c>
      <c r="BR20" s="2">
        <f t="shared" si="8"/>
        <v>1.7728343612937721E-3</v>
      </c>
      <c r="BS20" s="2">
        <f t="shared" si="9"/>
        <v>1.235026756426391</v>
      </c>
      <c r="BT20" s="2">
        <f t="shared" si="10"/>
        <v>8.294849005241983E-4</v>
      </c>
      <c r="BU20" s="2">
        <f t="shared" si="11"/>
        <v>2.1079245498412385E-4</v>
      </c>
      <c r="BV20" s="2">
        <f t="shared" si="12"/>
        <v>0</v>
      </c>
      <c r="BW20" s="2">
        <f t="shared" si="13"/>
        <v>5.5098255778823829E-3</v>
      </c>
      <c r="BY20" s="2">
        <f t="shared" si="67"/>
        <v>0.68829721953448098</v>
      </c>
      <c r="BZ20" s="2">
        <f t="shared" si="68"/>
        <v>3.6816795203982111E-5</v>
      </c>
      <c r="CA20" s="2">
        <f t="shared" si="69"/>
        <v>4.344553656244683E-4</v>
      </c>
      <c r="CB20" s="2">
        <f t="shared" si="70"/>
        <v>1.6731472568073027E-4</v>
      </c>
      <c r="CC20" s="2">
        <f t="shared" si="71"/>
        <v>0.11596261400871956</v>
      </c>
      <c r="CD20" s="2">
        <f t="shared" si="72"/>
        <v>1.7728343612937721E-3</v>
      </c>
      <c r="CE20" s="2">
        <f t="shared" si="73"/>
        <v>1.235026756426391</v>
      </c>
      <c r="CF20" s="2">
        <f t="shared" si="74"/>
        <v>8.294849005241983E-4</v>
      </c>
      <c r="CG20" s="2">
        <f t="shared" si="75"/>
        <v>4.2158490996824769E-4</v>
      </c>
      <c r="CH20" s="2">
        <f t="shared" si="76"/>
        <v>0</v>
      </c>
      <c r="CI20" s="2">
        <f t="shared" si="77"/>
        <v>5.5098255778823829E-3</v>
      </c>
      <c r="CK20" s="2">
        <f t="shared" si="78"/>
        <v>1.376594439068962</v>
      </c>
      <c r="CL20" s="2">
        <f t="shared" si="79"/>
        <v>7.3633590407964222E-5</v>
      </c>
      <c r="CM20" s="2">
        <f t="shared" si="80"/>
        <v>6.5168304843670247E-4</v>
      </c>
      <c r="CN20" s="2">
        <f t="shared" si="81"/>
        <v>2.5097208852109542E-4</v>
      </c>
      <c r="CO20" s="2">
        <f t="shared" si="82"/>
        <v>0.11596261400871956</v>
      </c>
      <c r="CP20" s="2">
        <f t="shared" si="83"/>
        <v>1.7728343612937721E-3</v>
      </c>
      <c r="CQ20" s="2">
        <f t="shared" si="84"/>
        <v>1.235026756426391</v>
      </c>
      <c r="CR20" s="2">
        <f t="shared" si="85"/>
        <v>8.294849005241983E-4</v>
      </c>
      <c r="CS20" s="2">
        <f t="shared" si="86"/>
        <v>2.1079245498412385E-4</v>
      </c>
      <c r="CT20" s="2">
        <f t="shared" si="87"/>
        <v>0</v>
      </c>
      <c r="CU20" s="2">
        <f t="shared" si="88"/>
        <v>5.5098255778823829E-3</v>
      </c>
      <c r="CW20" s="14">
        <f t="shared" si="89"/>
        <v>2.7368830355261227</v>
      </c>
      <c r="CY20" s="14">
        <f t="shared" si="90"/>
        <v>1.4615166041361585</v>
      </c>
      <c r="DA20" s="16">
        <f t="shared" si="91"/>
        <v>1.0059578149303945</v>
      </c>
      <c r="DB20" s="16">
        <f t="shared" si="92"/>
        <v>5.3808357501700339E-5</v>
      </c>
      <c r="DC20" s="16">
        <f t="shared" si="93"/>
        <v>6.3496373061620599E-4</v>
      </c>
      <c r="DD20" s="16">
        <f t="shared" si="94"/>
        <v>2.4453324969887384E-4</v>
      </c>
      <c r="DE20" s="16">
        <f t="shared" si="95"/>
        <v>0.16948128583277594</v>
      </c>
      <c r="DF20" s="16">
        <f t="shared" si="96"/>
        <v>2.591026855413969E-3</v>
      </c>
      <c r="DG20" s="16">
        <f t="shared" si="97"/>
        <v>1.8050121110695936</v>
      </c>
      <c r="DH20" s="16">
        <f t="shared" si="98"/>
        <v>1.2123059549963456E-3</v>
      </c>
      <c r="DI20" s="16">
        <f t="shared" si="99"/>
        <v>6.1615334597184149E-4</v>
      </c>
      <c r="DJ20" s="16">
        <f t="shared" si="100"/>
        <v>0</v>
      </c>
      <c r="DK20" s="16">
        <f t="shared" si="101"/>
        <v>8.052701567969207E-3</v>
      </c>
      <c r="DL20" s="16">
        <f t="shared" si="22"/>
        <v>0.91416467327839024</v>
      </c>
      <c r="DN20" s="2">
        <f t="shared" si="23"/>
        <v>0.88385549208672853</v>
      </c>
      <c r="DO20" s="2">
        <f t="shared" si="24"/>
        <v>4.6323546447083223E-3</v>
      </c>
      <c r="DP20" s="2">
        <f t="shared" si="25"/>
        <v>4.7660949089543665E-2</v>
      </c>
      <c r="DQ20" s="2">
        <f t="shared" si="26"/>
        <v>6.7761196867867609E-3</v>
      </c>
      <c r="DR20" s="2">
        <f t="shared" si="27"/>
        <v>3.0479664577387267E-2</v>
      </c>
      <c r="DS20" s="2">
        <f t="shared" si="28"/>
        <v>0</v>
      </c>
      <c r="DT20" s="2">
        <f t="shared" si="29"/>
        <v>0.38900437070227084</v>
      </c>
      <c r="DU20" s="2">
        <f t="shared" si="30"/>
        <v>0.37997519862115831</v>
      </c>
      <c r="DV20" s="2">
        <f t="shared" si="31"/>
        <v>2.3554185828136127E-2</v>
      </c>
      <c r="DW20" s="2">
        <f t="shared" si="32"/>
        <v>0</v>
      </c>
      <c r="DX20" s="2">
        <f t="shared" si="33"/>
        <v>0</v>
      </c>
      <c r="DZ20" s="2">
        <f t="shared" si="102"/>
        <v>1.7677109841734571</v>
      </c>
      <c r="EA20" s="2">
        <f t="shared" si="103"/>
        <v>9.2647092894166446E-3</v>
      </c>
      <c r="EB20" s="2">
        <f t="shared" si="104"/>
        <v>0.142982847268631</v>
      </c>
      <c r="EC20" s="2">
        <f t="shared" si="105"/>
        <v>2.0328359060360283E-2</v>
      </c>
      <c r="ED20" s="2">
        <f t="shared" si="106"/>
        <v>3.0479664577387267E-2</v>
      </c>
      <c r="EE20" s="2">
        <f t="shared" si="107"/>
        <v>0</v>
      </c>
      <c r="EF20" s="2">
        <f t="shared" si="108"/>
        <v>0.38900437070227084</v>
      </c>
      <c r="EG20" s="2">
        <f t="shared" si="109"/>
        <v>0.37997519862115831</v>
      </c>
      <c r="EH20" s="2">
        <f t="shared" si="110"/>
        <v>2.3554185828136127E-2</v>
      </c>
      <c r="EI20" s="2">
        <f t="shared" si="111"/>
        <v>0</v>
      </c>
      <c r="EJ20" s="2">
        <f t="shared" si="112"/>
        <v>0</v>
      </c>
      <c r="EL20" s="16">
        <f t="shared" si="113"/>
        <v>2.7633003195208174</v>
      </c>
      <c r="EN20" s="14">
        <f t="shared" si="114"/>
        <v>2.1713166526324064</v>
      </c>
      <c r="EP20" s="16">
        <f t="shared" si="115"/>
        <v>1.9191301484885237</v>
      </c>
      <c r="EQ20" s="16">
        <f t="shared" si="116"/>
        <v>1.0058308780954255E-2</v>
      </c>
      <c r="ER20" s="16">
        <f t="shared" si="117"/>
        <v>0.20697402487678299</v>
      </c>
      <c r="ES20" s="16">
        <f t="shared" si="118"/>
        <v>2.9426203032300757E-2</v>
      </c>
      <c r="ET20" s="16">
        <f t="shared" si="119"/>
        <v>6.6181003263531046E-2</v>
      </c>
      <c r="EU20" s="16">
        <f t="shared" si="120"/>
        <v>0</v>
      </c>
      <c r="EV20" s="16">
        <f t="shared" si="121"/>
        <v>0.84465166805263048</v>
      </c>
      <c r="EW20" s="16">
        <f t="shared" si="122"/>
        <v>0.82504647635342721</v>
      </c>
      <c r="EX20" s="16">
        <f t="shared" si="123"/>
        <v>0.1022871918556604</v>
      </c>
      <c r="EY20" s="16">
        <f t="shared" si="124"/>
        <v>0</v>
      </c>
      <c r="EZ20" s="16">
        <f t="shared" si="125"/>
        <v>0</v>
      </c>
      <c r="FB20" s="14">
        <f t="shared" si="40"/>
        <v>-6.5229154258159978</v>
      </c>
      <c r="FC20" s="4">
        <f t="shared" si="41"/>
        <v>2.1615832514060545</v>
      </c>
      <c r="FD20" s="4">
        <f t="shared" si="42"/>
        <v>2.5300925210820129</v>
      </c>
      <c r="FE20" s="4">
        <f t="shared" si="43"/>
        <v>2.5300925210820129</v>
      </c>
      <c r="FG20" s="4">
        <f t="shared" si="44"/>
        <v>2.7349353405065395</v>
      </c>
    </row>
    <row r="21" spans="1:163" x14ac:dyDescent="0.2">
      <c r="A21" s="56" t="s">
        <v>135</v>
      </c>
      <c r="B21" s="57" t="s">
        <v>145</v>
      </c>
      <c r="C21" s="138">
        <v>41.352247565691165</v>
      </c>
      <c r="D21" s="98">
        <v>3.403712950612695E-3</v>
      </c>
      <c r="E21" s="148">
        <f t="shared" si="51"/>
        <v>2.4930927297069857E-2</v>
      </c>
      <c r="F21" s="138">
        <v>1.11974038257072E-2</v>
      </c>
      <c r="G21" s="138">
        <v>9.1804405501242314</v>
      </c>
      <c r="H21" s="138">
        <v>0.12244392726685517</v>
      </c>
      <c r="I21" s="138">
        <v>48.972415873195608</v>
      </c>
      <c r="J21" s="150">
        <f t="shared" si="52"/>
        <v>4.4475119661284326E-2</v>
      </c>
      <c r="K21" s="98">
        <v>1.3733193524252297E-2</v>
      </c>
      <c r="L21" s="98"/>
      <c r="M21" s="138">
        <v>0.37245208372214533</v>
      </c>
      <c r="N21" s="141">
        <v>131.94844156996518</v>
      </c>
      <c r="O21" s="142">
        <v>317.86184100165013</v>
      </c>
      <c r="P21" s="11"/>
      <c r="Q21" s="140">
        <v>52.619955832162212</v>
      </c>
      <c r="R21" s="140">
        <v>0.31118249347520571</v>
      </c>
      <c r="S21" s="140">
        <v>5.3202168239309362</v>
      </c>
      <c r="T21" s="140">
        <v>0.89339490062236482</v>
      </c>
      <c r="U21" s="140">
        <v>2.9612527604898609</v>
      </c>
      <c r="V21" s="140">
        <v>0</v>
      </c>
      <c r="W21" s="140">
        <v>15.739811282874921</v>
      </c>
      <c r="X21" s="140">
        <v>20.859265207789598</v>
      </c>
      <c r="Y21" s="140">
        <v>1.2949206986548885</v>
      </c>
      <c r="Z21" s="100"/>
      <c r="AA21" s="140"/>
      <c r="AC21" s="139">
        <v>52.761291620561309</v>
      </c>
      <c r="AD21" s="139">
        <v>15.038728498139017</v>
      </c>
      <c r="AE21" s="11"/>
      <c r="AF21" s="83">
        <f t="shared" si="53"/>
        <v>0.16051827068015762</v>
      </c>
      <c r="AG21" s="22">
        <f t="shared" si="0"/>
        <v>4.725230662729675E-4</v>
      </c>
      <c r="AH21" s="126">
        <f t="shared" si="54"/>
        <v>1045.2859821794118</v>
      </c>
      <c r="AI21" s="126">
        <f t="shared" si="1"/>
        <v>1045.136201719738</v>
      </c>
      <c r="AJ21" s="126">
        <f t="shared" si="2"/>
        <v>0.14978045967382059</v>
      </c>
      <c r="AK21" s="12"/>
      <c r="AL21" s="25">
        <f t="shared" si="55"/>
        <v>2.7965020020426121</v>
      </c>
      <c r="AN21" s="2">
        <v>15.999000000000001</v>
      </c>
      <c r="AO21" s="2">
        <v>28.085000000000001</v>
      </c>
      <c r="AP21" s="2">
        <v>47.866999999999997</v>
      </c>
      <c r="AQ21" s="2">
        <v>26.9815386</v>
      </c>
      <c r="AR21" s="2">
        <v>51.996099999999998</v>
      </c>
      <c r="AS21" s="2">
        <v>55.844999999999999</v>
      </c>
      <c r="AT21" s="2">
        <v>54.938045000000002</v>
      </c>
      <c r="AU21" s="2">
        <v>24.305</v>
      </c>
      <c r="AV21" s="2">
        <v>40.078000000000003</v>
      </c>
      <c r="AW21" s="2">
        <v>22.989769280000001</v>
      </c>
      <c r="AX21" s="2">
        <v>39.098300000000002</v>
      </c>
      <c r="AY21" s="2">
        <v>58.693399999999997</v>
      </c>
      <c r="BA21" s="2">
        <f t="shared" si="56"/>
        <v>60.082999999999998</v>
      </c>
      <c r="BB21" s="2">
        <f t="shared" si="57"/>
        <v>79.864999999999995</v>
      </c>
      <c r="BC21" s="2">
        <f t="shared" si="58"/>
        <v>101.9600772</v>
      </c>
      <c r="BD21" s="2">
        <f t="shared" si="59"/>
        <v>151.98919999999998</v>
      </c>
      <c r="BE21" s="2">
        <f t="shared" si="60"/>
        <v>71.843999999999994</v>
      </c>
      <c r="BF21" s="2">
        <f t="shared" si="61"/>
        <v>70.937044999999998</v>
      </c>
      <c r="BG21" s="2">
        <f t="shared" si="62"/>
        <v>40.304000000000002</v>
      </c>
      <c r="BH21" s="2">
        <f t="shared" si="63"/>
        <v>56.077000000000005</v>
      </c>
      <c r="BI21" s="2">
        <f t="shared" si="64"/>
        <v>61.978538560000004</v>
      </c>
      <c r="BJ21" s="2">
        <f t="shared" si="65"/>
        <v>94.195599999999999</v>
      </c>
      <c r="BK21" s="2">
        <f t="shared" si="66"/>
        <v>74.692399999999992</v>
      </c>
      <c r="BM21" s="2">
        <f t="shared" si="3"/>
        <v>0.68825204410051377</v>
      </c>
      <c r="BN21" s="2">
        <f t="shared" si="4"/>
        <v>4.2618330315065364E-5</v>
      </c>
      <c r="BO21" s="2">
        <f t="shared" si="5"/>
        <v>2.445165596350672E-4</v>
      </c>
      <c r="BP21" s="2">
        <f t="shared" si="6"/>
        <v>7.3672365047695504E-5</v>
      </c>
      <c r="BQ21" s="2">
        <f t="shared" si="7"/>
        <v>0.12778298187913023</v>
      </c>
      <c r="BR21" s="2">
        <f t="shared" si="8"/>
        <v>1.7260928653971303E-3</v>
      </c>
      <c r="BS21" s="2">
        <f t="shared" si="9"/>
        <v>1.2150758205933805</v>
      </c>
      <c r="BT21" s="2">
        <f t="shared" si="10"/>
        <v>7.9310804182257117E-4</v>
      </c>
      <c r="BU21" s="2">
        <f t="shared" si="11"/>
        <v>2.2157982171453603E-4</v>
      </c>
      <c r="BV21" s="2">
        <f t="shared" si="12"/>
        <v>0</v>
      </c>
      <c r="BW21" s="2">
        <f t="shared" si="13"/>
        <v>4.9864789954820752E-3</v>
      </c>
      <c r="BY21" s="2">
        <f t="shared" si="67"/>
        <v>0.68825204410051377</v>
      </c>
      <c r="BZ21" s="2">
        <f t="shared" si="68"/>
        <v>4.2618330315065364E-5</v>
      </c>
      <c r="CA21" s="2">
        <f t="shared" si="69"/>
        <v>4.890331192701344E-4</v>
      </c>
      <c r="CB21" s="2">
        <f t="shared" si="70"/>
        <v>1.4734473009539101E-4</v>
      </c>
      <c r="CC21" s="2">
        <f t="shared" si="71"/>
        <v>0.12778298187913023</v>
      </c>
      <c r="CD21" s="2">
        <f t="shared" si="72"/>
        <v>1.7260928653971303E-3</v>
      </c>
      <c r="CE21" s="2">
        <f t="shared" si="73"/>
        <v>1.2150758205933805</v>
      </c>
      <c r="CF21" s="2">
        <f t="shared" si="74"/>
        <v>7.9310804182257117E-4</v>
      </c>
      <c r="CG21" s="2">
        <f t="shared" si="75"/>
        <v>4.4315964342907206E-4</v>
      </c>
      <c r="CH21" s="2">
        <f t="shared" si="76"/>
        <v>0</v>
      </c>
      <c r="CI21" s="2">
        <f t="shared" si="77"/>
        <v>4.9864789954820752E-3</v>
      </c>
      <c r="CK21" s="2">
        <f t="shared" si="78"/>
        <v>1.3765040882010275</v>
      </c>
      <c r="CL21" s="2">
        <f t="shared" si="79"/>
        <v>8.5236660630130727E-5</v>
      </c>
      <c r="CM21" s="2">
        <f t="shared" si="80"/>
        <v>7.3354967890520159E-4</v>
      </c>
      <c r="CN21" s="2">
        <f t="shared" si="81"/>
        <v>2.210170951430865E-4</v>
      </c>
      <c r="CO21" s="2">
        <f t="shared" si="82"/>
        <v>0.12778298187913023</v>
      </c>
      <c r="CP21" s="2">
        <f t="shared" si="83"/>
        <v>1.7260928653971303E-3</v>
      </c>
      <c r="CQ21" s="2">
        <f t="shared" si="84"/>
        <v>1.2150758205933805</v>
      </c>
      <c r="CR21" s="2">
        <f t="shared" si="85"/>
        <v>7.9310804182257117E-4</v>
      </c>
      <c r="CS21" s="2">
        <f t="shared" si="86"/>
        <v>2.2157982171453603E-4</v>
      </c>
      <c r="CT21" s="2">
        <f t="shared" si="87"/>
        <v>0</v>
      </c>
      <c r="CU21" s="2">
        <f t="shared" si="88"/>
        <v>4.9864789954820752E-3</v>
      </c>
      <c r="CW21" s="14">
        <f t="shared" si="89"/>
        <v>2.7281299538326329</v>
      </c>
      <c r="CY21" s="14">
        <f t="shared" si="90"/>
        <v>1.4662058141257426</v>
      </c>
      <c r="DA21" s="16">
        <f t="shared" si="91"/>
        <v>1.0091191486441002</v>
      </c>
      <c r="DB21" s="16">
        <f t="shared" si="92"/>
        <v>6.2487243696280224E-5</v>
      </c>
      <c r="DC21" s="16">
        <f t="shared" si="93"/>
        <v>7.1702320277391876E-4</v>
      </c>
      <c r="DD21" s="16">
        <f t="shared" si="94"/>
        <v>2.1603769994665059E-4</v>
      </c>
      <c r="DE21" s="16">
        <f t="shared" si="95"/>
        <v>0.18735615097750516</v>
      </c>
      <c r="DF21" s="16">
        <f t="shared" si="96"/>
        <v>2.5308073949662354E-3</v>
      </c>
      <c r="DG21" s="16">
        <f t="shared" si="97"/>
        <v>1.7815512327576222</v>
      </c>
      <c r="DH21" s="16">
        <f t="shared" si="98"/>
        <v>1.1628596221501366E-3</v>
      </c>
      <c r="DI21" s="16">
        <f t="shared" si="99"/>
        <v>6.4976324578159639E-4</v>
      </c>
      <c r="DJ21" s="16">
        <f t="shared" si="100"/>
        <v>0</v>
      </c>
      <c r="DK21" s="16">
        <f t="shared" si="101"/>
        <v>7.3112044951917114E-3</v>
      </c>
      <c r="DL21" s="16">
        <f t="shared" si="22"/>
        <v>0.9048425779062903</v>
      </c>
      <c r="DN21" s="2">
        <f t="shared" si="23"/>
        <v>0.87578775747153459</v>
      </c>
      <c r="DO21" s="2">
        <f t="shared" si="24"/>
        <v>3.8963562696450976E-3</v>
      </c>
      <c r="DP21" s="2">
        <f t="shared" si="25"/>
        <v>5.217941149156894E-2</v>
      </c>
      <c r="DQ21" s="2">
        <f t="shared" si="26"/>
        <v>5.8780156788927436E-3</v>
      </c>
      <c r="DR21" s="2">
        <f t="shared" si="27"/>
        <v>4.1217815829990831E-2</v>
      </c>
      <c r="DS21" s="2">
        <f t="shared" si="28"/>
        <v>0</v>
      </c>
      <c r="DT21" s="2">
        <f t="shared" si="29"/>
        <v>0.39052727478351829</v>
      </c>
      <c r="DU21" s="2">
        <f t="shared" si="30"/>
        <v>0.37197541251831578</v>
      </c>
      <c r="DV21" s="2">
        <f t="shared" si="31"/>
        <v>2.0893049896639711E-2</v>
      </c>
      <c r="DW21" s="2">
        <f t="shared" si="32"/>
        <v>0</v>
      </c>
      <c r="DX21" s="2">
        <f t="shared" si="33"/>
        <v>0</v>
      </c>
      <c r="DZ21" s="2">
        <f t="shared" si="102"/>
        <v>1.7515755149430692</v>
      </c>
      <c r="EA21" s="2">
        <f t="shared" si="103"/>
        <v>7.7927125392901952E-3</v>
      </c>
      <c r="EB21" s="2">
        <f t="shared" si="104"/>
        <v>0.15653823447470683</v>
      </c>
      <c r="EC21" s="2">
        <f t="shared" si="105"/>
        <v>1.763404703667823E-2</v>
      </c>
      <c r="ED21" s="2">
        <f t="shared" si="106"/>
        <v>4.1217815829990831E-2</v>
      </c>
      <c r="EE21" s="2">
        <f t="shared" si="107"/>
        <v>0</v>
      </c>
      <c r="EF21" s="2">
        <f t="shared" si="108"/>
        <v>0.39052727478351829</v>
      </c>
      <c r="EG21" s="2">
        <f t="shared" si="109"/>
        <v>0.37197541251831578</v>
      </c>
      <c r="EH21" s="2">
        <f t="shared" si="110"/>
        <v>2.0893049896639711E-2</v>
      </c>
      <c r="EI21" s="2">
        <f t="shared" si="111"/>
        <v>0</v>
      </c>
      <c r="EJ21" s="2">
        <f t="shared" si="112"/>
        <v>0</v>
      </c>
      <c r="EL21" s="16">
        <f t="shared" si="113"/>
        <v>2.7581540620222094</v>
      </c>
      <c r="EN21" s="14">
        <f t="shared" si="114"/>
        <v>2.1753679689672412</v>
      </c>
      <c r="EP21" s="16">
        <f t="shared" si="115"/>
        <v>1.905160635217227</v>
      </c>
      <c r="EQ21" s="16">
        <f t="shared" si="116"/>
        <v>8.4760086246706331E-3</v>
      </c>
      <c r="ER21" s="16">
        <f t="shared" si="117"/>
        <v>0.2270188407966405</v>
      </c>
      <c r="ES21" s="16">
        <f t="shared" si="118"/>
        <v>2.5573694057901015E-2</v>
      </c>
      <c r="ET21" s="16">
        <f t="shared" si="119"/>
        <v>8.9663916307352959E-2</v>
      </c>
      <c r="EU21" s="16">
        <f t="shared" si="120"/>
        <v>0</v>
      </c>
      <c r="EV21" s="16">
        <f t="shared" si="121"/>
        <v>0.84954052457213391</v>
      </c>
      <c r="EW21" s="16">
        <f t="shared" si="122"/>
        <v>0.80918339763572034</v>
      </c>
      <c r="EX21" s="16">
        <f t="shared" si="123"/>
        <v>9.0900143038368714E-2</v>
      </c>
      <c r="EY21" s="16">
        <f t="shared" si="124"/>
        <v>0</v>
      </c>
      <c r="EZ21" s="16">
        <f t="shared" si="125"/>
        <v>0</v>
      </c>
      <c r="FB21" s="14">
        <f t="shared" si="40"/>
        <v>-6.5451434250463709</v>
      </c>
      <c r="FC21" s="4">
        <f t="shared" si="41"/>
        <v>2.5006818937011586</v>
      </c>
      <c r="FD21" s="4">
        <f t="shared" si="42"/>
        <v>2.7965020020426121</v>
      </c>
      <c r="FE21" s="4">
        <f t="shared" si="43"/>
        <v>2.7965020020426121</v>
      </c>
      <c r="FG21" s="4">
        <f t="shared" si="44"/>
        <v>3.1889475302125372</v>
      </c>
    </row>
    <row r="22" spans="1:163" x14ac:dyDescent="0.2">
      <c r="A22" s="56" t="s">
        <v>136</v>
      </c>
      <c r="B22" s="57" t="s">
        <v>145</v>
      </c>
      <c r="C22" s="138">
        <v>41.07791566732287</v>
      </c>
      <c r="D22" s="98">
        <v>2.0378290450026033E-3</v>
      </c>
      <c r="E22" s="148">
        <f t="shared" si="51"/>
        <v>1.6191276531011673E-2</v>
      </c>
      <c r="F22" s="138">
        <v>1.4774828477524201E-2</v>
      </c>
      <c r="G22" s="138">
        <v>8.8453910201608323</v>
      </c>
      <c r="H22" s="138">
        <v>0.12330026101846196</v>
      </c>
      <c r="I22" s="138">
        <v>49.582327895323296</v>
      </c>
      <c r="J22" s="150">
        <f t="shared" si="52"/>
        <v>4.9612439347370904E-2</v>
      </c>
      <c r="K22" s="98">
        <v>9.9648661759951067E-3</v>
      </c>
      <c r="L22" s="98"/>
      <c r="M22" s="138">
        <v>0.37106515617454738</v>
      </c>
      <c r="N22" s="141">
        <v>85.693310956244929</v>
      </c>
      <c r="O22" s="142">
        <v>354.57805235014916</v>
      </c>
      <c r="P22" s="11"/>
      <c r="Q22" s="140">
        <v>53.60608182454736</v>
      </c>
      <c r="R22" s="140">
        <v>0.16004801440432126</v>
      </c>
      <c r="S22" s="140">
        <v>3.2209662898869658</v>
      </c>
      <c r="T22" s="140">
        <v>0.70021006301890554</v>
      </c>
      <c r="U22" s="140">
        <v>2.5507652295688699</v>
      </c>
      <c r="V22" s="140">
        <v>0</v>
      </c>
      <c r="W22" s="140">
        <v>16.785035510653195</v>
      </c>
      <c r="X22" s="140">
        <v>22.026607982394715</v>
      </c>
      <c r="Y22" s="140">
        <v>0.95028508552565738</v>
      </c>
      <c r="Z22" s="100"/>
      <c r="AA22" s="140"/>
      <c r="AC22" s="139">
        <v>36.615044247787608</v>
      </c>
      <c r="AD22" s="139">
        <v>30.279565567176185</v>
      </c>
      <c r="AE22" s="11"/>
      <c r="AF22" s="83">
        <f t="shared" si="53"/>
        <v>0.35681521375831354</v>
      </c>
      <c r="AG22" s="22">
        <f t="shared" si="0"/>
        <v>4.4220283939681431E-4</v>
      </c>
      <c r="AH22" s="126">
        <f t="shared" si="54"/>
        <v>1005.9979033010145</v>
      </c>
      <c r="AI22" s="126">
        <f t="shared" si="1"/>
        <v>1005.8480440660082</v>
      </c>
      <c r="AJ22" s="126">
        <f t="shared" si="2"/>
        <v>0.14985923500626086</v>
      </c>
      <c r="AK22" s="12"/>
      <c r="AL22" s="25">
        <f t="shared" si="55"/>
        <v>2.1443318982310968</v>
      </c>
      <c r="AN22" s="2">
        <v>15.999000000000001</v>
      </c>
      <c r="AO22" s="2">
        <v>28.085000000000001</v>
      </c>
      <c r="AP22" s="2">
        <v>47.866999999999997</v>
      </c>
      <c r="AQ22" s="2">
        <v>26.9815386</v>
      </c>
      <c r="AR22" s="2">
        <v>51.996099999999998</v>
      </c>
      <c r="AS22" s="2">
        <v>55.844999999999999</v>
      </c>
      <c r="AT22" s="2">
        <v>54.938045000000002</v>
      </c>
      <c r="AU22" s="2">
        <v>24.305</v>
      </c>
      <c r="AV22" s="2">
        <v>40.078000000000003</v>
      </c>
      <c r="AW22" s="2">
        <v>22.989769280000001</v>
      </c>
      <c r="AX22" s="2">
        <v>39.098300000000002</v>
      </c>
      <c r="AY22" s="2">
        <v>58.693399999999997</v>
      </c>
      <c r="BA22" s="2">
        <f t="shared" si="56"/>
        <v>60.082999999999998</v>
      </c>
      <c r="BB22" s="2">
        <f t="shared" si="57"/>
        <v>79.864999999999995</v>
      </c>
      <c r="BC22" s="2">
        <f t="shared" si="58"/>
        <v>101.9600772</v>
      </c>
      <c r="BD22" s="2">
        <f t="shared" si="59"/>
        <v>151.98919999999998</v>
      </c>
      <c r="BE22" s="2">
        <f t="shared" si="60"/>
        <v>71.843999999999994</v>
      </c>
      <c r="BF22" s="2">
        <f t="shared" si="61"/>
        <v>70.937044999999998</v>
      </c>
      <c r="BG22" s="2">
        <f t="shared" si="62"/>
        <v>40.304000000000002</v>
      </c>
      <c r="BH22" s="2">
        <f t="shared" si="63"/>
        <v>56.077000000000005</v>
      </c>
      <c r="BI22" s="2">
        <f t="shared" si="64"/>
        <v>61.978538560000004</v>
      </c>
      <c r="BJ22" s="2">
        <f t="shared" si="65"/>
        <v>94.195599999999999</v>
      </c>
      <c r="BK22" s="2">
        <f t="shared" si="66"/>
        <v>74.692399999999992</v>
      </c>
      <c r="BM22" s="2">
        <f t="shared" si="3"/>
        <v>0.6836861619313761</v>
      </c>
      <c r="BN22" s="2">
        <f t="shared" si="4"/>
        <v>2.5515921179522987E-5</v>
      </c>
      <c r="BO22" s="2">
        <f t="shared" si="5"/>
        <v>1.5880015958845973E-4</v>
      </c>
      <c r="BP22" s="2">
        <f t="shared" si="6"/>
        <v>9.7209725937923242E-5</v>
      </c>
      <c r="BQ22" s="2">
        <f t="shared" si="7"/>
        <v>0.12311941178331988</v>
      </c>
      <c r="BR22" s="2">
        <f t="shared" si="8"/>
        <v>1.7381646080473464E-3</v>
      </c>
      <c r="BS22" s="2">
        <f t="shared" si="9"/>
        <v>1.2302086119323961</v>
      </c>
      <c r="BT22" s="2">
        <f t="shared" si="10"/>
        <v>8.8471992701768816E-4</v>
      </c>
      <c r="BU22" s="2">
        <f t="shared" si="11"/>
        <v>1.6077930211839939E-4</v>
      </c>
      <c r="BV22" s="2">
        <f t="shared" si="12"/>
        <v>0</v>
      </c>
      <c r="BW22" s="2">
        <f t="shared" si="13"/>
        <v>4.9679104724784234E-3</v>
      </c>
      <c r="BY22" s="2">
        <f t="shared" si="67"/>
        <v>0.6836861619313761</v>
      </c>
      <c r="BZ22" s="2">
        <f t="shared" si="68"/>
        <v>2.5515921179522987E-5</v>
      </c>
      <c r="CA22" s="2">
        <f t="shared" si="69"/>
        <v>3.1760031917691945E-4</v>
      </c>
      <c r="CB22" s="2">
        <f t="shared" si="70"/>
        <v>1.9441945187584648E-4</v>
      </c>
      <c r="CC22" s="2">
        <f t="shared" si="71"/>
        <v>0.12311941178331988</v>
      </c>
      <c r="CD22" s="2">
        <f t="shared" si="72"/>
        <v>1.7381646080473464E-3</v>
      </c>
      <c r="CE22" s="2">
        <f t="shared" si="73"/>
        <v>1.2302086119323961</v>
      </c>
      <c r="CF22" s="2">
        <f t="shared" si="74"/>
        <v>8.8471992701768816E-4</v>
      </c>
      <c r="CG22" s="2">
        <f t="shared" si="75"/>
        <v>3.2155860423679878E-4</v>
      </c>
      <c r="CH22" s="2">
        <f t="shared" si="76"/>
        <v>0</v>
      </c>
      <c r="CI22" s="2">
        <f t="shared" si="77"/>
        <v>4.9679104724784234E-3</v>
      </c>
      <c r="CK22" s="2">
        <f t="shared" si="78"/>
        <v>1.3673723238627522</v>
      </c>
      <c r="CL22" s="2">
        <f t="shared" si="79"/>
        <v>5.1031842359045973E-5</v>
      </c>
      <c r="CM22" s="2">
        <f t="shared" si="80"/>
        <v>4.7640047876537921E-4</v>
      </c>
      <c r="CN22" s="2">
        <f t="shared" si="81"/>
        <v>2.9162917781376974E-4</v>
      </c>
      <c r="CO22" s="2">
        <f t="shared" si="82"/>
        <v>0.12311941178331988</v>
      </c>
      <c r="CP22" s="2">
        <f t="shared" si="83"/>
        <v>1.7381646080473464E-3</v>
      </c>
      <c r="CQ22" s="2">
        <f t="shared" si="84"/>
        <v>1.2302086119323961</v>
      </c>
      <c r="CR22" s="2">
        <f t="shared" si="85"/>
        <v>8.8471992701768816E-4</v>
      </c>
      <c r="CS22" s="2">
        <f t="shared" si="86"/>
        <v>1.6077930211839939E-4</v>
      </c>
      <c r="CT22" s="2">
        <f t="shared" si="87"/>
        <v>0</v>
      </c>
      <c r="CU22" s="2">
        <f t="shared" si="88"/>
        <v>4.9679104724784234E-3</v>
      </c>
      <c r="CW22" s="14">
        <f t="shared" si="89"/>
        <v>2.7292709833870683</v>
      </c>
      <c r="CY22" s="14">
        <f t="shared" si="90"/>
        <v>1.4655928357234564</v>
      </c>
      <c r="DA22" s="16">
        <f t="shared" si="91"/>
        <v>1.0020055408098918</v>
      </c>
      <c r="DB22" s="16">
        <f t="shared" si="92"/>
        <v>3.7395951277593295E-5</v>
      </c>
      <c r="DC22" s="16">
        <f t="shared" si="93"/>
        <v>4.6547275240917623E-4</v>
      </c>
      <c r="DD22" s="16">
        <f t="shared" si="94"/>
        <v>2.8493975579452191E-4</v>
      </c>
      <c r="DE22" s="16">
        <f t="shared" si="95"/>
        <v>0.18044292784811972</v>
      </c>
      <c r="DF22" s="16">
        <f t="shared" si="96"/>
        <v>2.5474415968622607E-3</v>
      </c>
      <c r="DG22" s="16">
        <f t="shared" si="97"/>
        <v>1.8029849280934176</v>
      </c>
      <c r="DH22" s="16">
        <f t="shared" si="98"/>
        <v>1.296639186658903E-3</v>
      </c>
      <c r="DI22" s="16">
        <f t="shared" si="99"/>
        <v>4.7127398663468657E-4</v>
      </c>
      <c r="DJ22" s="16">
        <f t="shared" si="100"/>
        <v>0</v>
      </c>
      <c r="DK22" s="16">
        <f t="shared" si="101"/>
        <v>7.2809339969799091E-3</v>
      </c>
      <c r="DL22" s="16">
        <f t="shared" si="22"/>
        <v>0.90902470825566628</v>
      </c>
      <c r="DN22" s="2">
        <f t="shared" si="23"/>
        <v>0.89220048640293192</v>
      </c>
      <c r="DO22" s="2">
        <f t="shared" si="24"/>
        <v>2.003981899509438E-3</v>
      </c>
      <c r="DP22" s="2">
        <f t="shared" si="25"/>
        <v>3.1590465389398172E-2</v>
      </c>
      <c r="DQ22" s="2">
        <f t="shared" si="26"/>
        <v>4.6069724889591206E-3</v>
      </c>
      <c r="DR22" s="2">
        <f t="shared" si="27"/>
        <v>3.5504220666567422E-2</v>
      </c>
      <c r="DS22" s="2">
        <f t="shared" si="28"/>
        <v>0</v>
      </c>
      <c r="DT22" s="2">
        <f t="shared" si="29"/>
        <v>0.41646078579429324</v>
      </c>
      <c r="DU22" s="2">
        <f t="shared" si="30"/>
        <v>0.39279219613022653</v>
      </c>
      <c r="DV22" s="2">
        <f t="shared" si="31"/>
        <v>1.5332486173511628E-2</v>
      </c>
      <c r="DW22" s="2">
        <f t="shared" si="32"/>
        <v>0</v>
      </c>
      <c r="DX22" s="2">
        <f t="shared" si="33"/>
        <v>0</v>
      </c>
      <c r="DZ22" s="2">
        <f t="shared" si="102"/>
        <v>1.7844009728058638</v>
      </c>
      <c r="EA22" s="2">
        <f t="shared" si="103"/>
        <v>4.007963799018876E-3</v>
      </c>
      <c r="EB22" s="2">
        <f t="shared" si="104"/>
        <v>9.4771396168194522E-2</v>
      </c>
      <c r="EC22" s="2">
        <f t="shared" si="105"/>
        <v>1.3820917466877362E-2</v>
      </c>
      <c r="ED22" s="2">
        <f t="shared" si="106"/>
        <v>3.5504220666567422E-2</v>
      </c>
      <c r="EE22" s="2">
        <f t="shared" si="107"/>
        <v>0</v>
      </c>
      <c r="EF22" s="2">
        <f t="shared" si="108"/>
        <v>0.41646078579429324</v>
      </c>
      <c r="EG22" s="2">
        <f t="shared" si="109"/>
        <v>0.39279219613022653</v>
      </c>
      <c r="EH22" s="2">
        <f t="shared" si="110"/>
        <v>1.5332486173511628E-2</v>
      </c>
      <c r="EI22" s="2">
        <f t="shared" si="111"/>
        <v>0</v>
      </c>
      <c r="EJ22" s="2">
        <f t="shared" si="112"/>
        <v>0</v>
      </c>
      <c r="EL22" s="16">
        <f t="shared" si="113"/>
        <v>2.7570909390045535</v>
      </c>
      <c r="EN22" s="14">
        <f t="shared" si="114"/>
        <v>2.1762067819809734</v>
      </c>
      <c r="EP22" s="16">
        <f t="shared" si="115"/>
        <v>1.9416127493967836</v>
      </c>
      <c r="EQ22" s="16">
        <f t="shared" si="116"/>
        <v>4.3610790006795522E-3</v>
      </c>
      <c r="ER22" s="16">
        <f t="shared" si="117"/>
        <v>0.13749477005268704</v>
      </c>
      <c r="ES22" s="16">
        <f t="shared" si="118"/>
        <v>2.0051449549745207E-2</v>
      </c>
      <c r="ET22" s="16">
        <f t="shared" si="119"/>
        <v>7.726452580353306E-2</v>
      </c>
      <c r="EU22" s="16">
        <f t="shared" si="120"/>
        <v>0</v>
      </c>
      <c r="EV22" s="16">
        <f t="shared" si="121"/>
        <v>0.90630478647466639</v>
      </c>
      <c r="EW22" s="16">
        <f t="shared" si="122"/>
        <v>0.85479704112779964</v>
      </c>
      <c r="EX22" s="16">
        <f t="shared" si="123"/>
        <v>6.6733320790851022E-2</v>
      </c>
      <c r="EY22" s="16">
        <f t="shared" si="124"/>
        <v>0</v>
      </c>
      <c r="EZ22" s="16">
        <f t="shared" si="125"/>
        <v>0</v>
      </c>
      <c r="FB22" s="14">
        <f t="shared" si="40"/>
        <v>-6.4910883860304285</v>
      </c>
      <c r="FC22" s="4">
        <f t="shared" si="41"/>
        <v>1.6677417558561327</v>
      </c>
      <c r="FD22" s="4">
        <f t="shared" si="42"/>
        <v>2.1443318982310968</v>
      </c>
      <c r="FE22" s="4">
        <f t="shared" si="43"/>
        <v>2.1443318982310968</v>
      </c>
      <c r="FG22" s="4">
        <f t="shared" si="44"/>
        <v>2.1692619153319201</v>
      </c>
    </row>
    <row r="23" spans="1:163" x14ac:dyDescent="0.2">
      <c r="A23" s="56" t="s">
        <v>137</v>
      </c>
      <c r="B23" s="57" t="s">
        <v>145</v>
      </c>
      <c r="C23" s="138">
        <v>41.258438850731324</v>
      </c>
      <c r="D23" s="98">
        <v>1.8785679122368672E-3</v>
      </c>
      <c r="E23" s="148">
        <f t="shared" si="51"/>
        <v>8.1405558300907191E-3</v>
      </c>
      <c r="F23" s="138">
        <v>6.0821879920688058E-3</v>
      </c>
      <c r="G23" s="138">
        <v>9.5557420087487621</v>
      </c>
      <c r="H23" s="138">
        <v>0.1290161217292605</v>
      </c>
      <c r="I23" s="138">
        <v>48.767235079131609</v>
      </c>
      <c r="J23" s="150">
        <f t="shared" si="52"/>
        <v>4.5939248727833969E-2</v>
      </c>
      <c r="K23" s="98">
        <v>6.4335171610029607E-3</v>
      </c>
      <c r="L23" s="98"/>
      <c r="M23" s="138">
        <v>0.28956793965905331</v>
      </c>
      <c r="N23" s="141">
        <v>43.084384407153927</v>
      </c>
      <c r="O23" s="142">
        <v>328.32591089290258</v>
      </c>
      <c r="P23" s="11"/>
      <c r="Q23" s="140">
        <v>53.565705128205131</v>
      </c>
      <c r="R23" s="140">
        <v>0.29046474358974361</v>
      </c>
      <c r="S23" s="140">
        <v>3.7660256410256414</v>
      </c>
      <c r="T23" s="140">
        <v>1.2620192307692311</v>
      </c>
      <c r="U23" s="140">
        <v>2.6842948717948723</v>
      </c>
      <c r="V23" s="140">
        <v>0</v>
      </c>
      <c r="W23" s="140">
        <v>15.504807692307695</v>
      </c>
      <c r="X23" s="140">
        <v>21.504407051282051</v>
      </c>
      <c r="Y23" s="140">
        <v>1.4222756410256412</v>
      </c>
      <c r="Z23" s="100"/>
      <c r="AA23" s="140"/>
      <c r="AC23" s="139">
        <v>36.026902228468174</v>
      </c>
      <c r="AD23" s="139">
        <v>29.773137924111627</v>
      </c>
      <c r="AE23" s="11"/>
      <c r="AF23" s="83">
        <f t="shared" si="53"/>
        <v>0.35666071933547977</v>
      </c>
      <c r="AG23" s="22">
        <f t="shared" si="0"/>
        <v>2.2595769623673378E-4</v>
      </c>
      <c r="AH23" s="126">
        <f t="shared" si="54"/>
        <v>914.54280811420767</v>
      </c>
      <c r="AI23" s="126">
        <f t="shared" si="1"/>
        <v>914.39290118286203</v>
      </c>
      <c r="AJ23" s="126">
        <f t="shared" si="2"/>
        <v>0.14990693134564026</v>
      </c>
      <c r="AK23" s="12"/>
      <c r="AL23" s="25">
        <f t="shared" si="55"/>
        <v>1.1609747416917249</v>
      </c>
      <c r="AN23" s="2">
        <v>15.999000000000001</v>
      </c>
      <c r="AO23" s="2">
        <v>28.085000000000001</v>
      </c>
      <c r="AP23" s="2">
        <v>47.866999999999997</v>
      </c>
      <c r="AQ23" s="2">
        <v>26.9815386</v>
      </c>
      <c r="AR23" s="2">
        <v>51.996099999999998</v>
      </c>
      <c r="AS23" s="2">
        <v>55.844999999999999</v>
      </c>
      <c r="AT23" s="2">
        <v>54.938045000000002</v>
      </c>
      <c r="AU23" s="2">
        <v>24.305</v>
      </c>
      <c r="AV23" s="2">
        <v>40.078000000000003</v>
      </c>
      <c r="AW23" s="2">
        <v>22.989769280000001</v>
      </c>
      <c r="AX23" s="2">
        <v>39.098300000000002</v>
      </c>
      <c r="AY23" s="2">
        <v>58.693399999999997</v>
      </c>
      <c r="BA23" s="2">
        <f t="shared" si="56"/>
        <v>60.082999999999998</v>
      </c>
      <c r="BB23" s="2">
        <f t="shared" si="57"/>
        <v>79.864999999999995</v>
      </c>
      <c r="BC23" s="2">
        <f t="shared" si="58"/>
        <v>101.9600772</v>
      </c>
      <c r="BD23" s="2">
        <f t="shared" si="59"/>
        <v>151.98919999999998</v>
      </c>
      <c r="BE23" s="2">
        <f t="shared" si="60"/>
        <v>71.843999999999994</v>
      </c>
      <c r="BF23" s="2">
        <f t="shared" si="61"/>
        <v>70.937044999999998</v>
      </c>
      <c r="BG23" s="2">
        <f t="shared" si="62"/>
        <v>40.304000000000002</v>
      </c>
      <c r="BH23" s="2">
        <f t="shared" si="63"/>
        <v>56.077000000000005</v>
      </c>
      <c r="BI23" s="2">
        <f t="shared" si="64"/>
        <v>61.978538560000004</v>
      </c>
      <c r="BJ23" s="2">
        <f t="shared" si="65"/>
        <v>94.195599999999999</v>
      </c>
      <c r="BK23" s="2">
        <f t="shared" si="66"/>
        <v>74.692399999999992</v>
      </c>
      <c r="BM23" s="2">
        <f t="shared" si="3"/>
        <v>0.68669072534213216</v>
      </c>
      <c r="BN23" s="2">
        <f t="shared" si="4"/>
        <v>2.3521791926837381E-5</v>
      </c>
      <c r="BO23" s="2">
        <f t="shared" si="5"/>
        <v>7.9840620502106871E-5</v>
      </c>
      <c r="BP23" s="2">
        <f t="shared" si="6"/>
        <v>4.0017238014732665E-5</v>
      </c>
      <c r="BQ23" s="2">
        <f t="shared" si="7"/>
        <v>0.13300682045471804</v>
      </c>
      <c r="BR23" s="2">
        <f t="shared" si="8"/>
        <v>1.8187411348930661E-3</v>
      </c>
      <c r="BS23" s="2">
        <f t="shared" si="9"/>
        <v>1.2099849910463381</v>
      </c>
      <c r="BT23" s="2">
        <f t="shared" si="10"/>
        <v>8.1921730349045002E-4</v>
      </c>
      <c r="BU23" s="2">
        <f t="shared" si="11"/>
        <v>1.0380233723605502E-4</v>
      </c>
      <c r="BV23" s="2">
        <f t="shared" si="12"/>
        <v>0</v>
      </c>
      <c r="BW23" s="2">
        <f t="shared" si="13"/>
        <v>3.8768059355309688E-3</v>
      </c>
      <c r="BY23" s="2">
        <f t="shared" si="67"/>
        <v>0.68669072534213216</v>
      </c>
      <c r="BZ23" s="2">
        <f t="shared" si="68"/>
        <v>2.3521791926837381E-5</v>
      </c>
      <c r="CA23" s="2">
        <f t="shared" si="69"/>
        <v>1.5968124100421374E-4</v>
      </c>
      <c r="CB23" s="2">
        <f t="shared" si="70"/>
        <v>8.003447602946533E-5</v>
      </c>
      <c r="CC23" s="2">
        <f t="shared" si="71"/>
        <v>0.13300682045471804</v>
      </c>
      <c r="CD23" s="2">
        <f t="shared" si="72"/>
        <v>1.8187411348930661E-3</v>
      </c>
      <c r="CE23" s="2">
        <f t="shared" si="73"/>
        <v>1.2099849910463381</v>
      </c>
      <c r="CF23" s="2">
        <f t="shared" si="74"/>
        <v>8.1921730349045002E-4</v>
      </c>
      <c r="CG23" s="2">
        <f t="shared" si="75"/>
        <v>2.0760467447211004E-4</v>
      </c>
      <c r="CH23" s="2">
        <f t="shared" si="76"/>
        <v>0</v>
      </c>
      <c r="CI23" s="2">
        <f t="shared" si="77"/>
        <v>3.8768059355309688E-3</v>
      </c>
      <c r="CK23" s="2">
        <f t="shared" si="78"/>
        <v>1.3733814506842643</v>
      </c>
      <c r="CL23" s="2">
        <f t="shared" si="79"/>
        <v>4.7043583853674761E-5</v>
      </c>
      <c r="CM23" s="2">
        <f t="shared" si="80"/>
        <v>2.3952186150632063E-4</v>
      </c>
      <c r="CN23" s="2">
        <f t="shared" si="81"/>
        <v>1.2005171404419799E-4</v>
      </c>
      <c r="CO23" s="2">
        <f t="shared" si="82"/>
        <v>0.13300682045471804</v>
      </c>
      <c r="CP23" s="2">
        <f t="shared" si="83"/>
        <v>1.8187411348930661E-3</v>
      </c>
      <c r="CQ23" s="2">
        <f t="shared" si="84"/>
        <v>1.2099849910463381</v>
      </c>
      <c r="CR23" s="2">
        <f t="shared" si="85"/>
        <v>8.1921730349045002E-4</v>
      </c>
      <c r="CS23" s="2">
        <f t="shared" si="86"/>
        <v>1.0380233723605502E-4</v>
      </c>
      <c r="CT23" s="2">
        <f t="shared" si="87"/>
        <v>0</v>
      </c>
      <c r="CU23" s="2">
        <f t="shared" si="88"/>
        <v>3.8768059355309688E-3</v>
      </c>
      <c r="CW23" s="14">
        <f t="shared" si="89"/>
        <v>2.7233984460558753</v>
      </c>
      <c r="CY23" s="14">
        <f t="shared" si="90"/>
        <v>1.4687531329809436</v>
      </c>
      <c r="DA23" s="16">
        <f t="shared" si="91"/>
        <v>1.0085791542352132</v>
      </c>
      <c r="DB23" s="16">
        <f t="shared" si="92"/>
        <v>3.454770558586827E-5</v>
      </c>
      <c r="DC23" s="16">
        <f t="shared" si="93"/>
        <v>2.3453232300322404E-4</v>
      </c>
      <c r="DD23" s="16">
        <f t="shared" si="94"/>
        <v>1.1755088741476543E-4</v>
      </c>
      <c r="DE23" s="16">
        <f t="shared" si="95"/>
        <v>0.19535418425070097</v>
      </c>
      <c r="DF23" s="16">
        <f t="shared" si="96"/>
        <v>2.6712817399555076E-3</v>
      </c>
      <c r="DG23" s="16">
        <f t="shared" si="97"/>
        <v>1.7771692464592279</v>
      </c>
      <c r="DH23" s="16">
        <f t="shared" si="98"/>
        <v>1.2032279810937989E-3</v>
      </c>
      <c r="DI23" s="16">
        <f t="shared" si="99"/>
        <v>3.0492001605240054E-4</v>
      </c>
      <c r="DJ23" s="16">
        <f t="shared" si="100"/>
        <v>0</v>
      </c>
      <c r="DK23" s="16">
        <f t="shared" si="101"/>
        <v>5.6940708637702279E-3</v>
      </c>
      <c r="DL23" s="16">
        <f t="shared" si="22"/>
        <v>0.90096229975813713</v>
      </c>
      <c r="DN23" s="2">
        <f t="shared" si="23"/>
        <v>0.89152847108508448</v>
      </c>
      <c r="DO23" s="2">
        <f t="shared" si="24"/>
        <v>3.6369466423307284E-3</v>
      </c>
      <c r="DP23" s="2">
        <f t="shared" si="25"/>
        <v>3.6936276868821762E-2</v>
      </c>
      <c r="DQ23" s="2">
        <f t="shared" si="26"/>
        <v>8.3033480718974189E-3</v>
      </c>
      <c r="DR23" s="2">
        <f t="shared" si="27"/>
        <v>3.7362826009059526E-2</v>
      </c>
      <c r="DS23" s="2">
        <f t="shared" si="28"/>
        <v>0</v>
      </c>
      <c r="DT23" s="2">
        <f t="shared" si="29"/>
        <v>0.38469649891593127</v>
      </c>
      <c r="DU23" s="2">
        <f t="shared" si="30"/>
        <v>0.38347998379517539</v>
      </c>
      <c r="DV23" s="2">
        <f t="shared" si="31"/>
        <v>2.2947873152071321E-2</v>
      </c>
      <c r="DW23" s="2">
        <f t="shared" si="32"/>
        <v>0</v>
      </c>
      <c r="DX23" s="2">
        <f t="shared" si="33"/>
        <v>0</v>
      </c>
      <c r="DZ23" s="2">
        <f t="shared" si="102"/>
        <v>1.783056942170169</v>
      </c>
      <c r="EA23" s="2">
        <f t="shared" si="103"/>
        <v>7.2738932846614568E-3</v>
      </c>
      <c r="EB23" s="2">
        <f t="shared" si="104"/>
        <v>0.11080883060646529</v>
      </c>
      <c r="EC23" s="2">
        <f t="shared" si="105"/>
        <v>2.4910044215692255E-2</v>
      </c>
      <c r="ED23" s="2">
        <f t="shared" si="106"/>
        <v>3.7362826009059526E-2</v>
      </c>
      <c r="EE23" s="2">
        <f t="shared" si="107"/>
        <v>0</v>
      </c>
      <c r="EF23" s="2">
        <f t="shared" si="108"/>
        <v>0.38469649891593127</v>
      </c>
      <c r="EG23" s="2">
        <f t="shared" si="109"/>
        <v>0.38347998379517539</v>
      </c>
      <c r="EH23" s="2">
        <f t="shared" si="110"/>
        <v>2.2947873152071321E-2</v>
      </c>
      <c r="EI23" s="2">
        <f t="shared" si="111"/>
        <v>0</v>
      </c>
      <c r="EJ23" s="2">
        <f t="shared" si="112"/>
        <v>0</v>
      </c>
      <c r="EL23" s="16">
        <f t="shared" si="113"/>
        <v>2.7545368921492255</v>
      </c>
      <c r="EN23" s="14">
        <f t="shared" si="114"/>
        <v>2.1782245927076707</v>
      </c>
      <c r="EP23" s="16">
        <f t="shared" si="115"/>
        <v>1.9419492408166006</v>
      </c>
      <c r="EQ23" s="16">
        <f t="shared" si="116"/>
        <v>7.922086618690382E-3</v>
      </c>
      <c r="ER23" s="16">
        <f t="shared" si="117"/>
        <v>0.16091101327745408</v>
      </c>
      <c r="ES23" s="16">
        <f t="shared" si="118"/>
        <v>3.6173113944037556E-2</v>
      </c>
      <c r="ET23" s="16">
        <f t="shared" si="119"/>
        <v>8.1384626465991247E-2</v>
      </c>
      <c r="EU23" s="16">
        <f t="shared" si="120"/>
        <v>0</v>
      </c>
      <c r="EV23" s="16">
        <f t="shared" si="121"/>
        <v>0.83795537466722125</v>
      </c>
      <c r="EW23" s="16">
        <f t="shared" si="122"/>
        <v>0.83530553151379006</v>
      </c>
      <c r="EX23" s="16">
        <f t="shared" si="123"/>
        <v>9.9971243300355686E-2</v>
      </c>
      <c r="EY23" s="16">
        <f t="shared" si="124"/>
        <v>0</v>
      </c>
      <c r="EZ23" s="16">
        <f t="shared" si="125"/>
        <v>0</v>
      </c>
      <c r="FB23" s="14">
        <f t="shared" si="40"/>
        <v>-6.542789634421756</v>
      </c>
      <c r="FC23" s="4">
        <f t="shared" si="41"/>
        <v>0.13322475561215605</v>
      </c>
      <c r="FD23" s="4">
        <f t="shared" si="42"/>
        <v>1.1609747416917249</v>
      </c>
      <c r="FE23" s="4">
        <f t="shared" si="43"/>
        <v>1.1609747416917249</v>
      </c>
      <c r="FG23" s="4">
        <f t="shared" si="44"/>
        <v>0.73216653912560259</v>
      </c>
    </row>
    <row r="24" spans="1:163" x14ac:dyDescent="0.2">
      <c r="A24" s="58" t="s">
        <v>138</v>
      </c>
      <c r="B24" s="57" t="s">
        <v>145</v>
      </c>
      <c r="C24" s="138">
        <v>40.869079716777691</v>
      </c>
      <c r="D24" s="98">
        <v>2.8838043239167552E-3</v>
      </c>
      <c r="E24" s="148">
        <f t="shared" si="51"/>
        <v>2.2535794111126942E-2</v>
      </c>
      <c r="F24" s="138">
        <v>1.6049185249174671E-2</v>
      </c>
      <c r="G24" s="138">
        <v>8.7876519254030292</v>
      </c>
      <c r="H24" s="138">
        <v>0.12668630855943211</v>
      </c>
      <c r="I24" s="138">
        <v>49.816688901346183</v>
      </c>
      <c r="J24" s="150">
        <f t="shared" si="52"/>
        <v>4.8251244161512566E-2</v>
      </c>
      <c r="K24" s="98">
        <v>1.142017533029154E-2</v>
      </c>
      <c r="L24" s="98"/>
      <c r="M24" s="138">
        <v>0.39989314791367597</v>
      </c>
      <c r="N24" s="141">
        <v>119.27205422697145</v>
      </c>
      <c r="O24" s="142">
        <v>344.84964664748486</v>
      </c>
      <c r="P24" s="11"/>
      <c r="Q24" s="140">
        <v>52.94885964030945</v>
      </c>
      <c r="R24" s="140">
        <v>0.21099166080578721</v>
      </c>
      <c r="S24" s="140">
        <v>3.5868582336983827</v>
      </c>
      <c r="T24" s="140">
        <v>0.73344720184868895</v>
      </c>
      <c r="U24" s="140">
        <v>2.8835526976790922</v>
      </c>
      <c r="V24" s="140">
        <v>0</v>
      </c>
      <c r="W24" s="140">
        <v>17.030041193609964</v>
      </c>
      <c r="X24" s="140">
        <v>21.621621621621621</v>
      </c>
      <c r="Y24" s="140">
        <v>0.98462775042700712</v>
      </c>
      <c r="Z24" s="100"/>
      <c r="AA24" s="140"/>
      <c r="AC24" s="139">
        <v>43.062972292191439</v>
      </c>
      <c r="AD24" s="139">
        <v>23.052896725440807</v>
      </c>
      <c r="AE24" s="11"/>
      <c r="AF24" s="83">
        <f t="shared" si="53"/>
        <v>0.26422954218261879</v>
      </c>
      <c r="AG24" s="22">
        <f t="shared" si="0"/>
        <v>5.2332184499984764E-4</v>
      </c>
      <c r="AH24" s="126">
        <f t="shared" si="54"/>
        <v>1045.2706873396376</v>
      </c>
      <c r="AI24" s="126">
        <f t="shared" si="1"/>
        <v>1045.1208270454431</v>
      </c>
      <c r="AJ24" s="126">
        <f t="shared" si="2"/>
        <v>0.14986029419446822</v>
      </c>
      <c r="AK24" s="12"/>
      <c r="AL24" s="25">
        <f t="shared" si="55"/>
        <v>2.6617089589631684</v>
      </c>
      <c r="AN24" s="2">
        <v>15.999000000000001</v>
      </c>
      <c r="AO24" s="2">
        <v>28.085000000000001</v>
      </c>
      <c r="AP24" s="2">
        <v>47.866999999999997</v>
      </c>
      <c r="AQ24" s="2">
        <v>26.9815386</v>
      </c>
      <c r="AR24" s="2">
        <v>51.996099999999998</v>
      </c>
      <c r="AS24" s="2">
        <v>55.844999999999999</v>
      </c>
      <c r="AT24" s="2">
        <v>54.938045000000002</v>
      </c>
      <c r="AU24" s="2">
        <v>24.305</v>
      </c>
      <c r="AV24" s="2">
        <v>40.078000000000003</v>
      </c>
      <c r="AW24" s="2">
        <v>22.989769280000001</v>
      </c>
      <c r="AX24" s="2">
        <v>39.098300000000002</v>
      </c>
      <c r="AY24" s="2">
        <v>58.693399999999997</v>
      </c>
      <c r="BA24" s="2">
        <f t="shared" si="56"/>
        <v>60.082999999999998</v>
      </c>
      <c r="BB24" s="2">
        <f t="shared" si="57"/>
        <v>79.864999999999995</v>
      </c>
      <c r="BC24" s="2">
        <f t="shared" si="58"/>
        <v>101.9600772</v>
      </c>
      <c r="BD24" s="2">
        <f t="shared" si="59"/>
        <v>151.98919999999998</v>
      </c>
      <c r="BE24" s="2">
        <f t="shared" si="60"/>
        <v>71.843999999999994</v>
      </c>
      <c r="BF24" s="2">
        <f t="shared" si="61"/>
        <v>70.937044999999998</v>
      </c>
      <c r="BG24" s="2">
        <f t="shared" si="62"/>
        <v>40.304000000000002</v>
      </c>
      <c r="BH24" s="2">
        <f t="shared" si="63"/>
        <v>56.077000000000005</v>
      </c>
      <c r="BI24" s="2">
        <f t="shared" si="64"/>
        <v>61.978538560000004</v>
      </c>
      <c r="BJ24" s="2">
        <f t="shared" si="65"/>
        <v>94.195599999999999</v>
      </c>
      <c r="BK24" s="2">
        <f t="shared" si="66"/>
        <v>74.692399999999992</v>
      </c>
      <c r="BM24" s="2">
        <f t="shared" si="3"/>
        <v>0.6802103709331706</v>
      </c>
      <c r="BN24" s="2">
        <f t="shared" si="4"/>
        <v>3.6108487120976091E-5</v>
      </c>
      <c r="BO24" s="2">
        <f t="shared" si="5"/>
        <v>2.2102566739844469E-4</v>
      </c>
      <c r="BP24" s="2">
        <f t="shared" si="6"/>
        <v>1.0559424780954616E-4</v>
      </c>
      <c r="BQ24" s="2">
        <f t="shared" si="7"/>
        <v>0.12231573861982949</v>
      </c>
      <c r="BR24" s="2">
        <f t="shared" si="8"/>
        <v>1.7858977429836853E-3</v>
      </c>
      <c r="BS24" s="2">
        <f t="shared" si="9"/>
        <v>1.2360234443565448</v>
      </c>
      <c r="BT24" s="2">
        <f t="shared" si="10"/>
        <v>8.6044624643815759E-4</v>
      </c>
      <c r="BU24" s="2">
        <f t="shared" si="11"/>
        <v>1.8426015836491417E-4</v>
      </c>
      <c r="BV24" s="2">
        <f t="shared" si="12"/>
        <v>0</v>
      </c>
      <c r="BW24" s="2">
        <f t="shared" si="13"/>
        <v>5.3538666305229989E-3</v>
      </c>
      <c r="BY24" s="2">
        <f t="shared" si="67"/>
        <v>0.6802103709331706</v>
      </c>
      <c r="BZ24" s="2">
        <f t="shared" si="68"/>
        <v>3.6108487120976091E-5</v>
      </c>
      <c r="CA24" s="2">
        <f t="shared" si="69"/>
        <v>4.4205133479688938E-4</v>
      </c>
      <c r="CB24" s="2">
        <f t="shared" si="70"/>
        <v>2.1118849561909233E-4</v>
      </c>
      <c r="CC24" s="2">
        <f t="shared" si="71"/>
        <v>0.12231573861982949</v>
      </c>
      <c r="CD24" s="2">
        <f t="shared" si="72"/>
        <v>1.7858977429836853E-3</v>
      </c>
      <c r="CE24" s="2">
        <f t="shared" si="73"/>
        <v>1.2360234443565448</v>
      </c>
      <c r="CF24" s="2">
        <f t="shared" si="74"/>
        <v>8.6044624643815759E-4</v>
      </c>
      <c r="CG24" s="2">
        <f t="shared" si="75"/>
        <v>3.6852031672982835E-4</v>
      </c>
      <c r="CH24" s="2">
        <f t="shared" si="76"/>
        <v>0</v>
      </c>
      <c r="CI24" s="2">
        <f t="shared" si="77"/>
        <v>5.3538666305229989E-3</v>
      </c>
      <c r="CK24" s="2">
        <f t="shared" si="78"/>
        <v>1.3604207418663412</v>
      </c>
      <c r="CL24" s="2">
        <f t="shared" si="79"/>
        <v>7.2216974241952182E-5</v>
      </c>
      <c r="CM24" s="2">
        <f t="shared" si="80"/>
        <v>6.6307700219533406E-4</v>
      </c>
      <c r="CN24" s="2">
        <f t="shared" si="81"/>
        <v>3.1678274342863846E-4</v>
      </c>
      <c r="CO24" s="2">
        <f t="shared" si="82"/>
        <v>0.12231573861982949</v>
      </c>
      <c r="CP24" s="2">
        <f t="shared" si="83"/>
        <v>1.7858977429836853E-3</v>
      </c>
      <c r="CQ24" s="2">
        <f t="shared" si="84"/>
        <v>1.2360234443565448</v>
      </c>
      <c r="CR24" s="2">
        <f t="shared" si="85"/>
        <v>8.6044624643815759E-4</v>
      </c>
      <c r="CS24" s="2">
        <f t="shared" si="86"/>
        <v>1.8426015836491417E-4</v>
      </c>
      <c r="CT24" s="2">
        <f t="shared" si="87"/>
        <v>0</v>
      </c>
      <c r="CU24" s="2">
        <f t="shared" si="88"/>
        <v>5.3538666305229989E-3</v>
      </c>
      <c r="CW24" s="14">
        <f t="shared" si="89"/>
        <v>2.7279964723408914</v>
      </c>
      <c r="CY24" s="14">
        <f t="shared" si="90"/>
        <v>1.4662775559117947</v>
      </c>
      <c r="DA24" s="16">
        <f t="shared" si="91"/>
        <v>0.99737720019774467</v>
      </c>
      <c r="DB24" s="16">
        <f t="shared" si="92"/>
        <v>5.2945064243417337E-5</v>
      </c>
      <c r="DC24" s="16">
        <f t="shared" si="93"/>
        <v>6.4816995077352944E-4</v>
      </c>
      <c r="DD24" s="16">
        <f t="shared" si="94"/>
        <v>3.0966095119305147E-4</v>
      </c>
      <c r="DE24" s="16">
        <f t="shared" si="95"/>
        <v>0.17934882227302948</v>
      </c>
      <c r="DF24" s="16">
        <f t="shared" si="96"/>
        <v>2.6186217776905086E-3</v>
      </c>
      <c r="DG24" s="16">
        <f t="shared" si="97"/>
        <v>1.8123534350407926</v>
      </c>
      <c r="DH24" s="16">
        <f t="shared" si="98"/>
        <v>1.2616530192208195E-3</v>
      </c>
      <c r="DI24" s="16">
        <f t="shared" si="99"/>
        <v>5.4035306931845314E-4</v>
      </c>
      <c r="DJ24" s="16">
        <f t="shared" si="100"/>
        <v>0</v>
      </c>
      <c r="DK24" s="16">
        <f t="shared" si="101"/>
        <v>7.8502544776809773E-3</v>
      </c>
      <c r="DL24" s="16">
        <f t="shared" si="22"/>
        <v>0.90995199126052384</v>
      </c>
      <c r="DN24" s="2">
        <f t="shared" si="23"/>
        <v>0.88126191502270945</v>
      </c>
      <c r="DO24" s="2">
        <f t="shared" si="24"/>
        <v>2.6418538885091998E-3</v>
      </c>
      <c r="DP24" s="2">
        <f t="shared" si="25"/>
        <v>3.5179045879521781E-2</v>
      </c>
      <c r="DQ24" s="2">
        <f t="shared" si="26"/>
        <v>4.8256534138523596E-3</v>
      </c>
      <c r="DR24" s="2">
        <f t="shared" si="27"/>
        <v>4.0136305017525367E-2</v>
      </c>
      <c r="DS24" s="2">
        <f t="shared" si="28"/>
        <v>0</v>
      </c>
      <c r="DT24" s="2">
        <f t="shared" si="29"/>
        <v>0.42253972790814714</v>
      </c>
      <c r="DU24" s="2">
        <f t="shared" si="30"/>
        <v>0.38557022703820854</v>
      </c>
      <c r="DV24" s="2">
        <f t="shared" si="31"/>
        <v>1.5886591928491692E-2</v>
      </c>
      <c r="DW24" s="2">
        <f t="shared" si="32"/>
        <v>0</v>
      </c>
      <c r="DX24" s="2">
        <f t="shared" si="33"/>
        <v>0</v>
      </c>
      <c r="DZ24" s="2">
        <f t="shared" si="102"/>
        <v>1.7625238300454189</v>
      </c>
      <c r="EA24" s="2">
        <f t="shared" si="103"/>
        <v>5.2837077770183996E-3</v>
      </c>
      <c r="EB24" s="2">
        <f t="shared" si="104"/>
        <v>0.10553713763856534</v>
      </c>
      <c r="EC24" s="2">
        <f t="shared" si="105"/>
        <v>1.4476960241557079E-2</v>
      </c>
      <c r="ED24" s="2">
        <f t="shared" si="106"/>
        <v>4.0136305017525367E-2</v>
      </c>
      <c r="EE24" s="2">
        <f t="shared" si="107"/>
        <v>0</v>
      </c>
      <c r="EF24" s="2">
        <f t="shared" si="108"/>
        <v>0.42253972790814714</v>
      </c>
      <c r="EG24" s="2">
        <f t="shared" si="109"/>
        <v>0.38557022703820854</v>
      </c>
      <c r="EH24" s="2">
        <f t="shared" si="110"/>
        <v>1.5886591928491692E-2</v>
      </c>
      <c r="EI24" s="2">
        <f t="shared" si="111"/>
        <v>0</v>
      </c>
      <c r="EJ24" s="2">
        <f t="shared" si="112"/>
        <v>0</v>
      </c>
      <c r="EL24" s="16">
        <f t="shared" si="113"/>
        <v>2.7519544875949329</v>
      </c>
      <c r="EN24" s="14">
        <f t="shared" si="114"/>
        <v>2.1802686152864732</v>
      </c>
      <c r="EP24" s="16">
        <f t="shared" si="115"/>
        <v>1.9213876951712683</v>
      </c>
      <c r="EQ24" s="16">
        <f t="shared" si="116"/>
        <v>5.7599511192891377E-3</v>
      </c>
      <c r="ER24" s="16">
        <f t="shared" si="117"/>
        <v>0.15339953929368852</v>
      </c>
      <c r="ES24" s="16">
        <f t="shared" si="118"/>
        <v>2.1042441372944653E-2</v>
      </c>
      <c r="ET24" s="16">
        <f t="shared" si="119"/>
        <v>8.750792616327556E-2</v>
      </c>
      <c r="EU24" s="16">
        <f t="shared" si="120"/>
        <v>0</v>
      </c>
      <c r="EV24" s="16">
        <f t="shared" si="121"/>
        <v>0.92125010746981917</v>
      </c>
      <c r="EW24" s="16">
        <f t="shared" si="122"/>
        <v>0.84064666500028606</v>
      </c>
      <c r="EX24" s="16">
        <f t="shared" si="123"/>
        <v>6.9274075571107679E-2</v>
      </c>
      <c r="EY24" s="16">
        <f t="shared" si="124"/>
        <v>0</v>
      </c>
      <c r="EZ24" s="16">
        <f t="shared" si="125"/>
        <v>0</v>
      </c>
      <c r="FB24" s="14">
        <f t="shared" si="40"/>
        <v>-6.5017486537843769</v>
      </c>
      <c r="FC24" s="4">
        <f t="shared" si="41"/>
        <v>2.3986153879537091</v>
      </c>
      <c r="FD24" s="4">
        <f t="shared" si="42"/>
        <v>2.6617089589631684</v>
      </c>
      <c r="FE24" s="4">
        <f t="shared" si="43"/>
        <v>2.6617089589631684</v>
      </c>
      <c r="FG24" s="4">
        <f t="shared" si="44"/>
        <v>2.9089500401021033</v>
      </c>
    </row>
    <row r="25" spans="1:163" x14ac:dyDescent="0.2">
      <c r="A25" s="58" t="s">
        <v>139</v>
      </c>
      <c r="B25" s="57" t="s">
        <v>145</v>
      </c>
      <c r="C25" s="138">
        <v>40.885719830852835</v>
      </c>
      <c r="D25" s="98">
        <v>3.1186975197620495E-3</v>
      </c>
      <c r="E25" s="148">
        <f>N25/(26.9815*10000)*101.9601/2</f>
        <v>2.0520623133734598E-2</v>
      </c>
      <c r="F25" s="138">
        <v>8.9647809950854189E-3</v>
      </c>
      <c r="G25" s="138">
        <v>9.3490212868298848</v>
      </c>
      <c r="H25" s="138">
        <v>0.1304549595113462</v>
      </c>
      <c r="I25" s="138">
        <v>49.324836372119599</v>
      </c>
      <c r="J25" s="150">
        <f>O25/40.078*56.077/10000</f>
        <v>4.542716239708524E-2</v>
      </c>
      <c r="K25" s="98">
        <v>1.2714891885576158E-2</v>
      </c>
      <c r="L25" s="98"/>
      <c r="M25" s="138">
        <v>0.30996755068633836</v>
      </c>
      <c r="N25" s="141">
        <v>108.60663986850935</v>
      </c>
      <c r="O25" s="142">
        <v>324.66605106378421</v>
      </c>
      <c r="P25" s="11"/>
      <c r="Q25" s="140">
        <v>52.0778960048183</v>
      </c>
      <c r="R25" s="140">
        <v>0.40152579803252353</v>
      </c>
      <c r="S25" s="140">
        <v>5.6715518972093948</v>
      </c>
      <c r="T25" s="140">
        <v>0.78297530616342104</v>
      </c>
      <c r="U25" s="140">
        <v>2.9211001806866088</v>
      </c>
      <c r="V25" s="140">
        <v>0</v>
      </c>
      <c r="W25" s="140">
        <v>15.57920096366191</v>
      </c>
      <c r="X25" s="140">
        <v>21.140333266412362</v>
      </c>
      <c r="Y25" s="140">
        <v>1.4254165830154584</v>
      </c>
      <c r="Z25" s="100"/>
      <c r="AA25" s="140"/>
      <c r="AC25" s="139">
        <v>55.895680193334009</v>
      </c>
      <c r="AD25" s="139">
        <v>11.066357869298159</v>
      </c>
      <c r="AE25" s="11"/>
      <c r="AF25" s="83">
        <f>AD25/151.9892/(AD25/151.9892+AC25/101.9601)</f>
        <v>0.11724257967807596</v>
      </c>
      <c r="AG25" s="22">
        <f t="shared" si="0"/>
        <v>3.6712359636303059E-4</v>
      </c>
      <c r="AH25" s="126">
        <f>10000/(0.575+0.884*AF25-0.897*LN(AG25))-273</f>
        <v>1013.3814734652904</v>
      </c>
      <c r="AI25" s="126">
        <f t="shared" si="1"/>
        <v>1013.2316352079879</v>
      </c>
      <c r="AJ25" s="126">
        <f t="shared" si="2"/>
        <v>0.14983825730246281</v>
      </c>
      <c r="AK25" s="12"/>
      <c r="AL25" s="25">
        <f t="shared" ref="AL25:AL34" si="126">FE25</f>
        <v>2.3750152502373458</v>
      </c>
      <c r="AN25" s="2">
        <v>15.999000000000001</v>
      </c>
      <c r="AO25" s="2">
        <v>28.085000000000001</v>
      </c>
      <c r="AP25" s="2">
        <v>47.866999999999997</v>
      </c>
      <c r="AQ25" s="2">
        <v>26.9815386</v>
      </c>
      <c r="AR25" s="2">
        <v>51.996099999999998</v>
      </c>
      <c r="AS25" s="2">
        <v>55.844999999999999</v>
      </c>
      <c r="AT25" s="2">
        <v>54.938045000000002</v>
      </c>
      <c r="AU25" s="2">
        <v>24.305</v>
      </c>
      <c r="AV25" s="2">
        <v>40.078000000000003</v>
      </c>
      <c r="AW25" s="2">
        <v>22.989769280000001</v>
      </c>
      <c r="AX25" s="2">
        <v>39.098300000000002</v>
      </c>
      <c r="AY25" s="2">
        <v>58.693399999999997</v>
      </c>
      <c r="BA25" s="2">
        <f>AN25*2+AO25</f>
        <v>60.082999999999998</v>
      </c>
      <c r="BB25" s="2">
        <f>AN25*2+AP25</f>
        <v>79.864999999999995</v>
      </c>
      <c r="BC25" s="2">
        <f>AQ25*2+AN25*3</f>
        <v>101.9600772</v>
      </c>
      <c r="BD25" s="2">
        <f>AR25*2+AN25*3</f>
        <v>151.98919999999998</v>
      </c>
      <c r="BE25" s="2">
        <f>AS25+AN25</f>
        <v>71.843999999999994</v>
      </c>
      <c r="BF25" s="2">
        <f>AT25+AN25</f>
        <v>70.937044999999998</v>
      </c>
      <c r="BG25" s="2">
        <f>AU25+AN25</f>
        <v>40.304000000000002</v>
      </c>
      <c r="BH25" s="2">
        <f>AV25+AN25</f>
        <v>56.077000000000005</v>
      </c>
      <c r="BI25" s="2">
        <f>AW25*2+AN25</f>
        <v>61.978538560000004</v>
      </c>
      <c r="BJ25" s="2">
        <f>AX25*2+AN25</f>
        <v>94.195599999999999</v>
      </c>
      <c r="BK25" s="2">
        <f>AY25+AN25</f>
        <v>74.692399999999992</v>
      </c>
      <c r="BM25" s="2">
        <f t="shared" si="3"/>
        <v>0.68048732305066051</v>
      </c>
      <c r="BN25" s="2">
        <f t="shared" si="4"/>
        <v>3.9049615222713951E-5</v>
      </c>
      <c r="BO25" s="2">
        <f t="shared" si="5"/>
        <v>2.0126135343623099E-4</v>
      </c>
      <c r="BP25" s="2">
        <f t="shared" si="6"/>
        <v>5.8983013234397045E-5</v>
      </c>
      <c r="BQ25" s="2">
        <f t="shared" si="7"/>
        <v>0.13012946504690559</v>
      </c>
      <c r="BR25" s="2">
        <f t="shared" si="8"/>
        <v>1.8390244407748618E-3</v>
      </c>
      <c r="BS25" s="2">
        <f t="shared" si="9"/>
        <v>1.2238198782284537</v>
      </c>
      <c r="BT25" s="2">
        <f t="shared" si="10"/>
        <v>8.1008546101048976E-4</v>
      </c>
      <c r="BU25" s="2">
        <f t="shared" si="11"/>
        <v>2.0514991448640182E-4</v>
      </c>
      <c r="BV25" s="2">
        <f t="shared" si="12"/>
        <v>0</v>
      </c>
      <c r="BW25" s="2">
        <f t="shared" si="13"/>
        <v>4.1499208846728503E-3</v>
      </c>
      <c r="BY25" s="2">
        <f>BM25</f>
        <v>0.68048732305066051</v>
      </c>
      <c r="BZ25" s="2">
        <f t="shared" si="68"/>
        <v>3.9049615222713951E-5</v>
      </c>
      <c r="CA25" s="2">
        <f>BO25*2</f>
        <v>4.0252270687246198E-4</v>
      </c>
      <c r="CB25" s="2">
        <f t="shared" si="70"/>
        <v>1.1796602646879409E-4</v>
      </c>
      <c r="CC25" s="2">
        <f t="shared" si="71"/>
        <v>0.13012946504690559</v>
      </c>
      <c r="CD25" s="2">
        <f t="shared" si="72"/>
        <v>1.8390244407748618E-3</v>
      </c>
      <c r="CE25" s="2">
        <f t="shared" si="73"/>
        <v>1.2238198782284537</v>
      </c>
      <c r="CF25" s="2">
        <f t="shared" si="74"/>
        <v>8.1008546101048976E-4</v>
      </c>
      <c r="CG25" s="2">
        <f t="shared" si="75"/>
        <v>4.1029982897280363E-4</v>
      </c>
      <c r="CH25" s="2">
        <f t="shared" si="76"/>
        <v>0</v>
      </c>
      <c r="CI25" s="2">
        <f>BW25</f>
        <v>4.1499208846728503E-3</v>
      </c>
      <c r="CK25" s="2">
        <f>BM25*2</f>
        <v>1.360974646101321</v>
      </c>
      <c r="CL25" s="2">
        <f t="shared" si="79"/>
        <v>7.8099230445427903E-5</v>
      </c>
      <c r="CM25" s="2">
        <f>BO25*3</f>
        <v>6.0378406030869294E-4</v>
      </c>
      <c r="CN25" s="2">
        <f t="shared" si="81"/>
        <v>1.7694903970319112E-4</v>
      </c>
      <c r="CO25" s="2">
        <f t="shared" si="82"/>
        <v>0.13012946504690559</v>
      </c>
      <c r="CP25" s="2">
        <f t="shared" si="83"/>
        <v>1.8390244407748618E-3</v>
      </c>
      <c r="CQ25" s="2">
        <f t="shared" si="84"/>
        <v>1.2238198782284537</v>
      </c>
      <c r="CR25" s="2">
        <f t="shared" si="85"/>
        <v>8.1008546101048976E-4</v>
      </c>
      <c r="CS25" s="2">
        <f t="shared" si="86"/>
        <v>2.0514991448640182E-4</v>
      </c>
      <c r="CT25" s="2">
        <f t="shared" si="87"/>
        <v>0</v>
      </c>
      <c r="CU25" s="2">
        <f t="shared" si="88"/>
        <v>4.1499208846728503E-3</v>
      </c>
      <c r="CW25" s="14">
        <f>SUM(CK25:CU25)</f>
        <v>2.7227870024080825</v>
      </c>
      <c r="CY25" s="14">
        <f>4/CW25</f>
        <v>1.4690829640593726</v>
      </c>
      <c r="DA25" s="16">
        <f t="shared" si="91"/>
        <v>0.99969233355209208</v>
      </c>
      <c r="DB25" s="16">
        <f t="shared" si="92"/>
        <v>5.7367124476762605E-5</v>
      </c>
      <c r="DC25" s="16">
        <f t="shared" si="93"/>
        <v>5.9133925131339845E-4</v>
      </c>
      <c r="DD25" s="16">
        <f t="shared" si="94"/>
        <v>1.7330187982308242E-4</v>
      </c>
      <c r="DE25" s="16">
        <f t="shared" si="95"/>
        <v>0.19117098022256859</v>
      </c>
      <c r="DF25" s="16">
        <f t="shared" si="96"/>
        <v>2.7016794764311639E-3</v>
      </c>
      <c r="DG25" s="16">
        <f t="shared" si="97"/>
        <v>1.7978929341826373</v>
      </c>
      <c r="DH25" s="16">
        <f t="shared" si="98"/>
        <v>1.1900827502026937E-3</v>
      </c>
      <c r="DI25" s="16">
        <f t="shared" si="99"/>
        <v>6.0276448890042003E-4</v>
      </c>
      <c r="DJ25" s="16">
        <f t="shared" si="100"/>
        <v>0</v>
      </c>
      <c r="DK25" s="16">
        <f t="shared" si="101"/>
        <v>6.0965780738670844E-3</v>
      </c>
      <c r="DL25" s="16">
        <f t="shared" si="22"/>
        <v>0.90388897066702112</v>
      </c>
      <c r="DN25" s="2">
        <f t="shared" si="23"/>
        <v>0.86676590724195368</v>
      </c>
      <c r="DO25" s="2">
        <f t="shared" si="24"/>
        <v>5.0275564769614164E-3</v>
      </c>
      <c r="DP25" s="2">
        <f t="shared" si="25"/>
        <v>5.56252216844084E-2</v>
      </c>
      <c r="DQ25" s="2">
        <f t="shared" si="26"/>
        <v>5.1515193590295962E-3</v>
      </c>
      <c r="DR25" s="2">
        <f t="shared" si="27"/>
        <v>4.0658930191618078E-2</v>
      </c>
      <c r="DS25" s="2">
        <f t="shared" si="28"/>
        <v>0</v>
      </c>
      <c r="DT25" s="2">
        <f t="shared" si="29"/>
        <v>0.38654230259184968</v>
      </c>
      <c r="DU25" s="2">
        <f t="shared" si="30"/>
        <v>0.37698759324522285</v>
      </c>
      <c r="DV25" s="2">
        <f t="shared" si="31"/>
        <v>2.2998551049014253E-2</v>
      </c>
      <c r="DW25" s="2">
        <f t="shared" si="32"/>
        <v>0</v>
      </c>
      <c r="DX25" s="2">
        <f t="shared" si="33"/>
        <v>0</v>
      </c>
      <c r="DZ25" s="2">
        <f>DN25*2</f>
        <v>1.7335318144839074</v>
      </c>
      <c r="EA25" s="2">
        <f>DO25*2</f>
        <v>1.0055112953922833E-2</v>
      </c>
      <c r="EB25" s="2">
        <f>DP25*3</f>
        <v>0.16687566505322521</v>
      </c>
      <c r="EC25" s="2">
        <f t="shared" si="105"/>
        <v>1.5454558077088789E-2</v>
      </c>
      <c r="ED25" s="2">
        <f t="shared" si="106"/>
        <v>4.0658930191618078E-2</v>
      </c>
      <c r="EE25" s="2">
        <f t="shared" si="107"/>
        <v>0</v>
      </c>
      <c r="EF25" s="2">
        <f t="shared" si="108"/>
        <v>0.38654230259184968</v>
      </c>
      <c r="EG25" s="2">
        <f t="shared" si="109"/>
        <v>0.37698759324522285</v>
      </c>
      <c r="EH25" s="2">
        <f t="shared" si="110"/>
        <v>2.2998551049014253E-2</v>
      </c>
      <c r="EI25" s="2">
        <f t="shared" si="111"/>
        <v>0</v>
      </c>
      <c r="EJ25" s="2">
        <f t="shared" si="112"/>
        <v>0</v>
      </c>
      <c r="EL25" s="16">
        <f>SUM(DZ25:EJ25)</f>
        <v>2.7531045276458492</v>
      </c>
      <c r="EN25" s="14">
        <f>6/EL25</f>
        <v>2.1793578630051278</v>
      </c>
      <c r="EP25" s="16">
        <f t="shared" si="115"/>
        <v>1.8889930953325249</v>
      </c>
      <c r="EQ25" s="16">
        <f t="shared" si="116"/>
        <v>1.0956844739768221E-2</v>
      </c>
      <c r="ER25" s="16">
        <f t="shared" si="117"/>
        <v>0.24245452851863758</v>
      </c>
      <c r="ES25" s="16">
        <f t="shared" si="118"/>
        <v>2.2454008443048575E-2</v>
      </c>
      <c r="ET25" s="16">
        <f t="shared" si="119"/>
        <v>8.8610359214479448E-2</v>
      </c>
      <c r="EU25" s="16">
        <f t="shared" si="120"/>
        <v>0</v>
      </c>
      <c r="EV25" s="16">
        <f t="shared" si="121"/>
        <v>0.84241400653765497</v>
      </c>
      <c r="EW25" s="16">
        <f t="shared" si="122"/>
        <v>0.82159087559435517</v>
      </c>
      <c r="EX25" s="16">
        <f t="shared" si="123"/>
        <v>0.10024414613278809</v>
      </c>
      <c r="EY25" s="16">
        <f t="shared" si="124"/>
        <v>0</v>
      </c>
      <c r="EZ25" s="16">
        <f>DX25*$EN25</f>
        <v>0</v>
      </c>
      <c r="FB25" s="14">
        <f t="shared" si="40"/>
        <v>-6.5372197102070517</v>
      </c>
      <c r="FC25" s="4">
        <f t="shared" si="41"/>
        <v>1.9060417124416074</v>
      </c>
      <c r="FD25" s="4">
        <f t="shared" si="42"/>
        <v>2.3750152502373458</v>
      </c>
      <c r="FE25" s="4">
        <f t="shared" si="43"/>
        <v>2.3750152502373458</v>
      </c>
      <c r="FG25" s="4">
        <f t="shared" si="44"/>
        <v>2.589784269105281</v>
      </c>
    </row>
    <row r="26" spans="1:163" x14ac:dyDescent="0.2">
      <c r="A26" s="58" t="s">
        <v>140</v>
      </c>
      <c r="B26" s="57" t="s">
        <v>145</v>
      </c>
      <c r="C26" s="138">
        <v>41.377494663192273</v>
      </c>
      <c r="D26" s="98">
        <v>2.6038400944840062E-3</v>
      </c>
      <c r="E26" s="148">
        <f t="shared" ref="E26:E35" si="127">N26/(26.9815*10000)*101.9601/2</f>
        <v>1.8702355308541752E-2</v>
      </c>
      <c r="F26" s="138">
        <v>1.5664283214135058E-2</v>
      </c>
      <c r="G26" s="138">
        <v>9.0697233298388653</v>
      </c>
      <c r="H26" s="138">
        <v>0.1232887440186525</v>
      </c>
      <c r="I26" s="138">
        <v>49.140140153417398</v>
      </c>
      <c r="J26" s="150">
        <f t="shared" ref="J26:J35" si="128">O26/40.078*56.077/10000</f>
        <v>4.4711486991779424E-2</v>
      </c>
      <c r="K26" s="98">
        <v>1.3895042280830182E-2</v>
      </c>
      <c r="L26" s="98"/>
      <c r="M26" s="138">
        <v>0.28935310953281312</v>
      </c>
      <c r="N26" s="141">
        <v>98.983347359882799</v>
      </c>
      <c r="O26" s="142">
        <v>319.55114853799881</v>
      </c>
      <c r="P26" s="11"/>
      <c r="Q26" s="140">
        <v>53.677134543995173</v>
      </c>
      <c r="R26" s="140">
        <v>0.21069529447175678</v>
      </c>
      <c r="S26" s="140">
        <v>3.8527139560549801</v>
      </c>
      <c r="T26" s="140">
        <v>0.88291361492926668</v>
      </c>
      <c r="U26" s="140">
        <v>2.8995685763017955</v>
      </c>
      <c r="V26" s="140">
        <v>0</v>
      </c>
      <c r="W26" s="140">
        <v>16.243603892846391</v>
      </c>
      <c r="X26" s="140">
        <v>20.969198354570075</v>
      </c>
      <c r="Y26" s="140">
        <v>1.2641717668305406</v>
      </c>
      <c r="Z26" s="100"/>
      <c r="AA26" s="140"/>
      <c r="AC26" s="139">
        <v>40.909090909090914</v>
      </c>
      <c r="AD26" s="139">
        <v>26.204394275347713</v>
      </c>
      <c r="AE26" s="11"/>
      <c r="AF26" s="83">
        <f>AD26/151.9892/(AD26/151.9892+AC26/101.9601)</f>
        <v>0.30055569366346874</v>
      </c>
      <c r="AG26" s="22">
        <f t="shared" si="0"/>
        <v>4.5716868531990942E-4</v>
      </c>
      <c r="AH26" s="126">
        <f t="shared" ref="AH26:AH35" si="129">10000/(0.575+0.884*AF26-0.897*LN(AG26))-273</f>
        <v>1019.1512385036146</v>
      </c>
      <c r="AI26" s="126">
        <f t="shared" si="1"/>
        <v>1019.0013633654874</v>
      </c>
      <c r="AJ26" s="126">
        <f t="shared" si="2"/>
        <v>0.14987513812729958</v>
      </c>
      <c r="AK26" s="12"/>
      <c r="AL26" s="25">
        <f t="shared" si="126"/>
        <v>2.4706215350378264</v>
      </c>
      <c r="AN26" s="2">
        <v>15.999000000000001</v>
      </c>
      <c r="AO26" s="2">
        <v>28.085000000000001</v>
      </c>
      <c r="AP26" s="2">
        <v>47.866999999999997</v>
      </c>
      <c r="AQ26" s="2">
        <v>26.9815386</v>
      </c>
      <c r="AR26" s="2">
        <v>51.996099999999998</v>
      </c>
      <c r="AS26" s="2">
        <v>55.844999999999999</v>
      </c>
      <c r="AT26" s="2">
        <v>54.938045000000002</v>
      </c>
      <c r="AU26" s="2">
        <v>24.305</v>
      </c>
      <c r="AV26" s="2">
        <v>40.078000000000003</v>
      </c>
      <c r="AW26" s="2">
        <v>22.989769280000001</v>
      </c>
      <c r="AX26" s="2">
        <v>39.098300000000002</v>
      </c>
      <c r="AY26" s="2">
        <v>58.693399999999997</v>
      </c>
      <c r="BA26" s="2">
        <f>AN26*2+AO26</f>
        <v>60.082999999999998</v>
      </c>
      <c r="BB26" s="2">
        <f>AN26*2+AP26</f>
        <v>79.864999999999995</v>
      </c>
      <c r="BC26" s="2">
        <f>AQ26*2+AN26*3</f>
        <v>101.9600772</v>
      </c>
      <c r="BD26" s="2">
        <f>AR26*2+AN26*3</f>
        <v>151.98919999999998</v>
      </c>
      <c r="BE26" s="2">
        <f>AS26+AN26</f>
        <v>71.843999999999994</v>
      </c>
      <c r="BF26" s="2">
        <f>AT26+AN26</f>
        <v>70.937044999999998</v>
      </c>
      <c r="BG26" s="2">
        <f>AU26+AN26</f>
        <v>40.304000000000002</v>
      </c>
      <c r="BH26" s="2">
        <f>AV26+AN26</f>
        <v>56.077000000000005</v>
      </c>
      <c r="BI26" s="2">
        <f>AW26*2+AN26</f>
        <v>61.978538560000004</v>
      </c>
      <c r="BJ26" s="2">
        <f>AX26*2+AN26</f>
        <v>94.195599999999999</v>
      </c>
      <c r="BK26" s="2">
        <f>AY26+AN26</f>
        <v>74.692399999999992</v>
      </c>
      <c r="BM26" s="2">
        <f t="shared" si="3"/>
        <v>0.68867224777711289</v>
      </c>
      <c r="BN26" s="2">
        <f t="shared" si="4"/>
        <v>3.2603018775233287E-5</v>
      </c>
      <c r="BO26" s="2">
        <f t="shared" si="5"/>
        <v>1.8342821839822764E-4</v>
      </c>
      <c r="BP26" s="2">
        <f t="shared" si="6"/>
        <v>1.0306181764319478E-4</v>
      </c>
      <c r="BQ26" s="2">
        <f t="shared" si="7"/>
        <v>0.12624190370579125</v>
      </c>
      <c r="BR26" s="2">
        <f t="shared" si="8"/>
        <v>1.7380022528236481E-3</v>
      </c>
      <c r="BS26" s="2">
        <f t="shared" si="9"/>
        <v>1.2192373003527539</v>
      </c>
      <c r="BT26" s="2">
        <f t="shared" si="10"/>
        <v>7.9732309131692891E-4</v>
      </c>
      <c r="BU26" s="2">
        <f t="shared" si="11"/>
        <v>2.2419118946115049E-4</v>
      </c>
      <c r="BV26" s="2">
        <f t="shared" si="12"/>
        <v>0</v>
      </c>
      <c r="BW26" s="2">
        <f t="shared" si="13"/>
        <v>3.8739297376013241E-3</v>
      </c>
      <c r="BY26" s="2">
        <f t="shared" ref="BY26:BY35" si="130">BM26</f>
        <v>0.68867224777711289</v>
      </c>
      <c r="BZ26" s="2">
        <f t="shared" si="68"/>
        <v>3.2603018775233287E-5</v>
      </c>
      <c r="CA26" s="2">
        <f t="shared" ref="CA26:CA35" si="131">BO26*2</f>
        <v>3.6685643679645527E-4</v>
      </c>
      <c r="CB26" s="2">
        <f t="shared" si="70"/>
        <v>2.0612363528638955E-4</v>
      </c>
      <c r="CC26" s="2">
        <f t="shared" si="71"/>
        <v>0.12624190370579125</v>
      </c>
      <c r="CD26" s="2">
        <f t="shared" si="72"/>
        <v>1.7380022528236481E-3</v>
      </c>
      <c r="CE26" s="2">
        <f t="shared" si="73"/>
        <v>1.2192373003527539</v>
      </c>
      <c r="CF26" s="2">
        <f t="shared" si="74"/>
        <v>7.9732309131692891E-4</v>
      </c>
      <c r="CG26" s="2">
        <f t="shared" si="75"/>
        <v>4.4838237892230097E-4</v>
      </c>
      <c r="CH26" s="2">
        <f t="shared" si="76"/>
        <v>0</v>
      </c>
      <c r="CI26" s="2">
        <f>BW26</f>
        <v>3.8739297376013241E-3</v>
      </c>
      <c r="CK26" s="2">
        <f t="shared" ref="CK26:CK35" si="132">BM26*2</f>
        <v>1.3773444955542258</v>
      </c>
      <c r="CL26" s="2">
        <f t="shared" si="79"/>
        <v>6.5206037550466573E-5</v>
      </c>
      <c r="CM26" s="2">
        <f t="shared" ref="CM26:CM35" si="133">BO26*3</f>
        <v>5.5028465519468286E-4</v>
      </c>
      <c r="CN26" s="2">
        <f t="shared" si="81"/>
        <v>3.0918545292958432E-4</v>
      </c>
      <c r="CO26" s="2">
        <f t="shared" si="82"/>
        <v>0.12624190370579125</v>
      </c>
      <c r="CP26" s="2">
        <f t="shared" si="83"/>
        <v>1.7380022528236481E-3</v>
      </c>
      <c r="CQ26" s="2">
        <f t="shared" si="84"/>
        <v>1.2192373003527539</v>
      </c>
      <c r="CR26" s="2">
        <f t="shared" si="85"/>
        <v>7.9732309131692891E-4</v>
      </c>
      <c r="CS26" s="2">
        <f t="shared" si="86"/>
        <v>2.2419118946115049E-4</v>
      </c>
      <c r="CT26" s="2">
        <f t="shared" si="87"/>
        <v>0</v>
      </c>
      <c r="CU26" s="2">
        <f t="shared" si="88"/>
        <v>3.8739297376013241E-3</v>
      </c>
      <c r="CW26" s="14">
        <f>SUM(CK26:CU26)</f>
        <v>2.7303818220296483</v>
      </c>
      <c r="CY26" s="14">
        <f>4/CW26</f>
        <v>1.4649965685116422</v>
      </c>
      <c r="DA26" s="16">
        <f t="shared" si="91"/>
        <v>1.0089024798226698</v>
      </c>
      <c r="DB26" s="16">
        <f t="shared" si="92"/>
        <v>4.7763310628837407E-5</v>
      </c>
      <c r="DC26" s="16">
        <f t="shared" si="93"/>
        <v>5.3744342104321513E-4</v>
      </c>
      <c r="DD26" s="16">
        <f t="shared" si="94"/>
        <v>3.0197041838370592E-4</v>
      </c>
      <c r="DE26" s="16">
        <f t="shared" si="95"/>
        <v>0.18494395573136135</v>
      </c>
      <c r="DF26" s="16">
        <f t="shared" si="96"/>
        <v>2.546167336452148E-3</v>
      </c>
      <c r="DG26" s="16">
        <f t="shared" si="97"/>
        <v>1.7861784612181828</v>
      </c>
      <c r="DH26" s="16">
        <f t="shared" si="98"/>
        <v>1.1680755927743955E-3</v>
      </c>
      <c r="DI26" s="16">
        <f t="shared" si="99"/>
        <v>6.5687864650225782E-4</v>
      </c>
      <c r="DJ26" s="16">
        <f t="shared" si="100"/>
        <v>0</v>
      </c>
      <c r="DK26" s="16">
        <f t="shared" si="101"/>
        <v>5.6752937722411466E-3</v>
      </c>
      <c r="DL26" s="16">
        <f t="shared" si="22"/>
        <v>0.90617327765082423</v>
      </c>
      <c r="DN26" s="2">
        <f t="shared" si="23"/>
        <v>0.893383062496799</v>
      </c>
      <c r="DO26" s="2">
        <f t="shared" si="24"/>
        <v>2.6381430472892605E-3</v>
      </c>
      <c r="DP26" s="2">
        <f t="shared" si="25"/>
        <v>3.7786495085695954E-2</v>
      </c>
      <c r="DQ26" s="2">
        <f t="shared" si="26"/>
        <v>5.8090549521233534E-3</v>
      </c>
      <c r="DR26" s="2">
        <f t="shared" si="27"/>
        <v>4.0359230781997046E-2</v>
      </c>
      <c r="DS26" s="2">
        <f t="shared" si="28"/>
        <v>0</v>
      </c>
      <c r="DT26" s="2">
        <f t="shared" si="29"/>
        <v>0.40302709142631971</v>
      </c>
      <c r="DU26" s="2">
        <f t="shared" si="30"/>
        <v>0.37393580888011257</v>
      </c>
      <c r="DV26" s="2">
        <f t="shared" si="31"/>
        <v>2.0396927649507658E-2</v>
      </c>
      <c r="DW26" s="2">
        <f t="shared" si="32"/>
        <v>0</v>
      </c>
      <c r="DX26" s="2">
        <f t="shared" si="33"/>
        <v>0</v>
      </c>
      <c r="DZ26" s="2">
        <f t="shared" ref="DZ26:DZ35" si="134">DN26*2</f>
        <v>1.786766124993598</v>
      </c>
      <c r="EA26" s="2">
        <f t="shared" ref="EA26:EA35" si="135">DO26*2</f>
        <v>5.2762860945785211E-3</v>
      </c>
      <c r="EB26" s="2">
        <f t="shared" ref="EB26:EB35" si="136">DP26*3</f>
        <v>0.11335948525708786</v>
      </c>
      <c r="EC26" s="2">
        <f t="shared" si="105"/>
        <v>1.742716485637006E-2</v>
      </c>
      <c r="ED26" s="2">
        <f t="shared" si="106"/>
        <v>4.0359230781997046E-2</v>
      </c>
      <c r="EE26" s="2">
        <f t="shared" si="107"/>
        <v>0</v>
      </c>
      <c r="EF26" s="2">
        <f t="shared" si="108"/>
        <v>0.40302709142631971</v>
      </c>
      <c r="EG26" s="2">
        <f t="shared" si="109"/>
        <v>0.37393580888011257</v>
      </c>
      <c r="EH26" s="2">
        <f t="shared" si="110"/>
        <v>2.0396927649507658E-2</v>
      </c>
      <c r="EI26" s="2">
        <f t="shared" si="111"/>
        <v>0</v>
      </c>
      <c r="EJ26" s="2">
        <f t="shared" si="112"/>
        <v>0</v>
      </c>
      <c r="EL26" s="16">
        <f>SUM(DZ26:EJ26)</f>
        <v>2.7605481199395716</v>
      </c>
      <c r="EN26" s="14">
        <f>6/EL26</f>
        <v>2.17348140271916</v>
      </c>
      <c r="EP26" s="16">
        <f t="shared" si="115"/>
        <v>1.9417514718410818</v>
      </c>
      <c r="EQ26" s="16">
        <f t="shared" si="116"/>
        <v>5.7339548509960613E-3</v>
      </c>
      <c r="ER26" s="16">
        <f t="shared" si="117"/>
        <v>0.16425648868539819</v>
      </c>
      <c r="ES26" s="16">
        <f t="shared" si="118"/>
        <v>2.5251745811627497E-2</v>
      </c>
      <c r="ET26" s="16">
        <f t="shared" si="119"/>
        <v>8.7720037532721243E-2</v>
      </c>
      <c r="EU26" s="16">
        <f t="shared" si="120"/>
        <v>0</v>
      </c>
      <c r="EV26" s="16">
        <f t="shared" si="121"/>
        <v>0.87597188800710046</v>
      </c>
      <c r="EW26" s="16">
        <f t="shared" si="122"/>
        <v>0.81274252641167077</v>
      </c>
      <c r="EX26" s="16">
        <f t="shared" si="123"/>
        <v>8.8664685837626253E-2</v>
      </c>
      <c r="EY26" s="16">
        <f t="shared" si="124"/>
        <v>0</v>
      </c>
      <c r="EZ26" s="16">
        <f>DX26*$EN26</f>
        <v>0</v>
      </c>
      <c r="FB26" s="14">
        <f t="shared" si="40"/>
        <v>-6.545056761555653</v>
      </c>
      <c r="FC26" s="4">
        <f t="shared" si="41"/>
        <v>2.028236959997586</v>
      </c>
      <c r="FD26" s="4">
        <f t="shared" si="42"/>
        <v>2.4706215350378264</v>
      </c>
      <c r="FE26" s="4">
        <f t="shared" si="43"/>
        <v>2.4706215350378264</v>
      </c>
      <c r="FG26" s="4">
        <f t="shared" si="44"/>
        <v>2.7287369669296657</v>
      </c>
    </row>
    <row r="27" spans="1:163" x14ac:dyDescent="0.2">
      <c r="A27" s="58" t="s">
        <v>141</v>
      </c>
      <c r="B27" s="57" t="s">
        <v>145</v>
      </c>
      <c r="C27" s="138">
        <v>41.174015060012664</v>
      </c>
      <c r="D27" s="98">
        <v>4.0636172017174538E-3</v>
      </c>
      <c r="E27" s="148">
        <f t="shared" si="127"/>
        <v>3.0295099535332864E-2</v>
      </c>
      <c r="F27" s="138">
        <v>1.7482904317950732E-2</v>
      </c>
      <c r="G27" s="138">
        <v>9.3431802881564199</v>
      </c>
      <c r="H27" s="138">
        <v>0.12600428591680854</v>
      </c>
      <c r="I27" s="138">
        <v>49.036691405292046</v>
      </c>
      <c r="J27" s="150">
        <f t="shared" si="128"/>
        <v>4.0383818970715753E-2</v>
      </c>
      <c r="K27" s="98">
        <v>1.703829805327824E-2</v>
      </c>
      <c r="L27" s="98"/>
      <c r="M27" s="138">
        <v>0.32010896062206146</v>
      </c>
      <c r="N27" s="141">
        <v>160.33864778723907</v>
      </c>
      <c r="O27" s="142">
        <v>288.62148415720281</v>
      </c>
      <c r="P27" s="11"/>
      <c r="Q27" s="140">
        <v>52.462462462462454</v>
      </c>
      <c r="R27" s="140">
        <v>0.33033033033033027</v>
      </c>
      <c r="S27" s="140">
        <v>5.7957957957957946</v>
      </c>
      <c r="T27" s="140">
        <v>0.99099099099099075</v>
      </c>
      <c r="U27" s="140">
        <v>3.2432432432432425</v>
      </c>
      <c r="V27" s="140">
        <v>0</v>
      </c>
      <c r="W27" s="140">
        <v>15.775775775775772</v>
      </c>
      <c r="X27" s="140">
        <v>19.899899899899896</v>
      </c>
      <c r="Y27" s="140">
        <v>1.5015015015015012</v>
      </c>
      <c r="Z27" s="100"/>
      <c r="AA27" s="140"/>
      <c r="AC27" s="139">
        <v>49.65946643024099</v>
      </c>
      <c r="AD27" s="139">
        <v>17.056903361005883</v>
      </c>
      <c r="AE27" s="11"/>
      <c r="AF27" s="83">
        <f t="shared" ref="AF27:AF35" si="137">AD27/151.9892/(AD27/151.9892+AC27/101.9601)</f>
        <v>0.18726780761795667</v>
      </c>
      <c r="AG27" s="22">
        <f t="shared" si="0"/>
        <v>6.1005688770115617E-4</v>
      </c>
      <c r="AH27" s="126">
        <f t="shared" si="129"/>
        <v>1081.9949366083786</v>
      </c>
      <c r="AI27" s="126">
        <f t="shared" si="1"/>
        <v>1081.8452015008256</v>
      </c>
      <c r="AJ27" s="126">
        <f t="shared" si="2"/>
        <v>0.14973510755294228</v>
      </c>
      <c r="AK27" s="12"/>
      <c r="AL27" s="25">
        <f t="shared" si="126"/>
        <v>3.4060188192847631</v>
      </c>
      <c r="AN27" s="2">
        <v>15.999000000000001</v>
      </c>
      <c r="AO27" s="2">
        <v>28.085000000000001</v>
      </c>
      <c r="AP27" s="2">
        <v>47.866999999999997</v>
      </c>
      <c r="AQ27" s="2">
        <v>26.9815386</v>
      </c>
      <c r="AR27" s="2">
        <v>51.996099999999998</v>
      </c>
      <c r="AS27" s="2">
        <v>55.844999999999999</v>
      </c>
      <c r="AT27" s="2">
        <v>54.938045000000002</v>
      </c>
      <c r="AU27" s="2">
        <v>24.305</v>
      </c>
      <c r="AV27" s="2">
        <v>40.078000000000003</v>
      </c>
      <c r="AW27" s="2">
        <v>22.989769280000001</v>
      </c>
      <c r="AX27" s="2">
        <v>39.098300000000002</v>
      </c>
      <c r="AY27" s="2">
        <v>58.693399999999997</v>
      </c>
      <c r="BA27" s="2">
        <f>AN27*2+AO27</f>
        <v>60.082999999999998</v>
      </c>
      <c r="BB27" s="2">
        <f>AN27*2+AP27</f>
        <v>79.864999999999995</v>
      </c>
      <c r="BC27" s="2">
        <f>AQ27*2+AN27*3</f>
        <v>101.9600772</v>
      </c>
      <c r="BD27" s="2">
        <f>AR27*2+AN27*3</f>
        <v>151.98919999999998</v>
      </c>
      <c r="BE27" s="2">
        <f>AS27+AN27</f>
        <v>71.843999999999994</v>
      </c>
      <c r="BF27" s="2">
        <f>AT27+AN27</f>
        <v>70.937044999999998</v>
      </c>
      <c r="BG27" s="2">
        <f>AU27+AN27</f>
        <v>40.304000000000002</v>
      </c>
      <c r="BH27" s="2">
        <f>AV27+AN27</f>
        <v>56.077000000000005</v>
      </c>
      <c r="BI27" s="2">
        <f>AW27*2+AN27</f>
        <v>61.978538560000004</v>
      </c>
      <c r="BJ27" s="2">
        <f>AX27*2+AN27</f>
        <v>94.195599999999999</v>
      </c>
      <c r="BK27" s="2">
        <f>AY27+AN27</f>
        <v>74.692399999999992</v>
      </c>
      <c r="BM27" s="2">
        <f t="shared" si="3"/>
        <v>0.6852856059120328</v>
      </c>
      <c r="BN27" s="2">
        <f t="shared" si="4"/>
        <v>5.0881076838633366E-5</v>
      </c>
      <c r="BO27" s="2">
        <f t="shared" si="5"/>
        <v>2.9712707529543596E-4</v>
      </c>
      <c r="BP27" s="2">
        <f t="shared" si="6"/>
        <v>1.1502728034591099E-4</v>
      </c>
      <c r="BQ27" s="2">
        <f t="shared" si="7"/>
        <v>0.13004816391287263</v>
      </c>
      <c r="BR27" s="2">
        <f t="shared" si="8"/>
        <v>1.7762832652080242E-3</v>
      </c>
      <c r="BS27" s="2">
        <f t="shared" si="9"/>
        <v>1.2166705886584965</v>
      </c>
      <c r="BT27" s="2">
        <f t="shared" si="10"/>
        <v>7.2014941902590632E-4</v>
      </c>
      <c r="BU27" s="2">
        <f t="shared" si="11"/>
        <v>2.7490641840132861E-4</v>
      </c>
      <c r="BV27" s="2">
        <f t="shared" si="12"/>
        <v>0</v>
      </c>
      <c r="BW27" s="2">
        <f t="shared" si="13"/>
        <v>4.2856965450576165E-3</v>
      </c>
      <c r="BY27" s="2">
        <f t="shared" si="130"/>
        <v>0.6852856059120328</v>
      </c>
      <c r="BZ27" s="2">
        <f t="shared" si="68"/>
        <v>5.0881076838633366E-5</v>
      </c>
      <c r="CA27" s="2">
        <f t="shared" si="131"/>
        <v>5.9425415059087192E-4</v>
      </c>
      <c r="CB27" s="2">
        <f t="shared" si="70"/>
        <v>2.3005456069182198E-4</v>
      </c>
      <c r="CC27" s="2">
        <f t="shared" si="71"/>
        <v>0.13004816391287263</v>
      </c>
      <c r="CD27" s="2">
        <f t="shared" si="72"/>
        <v>1.7762832652080242E-3</v>
      </c>
      <c r="CE27" s="2">
        <f t="shared" si="73"/>
        <v>1.2166705886584965</v>
      </c>
      <c r="CF27" s="2">
        <f t="shared" si="74"/>
        <v>7.2014941902590632E-4</v>
      </c>
      <c r="CG27" s="2">
        <f t="shared" si="75"/>
        <v>5.4981283680265722E-4</v>
      </c>
      <c r="CH27" s="2">
        <f t="shared" si="76"/>
        <v>0</v>
      </c>
      <c r="CI27" s="2">
        <f>BW27</f>
        <v>4.2856965450576165E-3</v>
      </c>
      <c r="CK27" s="2">
        <f t="shared" si="132"/>
        <v>1.3705712118240656</v>
      </c>
      <c r="CL27" s="2">
        <f t="shared" si="79"/>
        <v>1.0176215367726673E-4</v>
      </c>
      <c r="CM27" s="2">
        <f t="shared" si="133"/>
        <v>8.9138122588630782E-4</v>
      </c>
      <c r="CN27" s="2">
        <f t="shared" si="81"/>
        <v>3.4508184103773296E-4</v>
      </c>
      <c r="CO27" s="2">
        <f t="shared" si="82"/>
        <v>0.13004816391287263</v>
      </c>
      <c r="CP27" s="2">
        <f t="shared" si="83"/>
        <v>1.7762832652080242E-3</v>
      </c>
      <c r="CQ27" s="2">
        <f t="shared" si="84"/>
        <v>1.2166705886584965</v>
      </c>
      <c r="CR27" s="2">
        <f t="shared" si="85"/>
        <v>7.2014941902590632E-4</v>
      </c>
      <c r="CS27" s="2">
        <f t="shared" si="86"/>
        <v>2.7490641840132861E-4</v>
      </c>
      <c r="CT27" s="2">
        <f t="shared" si="87"/>
        <v>0</v>
      </c>
      <c r="CU27" s="2">
        <f t="shared" si="88"/>
        <v>4.2856965450576165E-3</v>
      </c>
      <c r="CW27" s="14">
        <f>SUM(CK27:CU27)</f>
        <v>2.7256852252637285</v>
      </c>
      <c r="CY27" s="14">
        <f>4/CW27</f>
        <v>1.467520887197447</v>
      </c>
      <c r="DA27" s="16">
        <f t="shared" si="91"/>
        <v>1.0056709403716664</v>
      </c>
      <c r="DB27" s="16">
        <f t="shared" si="92"/>
        <v>7.4669043023792712E-5</v>
      </c>
      <c r="DC27" s="16">
        <f t="shared" si="93"/>
        <v>8.7208037829588161E-4</v>
      </c>
      <c r="DD27" s="16">
        <f t="shared" si="94"/>
        <v>3.3760987301028152E-4</v>
      </c>
      <c r="DE27" s="16">
        <f t="shared" si="95"/>
        <v>0.19084839688381786</v>
      </c>
      <c r="DF27" s="16">
        <f t="shared" si="96"/>
        <v>2.6067327932720579E-3</v>
      </c>
      <c r="DG27" s="16">
        <f t="shared" si="97"/>
        <v>1.7854895016951569</v>
      </c>
      <c r="DH27" s="16">
        <f t="shared" si="98"/>
        <v>1.056834314323624E-3</v>
      </c>
      <c r="DI27" s="16">
        <f t="shared" si="99"/>
        <v>8.0686182205718065E-4</v>
      </c>
      <c r="DJ27" s="16">
        <f t="shared" si="100"/>
        <v>0</v>
      </c>
      <c r="DK27" s="16">
        <f t="shared" si="101"/>
        <v>6.2893491960619866E-3</v>
      </c>
      <c r="DL27" s="16">
        <f t="shared" si="22"/>
        <v>0.90343331622540779</v>
      </c>
      <c r="DN27" s="2">
        <f t="shared" si="23"/>
        <v>0.87316649405759461</v>
      </c>
      <c r="DO27" s="2">
        <f t="shared" si="24"/>
        <v>4.1361088127506457E-3</v>
      </c>
      <c r="DP27" s="2">
        <f t="shared" si="25"/>
        <v>5.6843776063714033E-2</v>
      </c>
      <c r="DQ27" s="2">
        <f t="shared" si="26"/>
        <v>6.5201408454744871E-3</v>
      </c>
      <c r="DR27" s="2">
        <f t="shared" si="27"/>
        <v>4.5142854563265444E-2</v>
      </c>
      <c r="DS27" s="2">
        <f t="shared" si="28"/>
        <v>0</v>
      </c>
      <c r="DT27" s="2">
        <f t="shared" si="29"/>
        <v>0.39141960539340442</v>
      </c>
      <c r="DU27" s="2">
        <f t="shared" si="30"/>
        <v>0.35486741266294369</v>
      </c>
      <c r="DV27" s="2">
        <f t="shared" si="31"/>
        <v>2.4226152090500358E-2</v>
      </c>
      <c r="DW27" s="2">
        <f t="shared" si="32"/>
        <v>0</v>
      </c>
      <c r="DX27" s="2">
        <f t="shared" si="33"/>
        <v>0</v>
      </c>
      <c r="DZ27" s="2">
        <f t="shared" si="134"/>
        <v>1.7463329881151892</v>
      </c>
      <c r="EA27" s="2">
        <f t="shared" si="135"/>
        <v>8.2722176255012915E-3</v>
      </c>
      <c r="EB27" s="2">
        <f t="shared" si="136"/>
        <v>0.17053132819114208</v>
      </c>
      <c r="EC27" s="2">
        <f t="shared" si="105"/>
        <v>1.9560422536423462E-2</v>
      </c>
      <c r="ED27" s="2">
        <f t="shared" si="106"/>
        <v>4.5142854563265444E-2</v>
      </c>
      <c r="EE27" s="2">
        <f t="shared" si="107"/>
        <v>0</v>
      </c>
      <c r="EF27" s="2">
        <f t="shared" si="108"/>
        <v>0.39141960539340442</v>
      </c>
      <c r="EG27" s="2">
        <f t="shared" si="109"/>
        <v>0.35486741266294369</v>
      </c>
      <c r="EH27" s="2">
        <f t="shared" si="110"/>
        <v>2.4226152090500358E-2</v>
      </c>
      <c r="EI27" s="2">
        <f t="shared" si="111"/>
        <v>0</v>
      </c>
      <c r="EJ27" s="2">
        <f t="shared" si="112"/>
        <v>0</v>
      </c>
      <c r="EL27" s="16">
        <f>SUM(DZ27:EJ27)</f>
        <v>2.7603529811783698</v>
      </c>
      <c r="EN27" s="14">
        <f>6/EL27</f>
        <v>2.1736350535280651</v>
      </c>
      <c r="EP27" s="16">
        <f t="shared" si="115"/>
        <v>1.8979452990497925</v>
      </c>
      <c r="EQ27" s="16">
        <f t="shared" si="116"/>
        <v>8.990391100601151E-3</v>
      </c>
      <c r="ER27" s="16">
        <f t="shared" si="117"/>
        <v>0.24711524845397678</v>
      </c>
      <c r="ES27" s="16">
        <f t="shared" si="118"/>
        <v>2.8344813391326919E-2</v>
      </c>
      <c r="ET27" s="16">
        <f t="shared" si="119"/>
        <v>9.8124091095033145E-2</v>
      </c>
      <c r="EU27" s="16">
        <f t="shared" si="120"/>
        <v>0</v>
      </c>
      <c r="EV27" s="16">
        <f t="shared" si="121"/>
        <v>0.85080337492122671</v>
      </c>
      <c r="EW27" s="16">
        <f t="shared" si="122"/>
        <v>0.77135224751898357</v>
      </c>
      <c r="EX27" s="16">
        <f t="shared" si="123"/>
        <v>0.10531762679202758</v>
      </c>
      <c r="EY27" s="16">
        <f t="shared" si="124"/>
        <v>0</v>
      </c>
      <c r="EZ27" s="16">
        <f>DX27*$EN27</f>
        <v>0</v>
      </c>
      <c r="FB27" s="14">
        <f t="shared" si="40"/>
        <v>-6.5928671964760301</v>
      </c>
      <c r="FC27" s="4">
        <f t="shared" si="41"/>
        <v>3.2790629717308604</v>
      </c>
      <c r="FD27" s="4">
        <f t="shared" si="42"/>
        <v>3.4060188192847631</v>
      </c>
      <c r="FE27" s="4">
        <f t="shared" si="43"/>
        <v>3.4060188192847631</v>
      </c>
      <c r="FG27" s="4">
        <f t="shared" si="44"/>
        <v>4.0710718914028865</v>
      </c>
    </row>
    <row r="28" spans="1:163" x14ac:dyDescent="0.2">
      <c r="A28" s="58" t="s">
        <v>142</v>
      </c>
      <c r="B28" s="57" t="s">
        <v>145</v>
      </c>
      <c r="C28" s="138">
        <v>41.333717191018074</v>
      </c>
      <c r="D28" s="98">
        <v>2.2755918140249035E-3</v>
      </c>
      <c r="E28" s="148">
        <f t="shared" si="127"/>
        <v>2.0161542663027304E-2</v>
      </c>
      <c r="F28" s="138">
        <v>9.7202392905597571E-3</v>
      </c>
      <c r="G28" s="138">
        <v>9.2107728071727841</v>
      </c>
      <c r="H28" s="138">
        <v>0.12847859784914581</v>
      </c>
      <c r="I28" s="138">
        <v>48.937843820558328</v>
      </c>
      <c r="J28" s="150">
        <f t="shared" si="128"/>
        <v>4.5393257548917848E-2</v>
      </c>
      <c r="K28" s="98">
        <v>1.1719703330368913E-2</v>
      </c>
      <c r="L28" s="98"/>
      <c r="M28" s="138">
        <v>0.38918758340166704</v>
      </c>
      <c r="N28" s="141">
        <v>106.7061847453016</v>
      </c>
      <c r="O28" s="142">
        <v>324.42373451602788</v>
      </c>
      <c r="P28" s="11"/>
      <c r="Q28" s="140">
        <v>53.136272545090193</v>
      </c>
      <c r="R28" s="140">
        <v>0.25050100200400799</v>
      </c>
      <c r="S28" s="140">
        <v>4.7394789579158321</v>
      </c>
      <c r="T28" s="140">
        <v>0.8016032064128259</v>
      </c>
      <c r="U28" s="140">
        <v>2.9058116232464934</v>
      </c>
      <c r="V28" s="140">
        <v>0</v>
      </c>
      <c r="W28" s="140">
        <v>15.85170340681363</v>
      </c>
      <c r="X28" s="140">
        <v>21.15230460921844</v>
      </c>
      <c r="Y28" s="140">
        <v>1.1623246492985972</v>
      </c>
      <c r="Z28" s="100"/>
      <c r="AA28" s="140"/>
      <c r="AC28" s="139">
        <v>53.201675643327349</v>
      </c>
      <c r="AD28" s="139">
        <v>14.063435068821065</v>
      </c>
      <c r="AE28" s="11"/>
      <c r="AF28" s="83">
        <f t="shared" si="137"/>
        <v>0.15062088736510923</v>
      </c>
      <c r="AG28" s="22">
        <f t="shared" si="0"/>
        <v>3.7896442958288665E-4</v>
      </c>
      <c r="AH28" s="126">
        <f t="shared" si="129"/>
        <v>1013.210681375964</v>
      </c>
      <c r="AI28" s="126">
        <f t="shared" si="1"/>
        <v>1013.0608511456585</v>
      </c>
      <c r="AJ28" s="126">
        <f t="shared" si="2"/>
        <v>0.14983023030549703</v>
      </c>
      <c r="AK28" s="12"/>
      <c r="AL28" s="25">
        <f t="shared" si="126"/>
        <v>2.3741496033661269</v>
      </c>
      <c r="AN28" s="2">
        <v>15.999000000000001</v>
      </c>
      <c r="AO28" s="2">
        <v>28.085000000000001</v>
      </c>
      <c r="AP28" s="2">
        <v>47.866999999999997</v>
      </c>
      <c r="AQ28" s="2">
        <v>26.9815386</v>
      </c>
      <c r="AR28" s="2">
        <v>51.996099999999998</v>
      </c>
      <c r="AS28" s="2">
        <v>55.844999999999999</v>
      </c>
      <c r="AT28" s="2">
        <v>54.938045000000002</v>
      </c>
      <c r="AU28" s="2">
        <v>24.305</v>
      </c>
      <c r="AV28" s="2">
        <v>40.078000000000003</v>
      </c>
      <c r="AW28" s="2">
        <v>22.989769280000001</v>
      </c>
      <c r="AX28" s="2">
        <v>39.098300000000002</v>
      </c>
      <c r="AY28" s="2">
        <v>58.693399999999997</v>
      </c>
      <c r="BA28" s="2">
        <f t="shared" ref="BA28:BA35" si="138">AN28*2+AO28</f>
        <v>60.082999999999998</v>
      </c>
      <c r="BB28" s="2">
        <f t="shared" ref="BB28:BB35" si="139">AN28*2+AP28</f>
        <v>79.864999999999995</v>
      </c>
      <c r="BC28" s="2">
        <f t="shared" ref="BC28:BC35" si="140">AQ28*2+AN28*3</f>
        <v>101.9600772</v>
      </c>
      <c r="BD28" s="2">
        <f t="shared" ref="BD28:BD35" si="141">AR28*2+AN28*3</f>
        <v>151.98919999999998</v>
      </c>
      <c r="BE28" s="2">
        <f t="shared" ref="BE28:BE35" si="142">AS28+AN28</f>
        <v>71.843999999999994</v>
      </c>
      <c r="BF28" s="2">
        <f t="shared" ref="BF28:BF35" si="143">AT28+AN28</f>
        <v>70.937044999999998</v>
      </c>
      <c r="BG28" s="2">
        <f t="shared" ref="BG28:BG35" si="144">AU28+AN28</f>
        <v>40.304000000000002</v>
      </c>
      <c r="BH28" s="2">
        <f t="shared" ref="BH28:BH35" si="145">AV28+AN28</f>
        <v>56.077000000000005</v>
      </c>
      <c r="BI28" s="2">
        <f t="shared" ref="BI28:BI35" si="146">AW28*2+AN28</f>
        <v>61.978538560000004</v>
      </c>
      <c r="BJ28" s="2">
        <f t="shared" ref="BJ28:BJ35" si="147">AX28*2+AN28</f>
        <v>94.195599999999999</v>
      </c>
      <c r="BK28" s="2">
        <f t="shared" ref="BK28:BK35" si="148">AY28+AN28</f>
        <v>74.692399999999992</v>
      </c>
      <c r="BM28" s="2">
        <f t="shared" si="3"/>
        <v>0.68794363116052915</v>
      </c>
      <c r="BN28" s="2">
        <f t="shared" si="4"/>
        <v>2.8492979578349762E-5</v>
      </c>
      <c r="BO28" s="2">
        <f t="shared" si="5"/>
        <v>1.9773957824177976E-4</v>
      </c>
      <c r="BP28" s="2">
        <f t="shared" si="6"/>
        <v>6.3953486764584317E-5</v>
      </c>
      <c r="BQ28" s="2">
        <f t="shared" si="7"/>
        <v>0.12820517798525674</v>
      </c>
      <c r="BR28" s="2">
        <f t="shared" si="8"/>
        <v>1.8111636571433983E-3</v>
      </c>
      <c r="BS28" s="2">
        <f t="shared" si="9"/>
        <v>1.2142180384219512</v>
      </c>
      <c r="BT28" s="2">
        <f t="shared" si="10"/>
        <v>8.0948084863523089E-4</v>
      </c>
      <c r="BU28" s="2">
        <f t="shared" si="11"/>
        <v>1.8909292801448256E-4</v>
      </c>
      <c r="BV28" s="2">
        <f t="shared" si="12"/>
        <v>0</v>
      </c>
      <c r="BW28" s="2">
        <f t="shared" si="13"/>
        <v>5.2105379315923314E-3</v>
      </c>
      <c r="BY28" s="2">
        <f t="shared" si="130"/>
        <v>0.68794363116052915</v>
      </c>
      <c r="BZ28" s="2">
        <f t="shared" ref="BZ28:BZ35" si="149">BN28</f>
        <v>2.8492979578349762E-5</v>
      </c>
      <c r="CA28" s="2">
        <f t="shared" si="131"/>
        <v>3.9547915648355952E-4</v>
      </c>
      <c r="CB28" s="2">
        <f t="shared" ref="CB28:CB35" si="150">BP28*2</f>
        <v>1.2790697352916863E-4</v>
      </c>
      <c r="CC28" s="2">
        <f t="shared" ref="CC28:CC35" si="151">BQ28</f>
        <v>0.12820517798525674</v>
      </c>
      <c r="CD28" s="2">
        <f t="shared" ref="CD28:CD35" si="152">BR28</f>
        <v>1.8111636571433983E-3</v>
      </c>
      <c r="CE28" s="2">
        <f t="shared" ref="CE28:CE35" si="153">BS28</f>
        <v>1.2142180384219512</v>
      </c>
      <c r="CF28" s="2">
        <f t="shared" ref="CF28:CF35" si="154">BT28</f>
        <v>8.0948084863523089E-4</v>
      </c>
      <c r="CG28" s="2">
        <f t="shared" ref="CG28:CG35" si="155">BU28*2</f>
        <v>3.7818585602896512E-4</v>
      </c>
      <c r="CH28" s="2">
        <f t="shared" ref="CH28:CH35" si="156">BV28*2</f>
        <v>0</v>
      </c>
      <c r="CI28" s="2">
        <f t="shared" ref="CI28:CI35" si="157">BW28</f>
        <v>5.2105379315923314E-3</v>
      </c>
      <c r="CK28" s="2">
        <f t="shared" si="132"/>
        <v>1.3758872623210583</v>
      </c>
      <c r="CL28" s="2">
        <f t="shared" ref="CL28:CL35" si="158">BN28*2</f>
        <v>5.6985959156699524E-5</v>
      </c>
      <c r="CM28" s="2">
        <f t="shared" si="133"/>
        <v>5.9321873472533934E-4</v>
      </c>
      <c r="CN28" s="2">
        <f t="shared" ref="CN28:CN35" si="159">BP28*3</f>
        <v>1.9186046029375295E-4</v>
      </c>
      <c r="CO28" s="2">
        <f t="shared" ref="CO28:CO35" si="160">BQ28</f>
        <v>0.12820517798525674</v>
      </c>
      <c r="CP28" s="2">
        <f t="shared" ref="CP28:CP35" si="161">BR28</f>
        <v>1.8111636571433983E-3</v>
      </c>
      <c r="CQ28" s="2">
        <f t="shared" ref="CQ28:CQ35" si="162">BS28</f>
        <v>1.2142180384219512</v>
      </c>
      <c r="CR28" s="2">
        <f t="shared" ref="CR28:CR35" si="163">BT28</f>
        <v>8.0948084863523089E-4</v>
      </c>
      <c r="CS28" s="2">
        <f t="shared" ref="CS28:CS35" si="164">BU28</f>
        <v>1.8909292801448256E-4</v>
      </c>
      <c r="CT28" s="2">
        <f t="shared" ref="CT28:CT35" si="165">BV28</f>
        <v>0</v>
      </c>
      <c r="CU28" s="2">
        <f t="shared" ref="CU28:CU35" si="166">BW28</f>
        <v>5.2105379315923314E-3</v>
      </c>
      <c r="CW28" s="14">
        <f t="shared" ref="CW28:CW35" si="167">SUM(CK28:CU28)</f>
        <v>2.7271728192478277</v>
      </c>
      <c r="CY28" s="14">
        <f t="shared" ref="CY28:CY35" si="168">4/CW28</f>
        <v>1.4667203969505778</v>
      </c>
      <c r="DA28" s="16">
        <f t="shared" ref="DA28:DA35" si="169">BY28*$CY28</f>
        <v>1.0090209557753931</v>
      </c>
      <c r="DB28" s="16">
        <f t="shared" ref="DB28:DB35" si="170">BZ28*$CY28</f>
        <v>4.1791234317461871E-5</v>
      </c>
      <c r="DC28" s="16">
        <f t="shared" ref="DC28:DC35" si="171">CA28*$CY28</f>
        <v>5.8005734538324613E-4</v>
      </c>
      <c r="DD28" s="16">
        <f t="shared" ref="DD28:DD35" si="172">CB28*$CY28</f>
        <v>1.8760376698744927E-4</v>
      </c>
      <c r="DE28" s="16">
        <f t="shared" ref="DE28:DE35" si="173">CC28*$CY28</f>
        <v>0.18804114954565523</v>
      </c>
      <c r="DF28" s="16">
        <f t="shared" ref="DF28:DF35" si="174">CD28*$CY28</f>
        <v>2.6564706781478254E-3</v>
      </c>
      <c r="DG28" s="16">
        <f t="shared" ref="DG28:DG35" si="175">CE28*$CY28</f>
        <v>1.7809183632987962</v>
      </c>
      <c r="DH28" s="16">
        <f t="shared" ref="DH28:DH35" si="176">CF28*$CY28</f>
        <v>1.1872820716341565E-3</v>
      </c>
      <c r="DI28" s="16">
        <f t="shared" ref="DI28:DI35" si="177">CG28*$CY28</f>
        <v>5.546929088758978E-4</v>
      </c>
      <c r="DJ28" s="16">
        <f t="shared" ref="DJ28:DJ35" si="178">CH28*$CY28</f>
        <v>0</v>
      </c>
      <c r="DK28" s="16">
        <f t="shared" ref="DK28:DK35" si="179">CI28*$CY28</f>
        <v>7.6424022633511468E-3</v>
      </c>
      <c r="DL28" s="16">
        <f t="shared" si="22"/>
        <v>0.90449719848530441</v>
      </c>
      <c r="DN28" s="2">
        <f t="shared" si="23"/>
        <v>0.88438114849608362</v>
      </c>
      <c r="DO28" s="2">
        <f t="shared" si="24"/>
        <v>3.1365554623928879E-3</v>
      </c>
      <c r="DP28" s="2">
        <f t="shared" si="25"/>
        <v>4.6483673689449029E-2</v>
      </c>
      <c r="DQ28" s="2">
        <f t="shared" si="26"/>
        <v>5.2740800426137255E-3</v>
      </c>
      <c r="DR28" s="2">
        <f t="shared" si="27"/>
        <v>4.0446128044742687E-2</v>
      </c>
      <c r="DS28" s="2">
        <f t="shared" si="28"/>
        <v>0</v>
      </c>
      <c r="DT28" s="2">
        <f t="shared" si="29"/>
        <v>0.39330347873197768</v>
      </c>
      <c r="DU28" s="2">
        <f t="shared" si="30"/>
        <v>0.37720107368829359</v>
      </c>
      <c r="DV28" s="2">
        <f t="shared" si="31"/>
        <v>1.875366338580858E-2</v>
      </c>
      <c r="DW28" s="2">
        <f t="shared" si="32"/>
        <v>0</v>
      </c>
      <c r="DX28" s="2">
        <f t="shared" si="33"/>
        <v>0</v>
      </c>
      <c r="DZ28" s="2">
        <f t="shared" si="134"/>
        <v>1.7687622969921672</v>
      </c>
      <c r="EA28" s="2">
        <f t="shared" si="135"/>
        <v>6.2731109247857759E-3</v>
      </c>
      <c r="EB28" s="2">
        <f t="shared" si="136"/>
        <v>0.13945102106834709</v>
      </c>
      <c r="EC28" s="2">
        <f t="shared" ref="EC28:EC35" si="180">DQ28*3</f>
        <v>1.5822240127841176E-2</v>
      </c>
      <c r="ED28" s="2">
        <f t="shared" ref="ED28:ED35" si="181">DR28</f>
        <v>4.0446128044742687E-2</v>
      </c>
      <c r="EE28" s="2">
        <f t="shared" ref="EE28:EE35" si="182">DS28</f>
        <v>0</v>
      </c>
      <c r="EF28" s="2">
        <f t="shared" ref="EF28:EF35" si="183">DT28</f>
        <v>0.39330347873197768</v>
      </c>
      <c r="EG28" s="2">
        <f t="shared" ref="EG28:EG35" si="184">DU28</f>
        <v>0.37720107368829359</v>
      </c>
      <c r="EH28" s="2">
        <f t="shared" ref="EH28:EH35" si="185">DV28</f>
        <v>1.875366338580858E-2</v>
      </c>
      <c r="EI28" s="2">
        <f t="shared" ref="EI28:EI35" si="186">DW28</f>
        <v>0</v>
      </c>
      <c r="EJ28" s="2">
        <f t="shared" ref="EJ28:EJ35" si="187">DX28</f>
        <v>0</v>
      </c>
      <c r="EL28" s="16">
        <f t="shared" ref="EL28:EL35" si="188">SUM(DZ28:EJ28)</f>
        <v>2.760013012963964</v>
      </c>
      <c r="EN28" s="14">
        <f t="shared" ref="EN28:EN35" si="189">6/EL28</f>
        <v>2.1739027938700297</v>
      </c>
      <c r="EP28" s="16">
        <f t="shared" ref="EP28:EP35" si="190">DN28*$EN28</f>
        <v>1.9225586495616218</v>
      </c>
      <c r="EQ28" s="16">
        <f t="shared" ref="EQ28:EQ35" si="191">DO28*$EN28</f>
        <v>6.8185666828242024E-3</v>
      </c>
      <c r="ER28" s="16">
        <f t="shared" ref="ER28:ER35" si="192">2*DP28*$EN28</f>
        <v>0.20210197620567208</v>
      </c>
      <c r="ES28" s="16">
        <f t="shared" ref="ES28:ES35" si="193">2*DQ28*$EN28</f>
        <v>2.2930674679464285E-2</v>
      </c>
      <c r="ET28" s="16">
        <f t="shared" ref="ET28:ET35" si="194">DR28*$EN28</f>
        <v>8.7925950757691093E-2</v>
      </c>
      <c r="EU28" s="16">
        <f t="shared" ref="EU28:EU35" si="195">DS28*$EN28</f>
        <v>0</v>
      </c>
      <c r="EV28" s="16">
        <f t="shared" ref="EV28:EV35" si="196">DT28*$EN28</f>
        <v>0.85500353125424811</v>
      </c>
      <c r="EW28" s="16">
        <f t="shared" ref="EW28:EW35" si="197">DU28*$EN28</f>
        <v>0.81999846794175635</v>
      </c>
      <c r="EX28" s="16">
        <f t="shared" ref="EX28:EX35" si="198">2*DV28*$EN28</f>
        <v>8.1537282459414703E-2</v>
      </c>
      <c r="EY28" s="16">
        <f t="shared" ref="EY28:EY35" si="199">2*DW28*$EN28</f>
        <v>0</v>
      </c>
      <c r="EZ28" s="16">
        <f t="shared" ref="EZ28:EZ35" si="200">DX28*$EN28</f>
        <v>0</v>
      </c>
      <c r="FB28" s="14">
        <f t="shared" si="40"/>
        <v>-6.5376357504316536</v>
      </c>
      <c r="FC28" s="4">
        <f t="shared" si="41"/>
        <v>1.9039101297469549</v>
      </c>
      <c r="FD28" s="4">
        <f t="shared" si="42"/>
        <v>2.3741496033661269</v>
      </c>
      <c r="FE28" s="4">
        <f t="shared" si="43"/>
        <v>2.3741496033661269</v>
      </c>
      <c r="FG28" s="4">
        <f t="shared" si="44"/>
        <v>2.5896553665463067</v>
      </c>
    </row>
    <row r="29" spans="1:163" x14ac:dyDescent="0.2">
      <c r="A29" s="58" t="s">
        <v>143</v>
      </c>
      <c r="B29" s="57" t="s">
        <v>145</v>
      </c>
      <c r="C29" s="138">
        <v>41.322508313029388</v>
      </c>
      <c r="D29" s="98">
        <v>2.4877821771980961E-3</v>
      </c>
      <c r="E29" s="148">
        <f t="shared" si="127"/>
        <v>2.5511774279086328E-2</v>
      </c>
      <c r="F29" s="138">
        <v>1.6066483728756537E-2</v>
      </c>
      <c r="G29" s="138">
        <v>9.3992388289175004</v>
      </c>
      <c r="H29" s="138">
        <v>0.12304552092578566</v>
      </c>
      <c r="I29" s="138">
        <v>48.813781995051251</v>
      </c>
      <c r="J29" s="150">
        <f t="shared" si="128"/>
        <v>4.1339500684138615E-2</v>
      </c>
      <c r="K29" s="98">
        <v>1.6368213196609954E-2</v>
      </c>
      <c r="L29" s="98"/>
      <c r="M29" s="138">
        <v>0.34142534207606307</v>
      </c>
      <c r="N29" s="141">
        <v>135.02260937585737</v>
      </c>
      <c r="O29" s="142">
        <v>295.45170184191517</v>
      </c>
      <c r="P29" s="11"/>
      <c r="Q29" s="140">
        <v>52.848228663446051</v>
      </c>
      <c r="R29" s="140">
        <v>0.18115942028985507</v>
      </c>
      <c r="S29" s="140">
        <v>5.3542673107890497</v>
      </c>
      <c r="T29" s="140">
        <v>1.0466988727858293</v>
      </c>
      <c r="U29" s="140">
        <v>3.0696457326892106</v>
      </c>
      <c r="V29" s="140">
        <v>0</v>
      </c>
      <c r="W29" s="140">
        <v>15.630032206119163</v>
      </c>
      <c r="X29" s="140">
        <v>20.159017713365539</v>
      </c>
      <c r="Y29" s="140">
        <v>1.710950080515298</v>
      </c>
      <c r="Z29" s="100"/>
      <c r="AA29" s="140"/>
      <c r="AC29" s="139">
        <v>46.33286318758816</v>
      </c>
      <c r="AD29" s="139">
        <v>21.16663308482773</v>
      </c>
      <c r="AE29" s="11"/>
      <c r="AF29" s="83">
        <f t="shared" si="137"/>
        <v>0.23457544830703569</v>
      </c>
      <c r="AG29" s="22">
        <f t="shared" si="0"/>
        <v>5.5061942051361354E-4</v>
      </c>
      <c r="AH29" s="126">
        <f t="shared" si="129"/>
        <v>1057.8718731839474</v>
      </c>
      <c r="AI29" s="126">
        <f t="shared" si="1"/>
        <v>1057.7220856091794</v>
      </c>
      <c r="AJ29" s="126">
        <f t="shared" si="2"/>
        <v>0.14978757476797</v>
      </c>
      <c r="AK29" s="12"/>
      <c r="AL29" s="25">
        <f t="shared" si="126"/>
        <v>3.0712236618108979</v>
      </c>
      <c r="AN29" s="2">
        <v>15.999000000000001</v>
      </c>
      <c r="AO29" s="2">
        <v>28.085000000000001</v>
      </c>
      <c r="AP29" s="2">
        <v>47.866999999999997</v>
      </c>
      <c r="AQ29" s="2">
        <v>26.9815386</v>
      </c>
      <c r="AR29" s="2">
        <v>51.996099999999998</v>
      </c>
      <c r="AS29" s="2">
        <v>55.844999999999999</v>
      </c>
      <c r="AT29" s="2">
        <v>54.938045000000002</v>
      </c>
      <c r="AU29" s="2">
        <v>24.305</v>
      </c>
      <c r="AV29" s="2">
        <v>40.078000000000003</v>
      </c>
      <c r="AW29" s="2">
        <v>22.989769280000001</v>
      </c>
      <c r="AX29" s="2">
        <v>39.098300000000002</v>
      </c>
      <c r="AY29" s="2">
        <v>58.693399999999997</v>
      </c>
      <c r="BA29" s="2">
        <f t="shared" si="138"/>
        <v>60.082999999999998</v>
      </c>
      <c r="BB29" s="2">
        <f t="shared" si="139"/>
        <v>79.864999999999995</v>
      </c>
      <c r="BC29" s="2">
        <f t="shared" si="140"/>
        <v>101.9600772</v>
      </c>
      <c r="BD29" s="2">
        <f t="shared" si="141"/>
        <v>151.98919999999998</v>
      </c>
      <c r="BE29" s="2">
        <f t="shared" si="142"/>
        <v>71.843999999999994</v>
      </c>
      <c r="BF29" s="2">
        <f t="shared" si="143"/>
        <v>70.937044999999998</v>
      </c>
      <c r="BG29" s="2">
        <f t="shared" si="144"/>
        <v>40.304000000000002</v>
      </c>
      <c r="BH29" s="2">
        <f t="shared" si="145"/>
        <v>56.077000000000005</v>
      </c>
      <c r="BI29" s="2">
        <f t="shared" si="146"/>
        <v>61.978538560000004</v>
      </c>
      <c r="BJ29" s="2">
        <f t="shared" si="147"/>
        <v>94.195599999999999</v>
      </c>
      <c r="BK29" s="2">
        <f t="shared" si="148"/>
        <v>74.692399999999992</v>
      </c>
      <c r="BM29" s="2">
        <f t="shared" si="3"/>
        <v>0.68775707459729685</v>
      </c>
      <c r="BN29" s="2">
        <f t="shared" si="4"/>
        <v>3.1149842574320369E-5</v>
      </c>
      <c r="BO29" s="2">
        <f t="shared" si="5"/>
        <v>2.5021336762077627E-4</v>
      </c>
      <c r="BP29" s="2">
        <f t="shared" si="6"/>
        <v>1.0570806168304418E-4</v>
      </c>
      <c r="BQ29" s="2">
        <f t="shared" si="7"/>
        <v>0.13082844536659291</v>
      </c>
      <c r="BR29" s="2">
        <f t="shared" si="8"/>
        <v>1.7345735352492576E-3</v>
      </c>
      <c r="BS29" s="2">
        <f t="shared" si="9"/>
        <v>1.2111398867370795</v>
      </c>
      <c r="BT29" s="2">
        <f t="shared" si="10"/>
        <v>7.3719173072986453E-4</v>
      </c>
      <c r="BU29" s="2">
        <f t="shared" si="11"/>
        <v>2.6409485568563805E-4</v>
      </c>
      <c r="BV29" s="2">
        <f t="shared" si="12"/>
        <v>0</v>
      </c>
      <c r="BW29" s="2">
        <f t="shared" si="13"/>
        <v>4.5710854394297555E-3</v>
      </c>
      <c r="BY29" s="2">
        <f t="shared" si="130"/>
        <v>0.68775707459729685</v>
      </c>
      <c r="BZ29" s="2">
        <f t="shared" si="149"/>
        <v>3.1149842574320369E-5</v>
      </c>
      <c r="CA29" s="2">
        <f t="shared" si="131"/>
        <v>5.0042673524155253E-4</v>
      </c>
      <c r="CB29" s="2">
        <f t="shared" si="150"/>
        <v>2.1141612336608836E-4</v>
      </c>
      <c r="CC29" s="2">
        <f t="shared" si="151"/>
        <v>0.13082844536659291</v>
      </c>
      <c r="CD29" s="2">
        <f t="shared" si="152"/>
        <v>1.7345735352492576E-3</v>
      </c>
      <c r="CE29" s="2">
        <f t="shared" si="153"/>
        <v>1.2111398867370795</v>
      </c>
      <c r="CF29" s="2">
        <f t="shared" si="154"/>
        <v>7.3719173072986453E-4</v>
      </c>
      <c r="CG29" s="2">
        <f t="shared" si="155"/>
        <v>5.281897113712761E-4</v>
      </c>
      <c r="CH29" s="2">
        <f t="shared" si="156"/>
        <v>0</v>
      </c>
      <c r="CI29" s="2">
        <f t="shared" si="157"/>
        <v>4.5710854394297555E-3</v>
      </c>
      <c r="CK29" s="2">
        <f t="shared" si="132"/>
        <v>1.3755141491945937</v>
      </c>
      <c r="CL29" s="2">
        <f t="shared" si="158"/>
        <v>6.2299685148640738E-5</v>
      </c>
      <c r="CM29" s="2">
        <f t="shared" si="133"/>
        <v>7.506401028623288E-4</v>
      </c>
      <c r="CN29" s="2">
        <f t="shared" si="159"/>
        <v>3.1712418504913255E-4</v>
      </c>
      <c r="CO29" s="2">
        <f t="shared" si="160"/>
        <v>0.13082844536659291</v>
      </c>
      <c r="CP29" s="2">
        <f t="shared" si="161"/>
        <v>1.7345735352492576E-3</v>
      </c>
      <c r="CQ29" s="2">
        <f t="shared" si="162"/>
        <v>1.2111398867370795</v>
      </c>
      <c r="CR29" s="2">
        <f t="shared" si="163"/>
        <v>7.3719173072986453E-4</v>
      </c>
      <c r="CS29" s="2">
        <f t="shared" si="164"/>
        <v>2.6409485568563805E-4</v>
      </c>
      <c r="CT29" s="2">
        <f t="shared" si="165"/>
        <v>0</v>
      </c>
      <c r="CU29" s="2">
        <f t="shared" si="166"/>
        <v>4.5710854394297555E-3</v>
      </c>
      <c r="CW29" s="14">
        <f t="shared" si="167"/>
        <v>2.7259194908324207</v>
      </c>
      <c r="CY29" s="14">
        <f t="shared" si="168"/>
        <v>1.4673947684267485</v>
      </c>
      <c r="DA29" s="16">
        <f t="shared" si="169"/>
        <v>1.0092111332125584</v>
      </c>
      <c r="DB29" s="16">
        <f t="shared" si="170"/>
        <v>4.570911603087451E-5</v>
      </c>
      <c r="DC29" s="16">
        <f t="shared" si="171"/>
        <v>7.3432357327433181E-4</v>
      </c>
      <c r="DD29" s="16">
        <f t="shared" si="172"/>
        <v>3.1023091338846213E-4</v>
      </c>
      <c r="DE29" s="16">
        <f t="shared" si="173"/>
        <v>0.19197697629234312</v>
      </c>
      <c r="DF29" s="16">
        <f t="shared" si="174"/>
        <v>2.545304131076251E-3</v>
      </c>
      <c r="DG29" s="16">
        <f t="shared" si="175"/>
        <v>1.7772203336309553</v>
      </c>
      <c r="DH29" s="16">
        <f t="shared" si="176"/>
        <v>1.0817512890004635E-3</v>
      </c>
      <c r="DI29" s="16">
        <f t="shared" si="177"/>
        <v>7.7506281920304489E-4</v>
      </c>
      <c r="DJ29" s="16">
        <f t="shared" si="178"/>
        <v>0</v>
      </c>
      <c r="DK29" s="16">
        <f t="shared" si="179"/>
        <v>6.7075868598509081E-3</v>
      </c>
      <c r="DL29" s="16">
        <f t="shared" si="22"/>
        <v>0.90251003526923324</v>
      </c>
      <c r="DN29" s="2">
        <f t="shared" si="23"/>
        <v>0.87958704897302153</v>
      </c>
      <c r="DO29" s="2">
        <f t="shared" si="24"/>
        <v>2.2683205445421031E-3</v>
      </c>
      <c r="DP29" s="2">
        <f t="shared" si="25"/>
        <v>5.2513370505657575E-2</v>
      </c>
      <c r="DQ29" s="2">
        <f t="shared" si="26"/>
        <v>6.8866661103935637E-3</v>
      </c>
      <c r="DR29" s="2">
        <f t="shared" si="27"/>
        <v>4.2726542685390723E-2</v>
      </c>
      <c r="DS29" s="2">
        <f t="shared" si="28"/>
        <v>0</v>
      </c>
      <c r="DT29" s="2">
        <f t="shared" si="29"/>
        <v>0.38780349856389346</v>
      </c>
      <c r="DU29" s="2">
        <f t="shared" si="30"/>
        <v>0.35948816294319486</v>
      </c>
      <c r="DV29" s="2">
        <f t="shared" si="31"/>
        <v>2.7605524755298424E-2</v>
      </c>
      <c r="DW29" s="2">
        <f t="shared" si="32"/>
        <v>0</v>
      </c>
      <c r="DX29" s="2">
        <f t="shared" si="33"/>
        <v>0</v>
      </c>
      <c r="DZ29" s="2">
        <f t="shared" si="134"/>
        <v>1.7591740979460431</v>
      </c>
      <c r="EA29" s="2">
        <f t="shared" si="135"/>
        <v>4.5366410890842063E-3</v>
      </c>
      <c r="EB29" s="2">
        <f t="shared" si="136"/>
        <v>0.15754011151697273</v>
      </c>
      <c r="EC29" s="2">
        <f t="shared" si="180"/>
        <v>2.0659998331180693E-2</v>
      </c>
      <c r="ED29" s="2">
        <f t="shared" si="181"/>
        <v>4.2726542685390723E-2</v>
      </c>
      <c r="EE29" s="2">
        <f t="shared" si="182"/>
        <v>0</v>
      </c>
      <c r="EF29" s="2">
        <f t="shared" si="183"/>
        <v>0.38780349856389346</v>
      </c>
      <c r="EG29" s="2">
        <f t="shared" si="184"/>
        <v>0.35948816294319486</v>
      </c>
      <c r="EH29" s="2">
        <f t="shared" si="185"/>
        <v>2.7605524755298424E-2</v>
      </c>
      <c r="EI29" s="2">
        <f t="shared" si="186"/>
        <v>0</v>
      </c>
      <c r="EJ29" s="2">
        <f t="shared" si="187"/>
        <v>0</v>
      </c>
      <c r="EL29" s="16">
        <f t="shared" si="188"/>
        <v>2.7595345778310576</v>
      </c>
      <c r="EN29" s="14">
        <f t="shared" si="189"/>
        <v>2.1742796949172085</v>
      </c>
      <c r="EP29" s="16">
        <f t="shared" si="190"/>
        <v>1.9124682604941889</v>
      </c>
      <c r="EQ29" s="16">
        <f t="shared" si="191"/>
        <v>4.93196330156144E-3</v>
      </c>
      <c r="ER29" s="16">
        <f t="shared" si="192"/>
        <v>0.22835751040423097</v>
      </c>
      <c r="ES29" s="16">
        <f t="shared" si="193"/>
        <v>2.9947076579006394E-2</v>
      </c>
      <c r="ET29" s="16">
        <f t="shared" si="194"/>
        <v>9.2899454194858427E-2</v>
      </c>
      <c r="EU29" s="16">
        <f t="shared" si="195"/>
        <v>0</v>
      </c>
      <c r="EV29" s="16">
        <f t="shared" si="196"/>
        <v>0.84319327254532839</v>
      </c>
      <c r="EW29" s="16">
        <f t="shared" si="197"/>
        <v>0.78162781325047748</v>
      </c>
      <c r="EX29" s="16">
        <f t="shared" si="198"/>
        <v>0.12004426388595942</v>
      </c>
      <c r="EY29" s="16">
        <f t="shared" si="199"/>
        <v>0</v>
      </c>
      <c r="EZ29" s="16">
        <f t="shared" si="200"/>
        <v>0</v>
      </c>
      <c r="FB29" s="14">
        <f t="shared" si="40"/>
        <v>-6.5827973934036832</v>
      </c>
      <c r="FC29" s="4">
        <f t="shared" si="41"/>
        <v>2.8172728824619493</v>
      </c>
      <c r="FD29" s="4">
        <f t="shared" si="42"/>
        <v>3.0712236618108979</v>
      </c>
      <c r="FE29" s="4">
        <f t="shared" si="43"/>
        <v>3.0712236618108979</v>
      </c>
      <c r="FG29" s="4">
        <f t="shared" si="44"/>
        <v>3.6262520712568724</v>
      </c>
    </row>
    <row r="30" spans="1:163" x14ac:dyDescent="0.2">
      <c r="A30" s="58" t="s">
        <v>144</v>
      </c>
      <c r="B30" s="57" t="s">
        <v>145</v>
      </c>
      <c r="C30" s="138">
        <v>41.266833279026415</v>
      </c>
      <c r="D30" s="98">
        <v>3.3727199357117426E-3</v>
      </c>
      <c r="E30" s="148">
        <f t="shared" si="127"/>
        <v>3.1056499370572362E-2</v>
      </c>
      <c r="F30" s="138">
        <v>1.6237823127820621E-2</v>
      </c>
      <c r="G30" s="138">
        <v>9.0578391956637923</v>
      </c>
      <c r="H30" s="138">
        <v>0.1230289355211296</v>
      </c>
      <c r="I30" s="138">
        <v>49.241342869893217</v>
      </c>
      <c r="J30" s="150">
        <f t="shared" si="128"/>
        <v>3.9969912689124705E-2</v>
      </c>
      <c r="K30" s="98">
        <v>1.9536290846791971E-2</v>
      </c>
      <c r="L30" s="98"/>
      <c r="M30" s="138">
        <v>0.31095571989543491</v>
      </c>
      <c r="N30" s="141">
        <v>164.36840249609372</v>
      </c>
      <c r="O30" s="142">
        <v>285.66331307929096</v>
      </c>
      <c r="P30" s="11"/>
      <c r="Q30" s="140">
        <v>52.369976951598353</v>
      </c>
      <c r="R30" s="140">
        <v>0.43090490029061024</v>
      </c>
      <c r="S30" s="140">
        <v>6.1328790459965932</v>
      </c>
      <c r="T30" s="140">
        <v>0.89187293315963512</v>
      </c>
      <c r="U30" s="140">
        <v>3.0263553462270765</v>
      </c>
      <c r="V30" s="140">
        <v>0</v>
      </c>
      <c r="W30" s="140">
        <v>15.702976250125261</v>
      </c>
      <c r="X30" s="140">
        <v>19.801583324982463</v>
      </c>
      <c r="Y30" s="140">
        <v>1.6434512476200018</v>
      </c>
      <c r="Z30" s="100"/>
      <c r="AA30" s="140"/>
      <c r="AC30" s="139">
        <v>53.236327145007522</v>
      </c>
      <c r="AD30" s="139">
        <v>14.641244355243352</v>
      </c>
      <c r="AE30" s="11"/>
      <c r="AF30" s="83">
        <f t="shared" si="137"/>
        <v>0.15575921697443851</v>
      </c>
      <c r="AG30" s="22">
        <f t="shared" si="0"/>
        <v>5.8337043586758459E-4</v>
      </c>
      <c r="AH30" s="126">
        <f t="shared" si="129"/>
        <v>1079.7460612540051</v>
      </c>
      <c r="AI30" s="126">
        <f t="shared" si="1"/>
        <v>1079.5962966351651</v>
      </c>
      <c r="AJ30" s="126">
        <f t="shared" si="2"/>
        <v>0.14976461883998127</v>
      </c>
      <c r="AK30" s="12"/>
      <c r="AL30" s="25">
        <f t="shared" si="126"/>
        <v>3.3959053342945063</v>
      </c>
      <c r="AN30" s="2">
        <v>15.999000000000001</v>
      </c>
      <c r="AO30" s="2">
        <v>28.085000000000001</v>
      </c>
      <c r="AP30" s="2">
        <v>47.866999999999997</v>
      </c>
      <c r="AQ30" s="2">
        <v>26.9815386</v>
      </c>
      <c r="AR30" s="2">
        <v>51.996099999999998</v>
      </c>
      <c r="AS30" s="2">
        <v>55.844999999999999</v>
      </c>
      <c r="AT30" s="2">
        <v>54.938045000000002</v>
      </c>
      <c r="AU30" s="2">
        <v>24.305</v>
      </c>
      <c r="AV30" s="2">
        <v>40.078000000000003</v>
      </c>
      <c r="AW30" s="2">
        <v>22.989769280000001</v>
      </c>
      <c r="AX30" s="2">
        <v>39.098300000000002</v>
      </c>
      <c r="AY30" s="2">
        <v>58.693399999999997</v>
      </c>
      <c r="BA30" s="2">
        <f t="shared" si="138"/>
        <v>60.082999999999998</v>
      </c>
      <c r="BB30" s="2">
        <f t="shared" si="139"/>
        <v>79.864999999999995</v>
      </c>
      <c r="BC30" s="2">
        <f t="shared" si="140"/>
        <v>101.9600772</v>
      </c>
      <c r="BD30" s="2">
        <f t="shared" si="141"/>
        <v>151.98919999999998</v>
      </c>
      <c r="BE30" s="2">
        <f t="shared" si="142"/>
        <v>71.843999999999994</v>
      </c>
      <c r="BF30" s="2">
        <f t="shared" si="143"/>
        <v>70.937044999999998</v>
      </c>
      <c r="BG30" s="2">
        <f t="shared" si="144"/>
        <v>40.304000000000002</v>
      </c>
      <c r="BH30" s="2">
        <f t="shared" si="145"/>
        <v>56.077000000000005</v>
      </c>
      <c r="BI30" s="2">
        <f t="shared" si="146"/>
        <v>61.978538560000004</v>
      </c>
      <c r="BJ30" s="2">
        <f t="shared" si="147"/>
        <v>94.195599999999999</v>
      </c>
      <c r="BK30" s="2">
        <f t="shared" si="148"/>
        <v>74.692399999999992</v>
      </c>
      <c r="BM30" s="2">
        <f t="shared" si="3"/>
        <v>0.68683043920953368</v>
      </c>
      <c r="BN30" s="2">
        <f t="shared" si="4"/>
        <v>4.2230262764812405E-5</v>
      </c>
      <c r="BO30" s="2">
        <f t="shared" si="5"/>
        <v>3.0459470239173537E-4</v>
      </c>
      <c r="BP30" s="2">
        <f t="shared" si="6"/>
        <v>1.0683537467017802E-4</v>
      </c>
      <c r="BQ30" s="2">
        <f t="shared" si="7"/>
        <v>0.12607648788574957</v>
      </c>
      <c r="BR30" s="2">
        <f t="shared" si="8"/>
        <v>1.7343397306883817E-3</v>
      </c>
      <c r="BS30" s="2">
        <f t="shared" si="9"/>
        <v>1.2217482847829797</v>
      </c>
      <c r="BT30" s="2">
        <f t="shared" si="10"/>
        <v>7.1276838434874729E-4</v>
      </c>
      <c r="BU30" s="2">
        <f t="shared" si="11"/>
        <v>3.1521057612352921E-4</v>
      </c>
      <c r="BV30" s="2">
        <f t="shared" si="12"/>
        <v>0</v>
      </c>
      <c r="BW30" s="2">
        <f t="shared" si="13"/>
        <v>4.163150734150127E-3</v>
      </c>
      <c r="BY30" s="2">
        <f t="shared" si="130"/>
        <v>0.68683043920953368</v>
      </c>
      <c r="BZ30" s="2">
        <f t="shared" si="149"/>
        <v>4.2230262764812405E-5</v>
      </c>
      <c r="CA30" s="2">
        <f t="shared" si="131"/>
        <v>6.0918940478347074E-4</v>
      </c>
      <c r="CB30" s="2">
        <f t="shared" si="150"/>
        <v>2.1367074934035605E-4</v>
      </c>
      <c r="CC30" s="2">
        <f t="shared" si="151"/>
        <v>0.12607648788574957</v>
      </c>
      <c r="CD30" s="2">
        <f t="shared" si="152"/>
        <v>1.7343397306883817E-3</v>
      </c>
      <c r="CE30" s="2">
        <f t="shared" si="153"/>
        <v>1.2217482847829797</v>
      </c>
      <c r="CF30" s="2">
        <f t="shared" si="154"/>
        <v>7.1276838434874729E-4</v>
      </c>
      <c r="CG30" s="2">
        <f t="shared" si="155"/>
        <v>6.3042115224705843E-4</v>
      </c>
      <c r="CH30" s="2">
        <f t="shared" si="156"/>
        <v>0</v>
      </c>
      <c r="CI30" s="2">
        <f t="shared" si="157"/>
        <v>4.163150734150127E-3</v>
      </c>
      <c r="CK30" s="2">
        <f t="shared" si="132"/>
        <v>1.3736608784190674</v>
      </c>
      <c r="CL30" s="2">
        <f t="shared" si="158"/>
        <v>8.446052552962481E-5</v>
      </c>
      <c r="CM30" s="2">
        <f t="shared" si="133"/>
        <v>9.1378410717520616E-4</v>
      </c>
      <c r="CN30" s="2">
        <f t="shared" si="159"/>
        <v>3.2050612401053407E-4</v>
      </c>
      <c r="CO30" s="2">
        <f t="shared" si="160"/>
        <v>0.12607648788574957</v>
      </c>
      <c r="CP30" s="2">
        <f t="shared" si="161"/>
        <v>1.7343397306883817E-3</v>
      </c>
      <c r="CQ30" s="2">
        <f t="shared" si="162"/>
        <v>1.2217482847829797</v>
      </c>
      <c r="CR30" s="2">
        <f t="shared" si="163"/>
        <v>7.1276838434874729E-4</v>
      </c>
      <c r="CS30" s="2">
        <f t="shared" si="164"/>
        <v>3.1521057612352921E-4</v>
      </c>
      <c r="CT30" s="2">
        <f t="shared" si="165"/>
        <v>0</v>
      </c>
      <c r="CU30" s="2">
        <f t="shared" si="166"/>
        <v>4.163150734150127E-3</v>
      </c>
      <c r="CW30" s="14">
        <f t="shared" si="167"/>
        <v>2.7297298712698228</v>
      </c>
      <c r="CY30" s="14">
        <f t="shared" si="168"/>
        <v>1.4653464586733154</v>
      </c>
      <c r="DA30" s="16">
        <f t="shared" si="169"/>
        <v>1.006444551804728</v>
      </c>
      <c r="DB30" s="16">
        <f t="shared" si="170"/>
        <v>6.1881965991261427E-5</v>
      </c>
      <c r="DC30" s="16">
        <f t="shared" si="171"/>
        <v>8.9267353696076369E-4</v>
      </c>
      <c r="DD30" s="16">
        <f t="shared" si="172"/>
        <v>3.1310167586796439E-4</v>
      </c>
      <c r="DE30" s="16">
        <f t="shared" si="173"/>
        <v>0.18474573504535227</v>
      </c>
      <c r="DF30" s="16">
        <f t="shared" si="174"/>
        <v>2.5414085825006517E-3</v>
      </c>
      <c r="DG30" s="16">
        <f t="shared" si="175"/>
        <v>1.7902845224969366</v>
      </c>
      <c r="DH30" s="16">
        <f t="shared" si="176"/>
        <v>1.0444526278597375E-3</v>
      </c>
      <c r="DI30" s="16">
        <f t="shared" si="177"/>
        <v>9.2378540291797805E-4</v>
      </c>
      <c r="DJ30" s="16">
        <f t="shared" si="178"/>
        <v>0</v>
      </c>
      <c r="DK30" s="16">
        <f t="shared" si="179"/>
        <v>6.1004581852101012E-3</v>
      </c>
      <c r="DL30" s="16">
        <f t="shared" si="22"/>
        <v>0.90645928874261994</v>
      </c>
      <c r="DN30" s="2">
        <f t="shared" si="23"/>
        <v>0.87162719823574641</v>
      </c>
      <c r="DO30" s="2">
        <f t="shared" si="24"/>
        <v>5.3954160181632791E-3</v>
      </c>
      <c r="DP30" s="2">
        <f t="shared" si="25"/>
        <v>6.0149807791598973E-2</v>
      </c>
      <c r="DQ30" s="2">
        <f t="shared" si="26"/>
        <v>5.8680020235624322E-3</v>
      </c>
      <c r="DR30" s="2">
        <f t="shared" si="27"/>
        <v>4.2123981769209354E-2</v>
      </c>
      <c r="DS30" s="2">
        <f t="shared" si="28"/>
        <v>0</v>
      </c>
      <c r="DT30" s="2">
        <f t="shared" si="29"/>
        <v>0.38961334483240523</v>
      </c>
      <c r="DU30" s="2">
        <f t="shared" si="30"/>
        <v>0.353114170247739</v>
      </c>
      <c r="DV30" s="2">
        <f t="shared" si="31"/>
        <v>2.6516456918857716E-2</v>
      </c>
      <c r="DW30" s="2">
        <f t="shared" si="32"/>
        <v>0</v>
      </c>
      <c r="DX30" s="2">
        <f t="shared" si="33"/>
        <v>0</v>
      </c>
      <c r="DZ30" s="2">
        <f t="shared" si="134"/>
        <v>1.7432543964714928</v>
      </c>
      <c r="EA30" s="2">
        <f t="shared" si="135"/>
        <v>1.0790832036326558E-2</v>
      </c>
      <c r="EB30" s="2">
        <f t="shared" si="136"/>
        <v>0.18044942337479691</v>
      </c>
      <c r="EC30" s="2">
        <f t="shared" si="180"/>
        <v>1.7604006070687295E-2</v>
      </c>
      <c r="ED30" s="2">
        <f t="shared" si="181"/>
        <v>4.2123981769209354E-2</v>
      </c>
      <c r="EE30" s="2">
        <f t="shared" si="182"/>
        <v>0</v>
      </c>
      <c r="EF30" s="2">
        <f t="shared" si="183"/>
        <v>0.38961334483240523</v>
      </c>
      <c r="EG30" s="2">
        <f t="shared" si="184"/>
        <v>0.353114170247739</v>
      </c>
      <c r="EH30" s="2">
        <f t="shared" si="185"/>
        <v>2.6516456918857716E-2</v>
      </c>
      <c r="EI30" s="2">
        <f t="shared" si="186"/>
        <v>0</v>
      </c>
      <c r="EJ30" s="2">
        <f t="shared" si="187"/>
        <v>0</v>
      </c>
      <c r="EL30" s="16">
        <f t="shared" si="188"/>
        <v>2.763466611721515</v>
      </c>
      <c r="EN30" s="14">
        <f t="shared" si="189"/>
        <v>2.1711859931834931</v>
      </c>
      <c r="EP30" s="16">
        <f t="shared" si="190"/>
        <v>1.8924647640872245</v>
      </c>
      <c r="EQ30" s="16">
        <f t="shared" si="191"/>
        <v>1.1714451686033966E-2</v>
      </c>
      <c r="ER30" s="16">
        <f t="shared" si="192"/>
        <v>0.26119284033959805</v>
      </c>
      <c r="ES30" s="16">
        <f t="shared" si="193"/>
        <v>2.5481047603062294E-2</v>
      </c>
      <c r="ET30" s="16">
        <f t="shared" si="194"/>
        <v>9.145899919442417E-2</v>
      </c>
      <c r="EU30" s="16">
        <f t="shared" si="195"/>
        <v>0</v>
      </c>
      <c r="EV30" s="16">
        <f t="shared" si="196"/>
        <v>0.8459230370574885</v>
      </c>
      <c r="EW30" s="16">
        <f t="shared" si="197"/>
        <v>0.76667654043650224</v>
      </c>
      <c r="EX30" s="16">
        <f t="shared" si="198"/>
        <v>0.1151443197021548</v>
      </c>
      <c r="EY30" s="16">
        <f t="shared" si="199"/>
        <v>0</v>
      </c>
      <c r="EZ30" s="16">
        <f t="shared" si="200"/>
        <v>0</v>
      </c>
      <c r="FB30" s="14">
        <f t="shared" si="40"/>
        <v>-6.5985720449025216</v>
      </c>
      <c r="FC30" s="4">
        <f t="shared" si="41"/>
        <v>3.251967303860551</v>
      </c>
      <c r="FD30" s="4">
        <f t="shared" si="42"/>
        <v>3.3959053342945063</v>
      </c>
      <c r="FE30" s="4">
        <f t="shared" si="43"/>
        <v>3.3959053342945063</v>
      </c>
      <c r="FG30" s="4">
        <f t="shared" si="44"/>
        <v>4.0502762299624822</v>
      </c>
    </row>
    <row r="31" spans="1:163" x14ac:dyDescent="0.2">
      <c r="A31" s="24" t="s">
        <v>146</v>
      </c>
      <c r="B31" s="60" t="s">
        <v>165</v>
      </c>
      <c r="C31" s="138">
        <v>40.773750000000007</v>
      </c>
      <c r="D31" s="98">
        <v>2.5000000000000001E-3</v>
      </c>
      <c r="E31" s="148">
        <f t="shared" si="127"/>
        <v>2.265367218245657E-2</v>
      </c>
      <c r="F31" s="138">
        <v>3.0000000000000002E-2</v>
      </c>
      <c r="G31" s="138">
        <v>9.15</v>
      </c>
      <c r="H31" s="138">
        <v>0.13</v>
      </c>
      <c r="I31" s="138">
        <v>48.983750000000001</v>
      </c>
      <c r="J31" s="150">
        <f t="shared" si="128"/>
        <v>4.0059219488787448E-2</v>
      </c>
      <c r="K31" s="98"/>
      <c r="L31" s="98"/>
      <c r="M31" s="138">
        <v>0.37</v>
      </c>
      <c r="N31" s="141">
        <v>119.89593105360861</v>
      </c>
      <c r="O31" s="142">
        <v>286.30158508330038</v>
      </c>
      <c r="P31" s="11"/>
      <c r="Q31" s="140">
        <v>52.356128571428577</v>
      </c>
      <c r="R31" s="140">
        <v>0.19948814285714286</v>
      </c>
      <c r="S31" s="140">
        <v>5.3498342857142864</v>
      </c>
      <c r="T31" s="140">
        <v>1.3400728571428573</v>
      </c>
      <c r="U31" s="140">
        <v>2.8779571428571424</v>
      </c>
      <c r="V31" s="140">
        <v>8.1720571428571434E-2</v>
      </c>
      <c r="W31" s="140">
        <v>16.66308571428571</v>
      </c>
      <c r="X31" s="140">
        <v>20.027700000000003</v>
      </c>
      <c r="Y31" s="140">
        <v>0.94975885714285724</v>
      </c>
      <c r="Z31" s="100">
        <v>2.6340000000000001E-3</v>
      </c>
      <c r="AA31" s="140">
        <v>4.8718428571428572E-2</v>
      </c>
      <c r="AC31" s="139">
        <v>45.282499999999999</v>
      </c>
      <c r="AD31" s="139">
        <v>23.442499999999995</v>
      </c>
      <c r="AE31" s="11"/>
      <c r="AF31" s="83">
        <f t="shared" si="137"/>
        <v>0.257768759882955</v>
      </c>
      <c r="AG31" s="22">
        <f t="shared" si="0"/>
        <v>5.0027432633923861E-4</v>
      </c>
      <c r="AH31" s="126">
        <f t="shared" si="129"/>
        <v>1039.2696412962782</v>
      </c>
      <c r="AI31" s="126">
        <f t="shared" si="1"/>
        <v>1039.1195089156781</v>
      </c>
      <c r="AJ31" s="126">
        <f t="shared" si="2"/>
        <v>0.15013238060009826</v>
      </c>
      <c r="AK31" s="12"/>
      <c r="AL31" s="25">
        <f t="shared" si="126"/>
        <v>2.8953963950773729</v>
      </c>
      <c r="AN31" s="2">
        <v>15.999000000000001</v>
      </c>
      <c r="AO31" s="2">
        <v>28.085000000000001</v>
      </c>
      <c r="AP31" s="2">
        <v>47.866999999999997</v>
      </c>
      <c r="AQ31" s="2">
        <v>26.9815386</v>
      </c>
      <c r="AR31" s="2">
        <v>51.996099999999998</v>
      </c>
      <c r="AS31" s="2">
        <v>55.844999999999999</v>
      </c>
      <c r="AT31" s="2">
        <v>54.938045000000002</v>
      </c>
      <c r="AU31" s="2">
        <v>24.305</v>
      </c>
      <c r="AV31" s="2">
        <v>40.078000000000003</v>
      </c>
      <c r="AW31" s="2">
        <v>22.989769280000001</v>
      </c>
      <c r="AX31" s="2">
        <v>39.098300000000002</v>
      </c>
      <c r="AY31" s="2">
        <v>58.693399999999997</v>
      </c>
      <c r="BA31" s="2">
        <f t="shared" si="138"/>
        <v>60.082999999999998</v>
      </c>
      <c r="BB31" s="2">
        <f t="shared" si="139"/>
        <v>79.864999999999995</v>
      </c>
      <c r="BC31" s="2">
        <f t="shared" si="140"/>
        <v>101.9600772</v>
      </c>
      <c r="BD31" s="2">
        <f t="shared" si="141"/>
        <v>151.98919999999998</v>
      </c>
      <c r="BE31" s="2">
        <f t="shared" si="142"/>
        <v>71.843999999999994</v>
      </c>
      <c r="BF31" s="2">
        <f t="shared" si="143"/>
        <v>70.937044999999998</v>
      </c>
      <c r="BG31" s="2">
        <f t="shared" si="144"/>
        <v>40.304000000000002</v>
      </c>
      <c r="BH31" s="2">
        <f t="shared" si="145"/>
        <v>56.077000000000005</v>
      </c>
      <c r="BI31" s="2">
        <f t="shared" si="146"/>
        <v>61.978538560000004</v>
      </c>
      <c r="BJ31" s="2">
        <f t="shared" si="147"/>
        <v>94.195599999999999</v>
      </c>
      <c r="BK31" s="2">
        <f t="shared" si="148"/>
        <v>74.692399999999992</v>
      </c>
      <c r="BM31" s="2">
        <f t="shared" si="3"/>
        <v>0.67862373716359048</v>
      </c>
      <c r="BN31" s="2">
        <f t="shared" si="4"/>
        <v>3.1302823514681028E-5</v>
      </c>
      <c r="BO31" s="2">
        <f t="shared" si="5"/>
        <v>2.2218178726973904E-4</v>
      </c>
      <c r="BP31" s="2">
        <f t="shared" si="6"/>
        <v>1.9738244559481863E-4</v>
      </c>
      <c r="BQ31" s="2">
        <f t="shared" si="7"/>
        <v>0.12735927843661268</v>
      </c>
      <c r="BR31" s="2">
        <f t="shared" si="8"/>
        <v>1.8326108734864838E-3</v>
      </c>
      <c r="BS31" s="2">
        <f t="shared" si="9"/>
        <v>1.2153570365224295</v>
      </c>
      <c r="BT31" s="2">
        <f t="shared" si="10"/>
        <v>7.1436095883851568E-4</v>
      </c>
      <c r="BU31" s="2">
        <f t="shared" si="11"/>
        <v>0</v>
      </c>
      <c r="BV31" s="2">
        <f t="shared" si="12"/>
        <v>0</v>
      </c>
      <c r="BW31" s="2">
        <f t="shared" si="13"/>
        <v>4.9536499028013563E-3</v>
      </c>
      <c r="BY31" s="2">
        <f t="shared" si="130"/>
        <v>0.67862373716359048</v>
      </c>
      <c r="BZ31" s="2">
        <f t="shared" si="149"/>
        <v>3.1302823514681028E-5</v>
      </c>
      <c r="CA31" s="2">
        <f t="shared" si="131"/>
        <v>4.4436357453947809E-4</v>
      </c>
      <c r="CB31" s="2">
        <f t="shared" si="150"/>
        <v>3.9476489118963725E-4</v>
      </c>
      <c r="CC31" s="2">
        <f t="shared" si="151"/>
        <v>0.12735927843661268</v>
      </c>
      <c r="CD31" s="2">
        <f t="shared" si="152"/>
        <v>1.8326108734864838E-3</v>
      </c>
      <c r="CE31" s="2">
        <f t="shared" si="153"/>
        <v>1.2153570365224295</v>
      </c>
      <c r="CF31" s="2">
        <f t="shared" si="154"/>
        <v>7.1436095883851568E-4</v>
      </c>
      <c r="CG31" s="2">
        <f t="shared" si="155"/>
        <v>0</v>
      </c>
      <c r="CH31" s="2">
        <f t="shared" si="156"/>
        <v>0</v>
      </c>
      <c r="CI31" s="2">
        <f t="shared" si="157"/>
        <v>4.9536499028013563E-3</v>
      </c>
      <c r="CK31" s="2">
        <f t="shared" si="132"/>
        <v>1.357247474327181</v>
      </c>
      <c r="CL31" s="2">
        <f t="shared" si="158"/>
        <v>6.2605647029362056E-5</v>
      </c>
      <c r="CM31" s="2">
        <f t="shared" si="133"/>
        <v>6.6654536180921708E-4</v>
      </c>
      <c r="CN31" s="2">
        <f t="shared" si="159"/>
        <v>5.9214733678445591E-4</v>
      </c>
      <c r="CO31" s="2">
        <f t="shared" si="160"/>
        <v>0.12735927843661268</v>
      </c>
      <c r="CP31" s="2">
        <f t="shared" si="161"/>
        <v>1.8326108734864838E-3</v>
      </c>
      <c r="CQ31" s="2">
        <f t="shared" si="162"/>
        <v>1.2153570365224295</v>
      </c>
      <c r="CR31" s="2">
        <f t="shared" si="163"/>
        <v>7.1436095883851568E-4</v>
      </c>
      <c r="CS31" s="2">
        <f t="shared" si="164"/>
        <v>0</v>
      </c>
      <c r="CT31" s="2">
        <f t="shared" si="165"/>
        <v>0</v>
      </c>
      <c r="CU31" s="2">
        <f t="shared" si="166"/>
        <v>4.9536499028013563E-3</v>
      </c>
      <c r="CW31" s="14">
        <f t="shared" si="167"/>
        <v>2.7087857093669729</v>
      </c>
      <c r="CY31" s="14">
        <f t="shared" si="168"/>
        <v>1.4766764259601679</v>
      </c>
      <c r="DA31" s="16">
        <f t="shared" si="169"/>
        <v>1.0021076747664632</v>
      </c>
      <c r="DB31" s="16">
        <f t="shared" si="170"/>
        <v>4.6224141550121081E-5</v>
      </c>
      <c r="DC31" s="16">
        <f t="shared" si="171"/>
        <v>6.5618121507784121E-4</v>
      </c>
      <c r="DD31" s="16">
        <f t="shared" si="172"/>
        <v>5.8294000861646811E-4</v>
      </c>
      <c r="DE31" s="16">
        <f t="shared" si="173"/>
        <v>0.1880684440946431</v>
      </c>
      <c r="DF31" s="16">
        <f t="shared" si="174"/>
        <v>2.7061732748357623E-3</v>
      </c>
      <c r="DG31" s="16">
        <f t="shared" si="175"/>
        <v>1.7946890849574826</v>
      </c>
      <c r="DH31" s="16">
        <f t="shared" si="176"/>
        <v>1.0548799875431379E-3</v>
      </c>
      <c r="DI31" s="16">
        <f t="shared" si="177"/>
        <v>0</v>
      </c>
      <c r="DJ31" s="16">
        <f t="shared" si="178"/>
        <v>0</v>
      </c>
      <c r="DK31" s="16">
        <f t="shared" si="179"/>
        <v>7.3149380339266401E-3</v>
      </c>
      <c r="DL31" s="16">
        <f t="shared" si="22"/>
        <v>0.90514803684313794</v>
      </c>
      <c r="DN31" s="2">
        <f t="shared" si="23"/>
        <v>0.87139671074061842</v>
      </c>
      <c r="DO31" s="2">
        <f t="shared" si="24"/>
        <v>2.4978168516514476E-3</v>
      </c>
      <c r="DP31" s="2">
        <f t="shared" si="25"/>
        <v>5.2469892458205068E-2</v>
      </c>
      <c r="DQ31" s="2">
        <f t="shared" si="26"/>
        <v>8.816895260603105E-3</v>
      </c>
      <c r="DR31" s="2">
        <f t="shared" si="27"/>
        <v>4.0058420227954215E-2</v>
      </c>
      <c r="DS31" s="2">
        <f t="shared" si="28"/>
        <v>1.1520154445194529E-3</v>
      </c>
      <c r="DT31" s="2">
        <f t="shared" si="29"/>
        <v>0.41343503657914127</v>
      </c>
      <c r="DU31" s="2">
        <f t="shared" si="30"/>
        <v>0.35714642366745725</v>
      </c>
      <c r="DV31" s="2">
        <f t="shared" si="31"/>
        <v>1.5323995679946816E-2</v>
      </c>
      <c r="DW31" s="2">
        <f t="shared" si="32"/>
        <v>2.7963089571062769E-5</v>
      </c>
      <c r="DX31" s="2">
        <f t="shared" si="33"/>
        <v>6.5225415934457292E-4</v>
      </c>
      <c r="DZ31" s="2">
        <f t="shared" si="134"/>
        <v>1.7427934214812368</v>
      </c>
      <c r="EA31" s="2">
        <f t="shared" si="135"/>
        <v>4.9956337033028953E-3</v>
      </c>
      <c r="EB31" s="2">
        <f t="shared" si="136"/>
        <v>0.1574096773746152</v>
      </c>
      <c r="EC31" s="2">
        <f t="shared" si="180"/>
        <v>2.6450685781809313E-2</v>
      </c>
      <c r="ED31" s="2">
        <f t="shared" si="181"/>
        <v>4.0058420227954215E-2</v>
      </c>
      <c r="EE31" s="2">
        <f t="shared" si="182"/>
        <v>1.1520154445194529E-3</v>
      </c>
      <c r="EF31" s="2">
        <f t="shared" si="183"/>
        <v>0.41343503657914127</v>
      </c>
      <c r="EG31" s="2">
        <f t="shared" si="184"/>
        <v>0.35714642366745725</v>
      </c>
      <c r="EH31" s="2">
        <f t="shared" si="185"/>
        <v>1.5323995679946816E-2</v>
      </c>
      <c r="EI31" s="2">
        <f t="shared" si="186"/>
        <v>2.7963089571062769E-5</v>
      </c>
      <c r="EJ31" s="2">
        <f t="shared" si="187"/>
        <v>6.5225415934457292E-4</v>
      </c>
      <c r="EL31" s="16">
        <f t="shared" si="188"/>
        <v>2.7594455271888991</v>
      </c>
      <c r="EN31" s="14">
        <f t="shared" si="189"/>
        <v>2.1743498615507431</v>
      </c>
      <c r="EP31" s="16">
        <f t="shared" si="190"/>
        <v>1.8947213173546364</v>
      </c>
      <c r="EQ31" s="16">
        <f t="shared" si="191"/>
        <v>5.4311277255674377E-3</v>
      </c>
      <c r="ER31" s="16">
        <f t="shared" si="192"/>
        <v>0.22817580680416114</v>
      </c>
      <c r="ES31" s="16">
        <f t="shared" si="193"/>
        <v>3.8342029978399528E-2</v>
      </c>
      <c r="ET31" s="16">
        <f t="shared" si="194"/>
        <v>8.7101020476593738E-2</v>
      </c>
      <c r="EU31" s="16">
        <f t="shared" si="195"/>
        <v>2.50488462229519E-3</v>
      </c>
      <c r="EV31" s="16">
        <f t="shared" si="196"/>
        <v>0.89895241454608221</v>
      </c>
      <c r="EW31" s="16">
        <f t="shared" si="197"/>
        <v>0.77656127685467868</v>
      </c>
      <c r="EX31" s="16">
        <f t="shared" si="198"/>
        <v>6.663945577019309E-2</v>
      </c>
      <c r="EY31" s="16">
        <f t="shared" si="199"/>
        <v>1.2160307987474272E-4</v>
      </c>
      <c r="EZ31" s="16">
        <f t="shared" si="200"/>
        <v>1.4182287410667684E-3</v>
      </c>
      <c r="FB31" s="14">
        <f t="shared" si="40"/>
        <v>-6.6014485490732806</v>
      </c>
      <c r="FC31" s="4">
        <f t="shared" si="41"/>
        <v>2.5234411469889588</v>
      </c>
      <c r="FD31" s="4">
        <f t="shared" si="42"/>
        <v>2.8953963950773729</v>
      </c>
      <c r="FE31" s="4">
        <f t="shared" si="43"/>
        <v>2.8953963950773729</v>
      </c>
      <c r="FG31" s="4">
        <f t="shared" si="44"/>
        <v>3.3794217145209524</v>
      </c>
    </row>
    <row r="32" spans="1:163" x14ac:dyDescent="0.2">
      <c r="A32" s="24" t="s">
        <v>147</v>
      </c>
      <c r="B32" s="60" t="s">
        <v>165</v>
      </c>
      <c r="C32" s="138">
        <v>40.923124999999999</v>
      </c>
      <c r="D32" s="98">
        <v>2.5000000000000001E-3</v>
      </c>
      <c r="E32" s="148">
        <f t="shared" si="127"/>
        <v>2.7987444004193833E-2</v>
      </c>
      <c r="F32" s="138">
        <v>2.1874999999999999E-2</v>
      </c>
      <c r="G32" s="138">
        <v>9.5906250000000011</v>
      </c>
      <c r="H32" s="138">
        <v>0.13500000000000001</v>
      </c>
      <c r="I32" s="138">
        <v>48.958750000000002</v>
      </c>
      <c r="J32" s="150">
        <f t="shared" si="128"/>
        <v>3.7394070918751771E-2</v>
      </c>
      <c r="K32" s="98"/>
      <c r="L32" s="98"/>
      <c r="M32" s="138">
        <v>0.35249999999999998</v>
      </c>
      <c r="N32" s="141">
        <v>148.1252412265496</v>
      </c>
      <c r="O32" s="142">
        <v>267.25387846741688</v>
      </c>
      <c r="P32" s="11"/>
      <c r="Q32" s="140">
        <v>51.732074999999988</v>
      </c>
      <c r="R32" s="140">
        <v>0.35044375</v>
      </c>
      <c r="S32" s="140">
        <v>6.5946300000000004</v>
      </c>
      <c r="T32" s="140">
        <v>1.1063850000000002</v>
      </c>
      <c r="U32" s="140">
        <v>3.20307875</v>
      </c>
      <c r="V32" s="140">
        <v>9.2713999999999991E-2</v>
      </c>
      <c r="W32" s="140">
        <v>15.983749999999997</v>
      </c>
      <c r="X32" s="140">
        <v>19.2396125</v>
      </c>
      <c r="Y32" s="140">
        <v>1.3342987500000001</v>
      </c>
      <c r="Z32" s="100">
        <v>8.2387499999999995E-4</v>
      </c>
      <c r="AA32" s="140">
        <v>5.74415E-2</v>
      </c>
      <c r="AC32" s="139">
        <v>52.43571428571429</v>
      </c>
      <c r="AD32" s="139">
        <v>16.181428571428572</v>
      </c>
      <c r="AE32" s="11"/>
      <c r="AF32" s="83">
        <f t="shared" si="137"/>
        <v>0.17151164234566377</v>
      </c>
      <c r="AG32" s="22">
        <f t="shared" si="0"/>
        <v>5.3374774016988643E-4</v>
      </c>
      <c r="AH32" s="126">
        <f t="shared" si="129"/>
        <v>1062.8200898276398</v>
      </c>
      <c r="AI32" s="126">
        <f t="shared" si="1"/>
        <v>1062.6697243222693</v>
      </c>
      <c r="AJ32" s="126">
        <f t="shared" si="2"/>
        <v>0.15036550537047333</v>
      </c>
      <c r="AK32" s="12"/>
      <c r="AL32" s="25">
        <f t="shared" si="126"/>
        <v>3.2996352628697991</v>
      </c>
      <c r="AN32" s="2">
        <v>15.999000000000001</v>
      </c>
      <c r="AO32" s="2">
        <v>28.085000000000001</v>
      </c>
      <c r="AP32" s="2">
        <v>47.866999999999997</v>
      </c>
      <c r="AQ32" s="2">
        <v>26.9815386</v>
      </c>
      <c r="AR32" s="2">
        <v>51.996099999999998</v>
      </c>
      <c r="AS32" s="2">
        <v>55.844999999999999</v>
      </c>
      <c r="AT32" s="2">
        <v>54.938045000000002</v>
      </c>
      <c r="AU32" s="2">
        <v>24.305</v>
      </c>
      <c r="AV32" s="2">
        <v>40.078000000000003</v>
      </c>
      <c r="AW32" s="2">
        <v>22.989769280000001</v>
      </c>
      <c r="AX32" s="2">
        <v>39.098300000000002</v>
      </c>
      <c r="AY32" s="2">
        <v>58.693399999999997</v>
      </c>
      <c r="BA32" s="2">
        <f t="shared" si="138"/>
        <v>60.082999999999998</v>
      </c>
      <c r="BB32" s="2">
        <f t="shared" si="139"/>
        <v>79.864999999999995</v>
      </c>
      <c r="BC32" s="2">
        <f t="shared" si="140"/>
        <v>101.9600772</v>
      </c>
      <c r="BD32" s="2">
        <f t="shared" si="141"/>
        <v>151.98919999999998</v>
      </c>
      <c r="BE32" s="2">
        <f t="shared" si="142"/>
        <v>71.843999999999994</v>
      </c>
      <c r="BF32" s="2">
        <f t="shared" si="143"/>
        <v>70.937044999999998</v>
      </c>
      <c r="BG32" s="2">
        <f t="shared" si="144"/>
        <v>40.304000000000002</v>
      </c>
      <c r="BH32" s="2">
        <f t="shared" si="145"/>
        <v>56.077000000000005</v>
      </c>
      <c r="BI32" s="2">
        <f t="shared" si="146"/>
        <v>61.978538560000004</v>
      </c>
      <c r="BJ32" s="2">
        <f t="shared" si="147"/>
        <v>94.195599999999999</v>
      </c>
      <c r="BK32" s="2">
        <f t="shared" si="148"/>
        <v>74.692399999999992</v>
      </c>
      <c r="BM32" s="2">
        <f t="shared" si="3"/>
        <v>0.68110988133082573</v>
      </c>
      <c r="BN32" s="2">
        <f t="shared" si="4"/>
        <v>3.1302823514681028E-5</v>
      </c>
      <c r="BO32" s="2">
        <f t="shared" si="5"/>
        <v>2.7449414293101215E-4</v>
      </c>
      <c r="BP32" s="2">
        <f t="shared" si="6"/>
        <v>1.4392469991288855E-4</v>
      </c>
      <c r="BQ32" s="2">
        <f t="shared" si="7"/>
        <v>0.13349235844329382</v>
      </c>
      <c r="BR32" s="2">
        <f t="shared" si="8"/>
        <v>1.9030959070821178E-3</v>
      </c>
      <c r="BS32" s="2">
        <f t="shared" si="9"/>
        <v>1.2147367506947202</v>
      </c>
      <c r="BT32" s="2">
        <f t="shared" si="10"/>
        <v>6.668343691487021E-4</v>
      </c>
      <c r="BU32" s="2">
        <f t="shared" si="11"/>
        <v>0</v>
      </c>
      <c r="BV32" s="2">
        <f t="shared" si="12"/>
        <v>0</v>
      </c>
      <c r="BW32" s="2">
        <f t="shared" si="13"/>
        <v>4.7193556506418327E-3</v>
      </c>
      <c r="BY32" s="2">
        <f t="shared" si="130"/>
        <v>0.68110988133082573</v>
      </c>
      <c r="BZ32" s="2">
        <f t="shared" si="149"/>
        <v>3.1302823514681028E-5</v>
      </c>
      <c r="CA32" s="2">
        <f t="shared" si="131"/>
        <v>5.489882858620243E-4</v>
      </c>
      <c r="CB32" s="2">
        <f t="shared" si="150"/>
        <v>2.878493998257771E-4</v>
      </c>
      <c r="CC32" s="2">
        <f t="shared" si="151"/>
        <v>0.13349235844329382</v>
      </c>
      <c r="CD32" s="2">
        <f t="shared" si="152"/>
        <v>1.9030959070821178E-3</v>
      </c>
      <c r="CE32" s="2">
        <f t="shared" si="153"/>
        <v>1.2147367506947202</v>
      </c>
      <c r="CF32" s="2">
        <f t="shared" si="154"/>
        <v>6.668343691487021E-4</v>
      </c>
      <c r="CG32" s="2">
        <f t="shared" si="155"/>
        <v>0</v>
      </c>
      <c r="CH32" s="2">
        <f t="shared" si="156"/>
        <v>0</v>
      </c>
      <c r="CI32" s="2">
        <f t="shared" si="157"/>
        <v>4.7193556506418327E-3</v>
      </c>
      <c r="CK32" s="2">
        <f t="shared" si="132"/>
        <v>1.3622197626616515</v>
      </c>
      <c r="CL32" s="2">
        <f t="shared" si="158"/>
        <v>6.2605647029362056E-5</v>
      </c>
      <c r="CM32" s="2">
        <f t="shared" si="133"/>
        <v>8.234824287930364E-4</v>
      </c>
      <c r="CN32" s="2">
        <f t="shared" si="159"/>
        <v>4.3177409973866568E-4</v>
      </c>
      <c r="CO32" s="2">
        <f t="shared" si="160"/>
        <v>0.13349235844329382</v>
      </c>
      <c r="CP32" s="2">
        <f t="shared" si="161"/>
        <v>1.9030959070821178E-3</v>
      </c>
      <c r="CQ32" s="2">
        <f t="shared" si="162"/>
        <v>1.2147367506947202</v>
      </c>
      <c r="CR32" s="2">
        <f t="shared" si="163"/>
        <v>6.668343691487021E-4</v>
      </c>
      <c r="CS32" s="2">
        <f t="shared" si="164"/>
        <v>0</v>
      </c>
      <c r="CT32" s="2">
        <f t="shared" si="165"/>
        <v>0</v>
      </c>
      <c r="CU32" s="2">
        <f t="shared" si="166"/>
        <v>4.7193556506418327E-3</v>
      </c>
      <c r="CW32" s="14">
        <f t="shared" si="167"/>
        <v>2.7190560199020992</v>
      </c>
      <c r="CY32" s="14">
        <f t="shared" si="168"/>
        <v>1.4710987823428594</v>
      </c>
      <c r="DA32" s="16">
        <f t="shared" si="169"/>
        <v>1.0019799170674673</v>
      </c>
      <c r="DB32" s="16">
        <f t="shared" si="170"/>
        <v>4.6049545556340689E-5</v>
      </c>
      <c r="DC32" s="16">
        <f t="shared" si="171"/>
        <v>8.0761599885211758E-4</v>
      </c>
      <c r="DD32" s="16">
        <f t="shared" si="172"/>
        <v>4.234549015818236E-4</v>
      </c>
      <c r="DE32" s="16">
        <f t="shared" si="173"/>
        <v>0.19638044595800608</v>
      </c>
      <c r="DF32" s="16">
        <f t="shared" si="174"/>
        <v>2.7996420715901832E-3</v>
      </c>
      <c r="DG32" s="16">
        <f t="shared" si="175"/>
        <v>1.7869977548141245</v>
      </c>
      <c r="DH32" s="16">
        <f t="shared" si="176"/>
        <v>9.8097922847902442E-4</v>
      </c>
      <c r="DI32" s="16">
        <f t="shared" si="177"/>
        <v>0</v>
      </c>
      <c r="DJ32" s="16">
        <f t="shared" si="178"/>
        <v>0</v>
      </c>
      <c r="DK32" s="16">
        <f t="shared" si="179"/>
        <v>6.9426383511020928E-3</v>
      </c>
      <c r="DL32" s="16">
        <f t="shared" si="22"/>
        <v>0.90098688899497081</v>
      </c>
      <c r="DN32" s="2">
        <f t="shared" si="23"/>
        <v>0.86101018590949163</v>
      </c>
      <c r="DO32" s="2">
        <f t="shared" si="24"/>
        <v>4.3879515432291996E-3</v>
      </c>
      <c r="DP32" s="2">
        <f t="shared" si="25"/>
        <v>6.4678550478775049E-2</v>
      </c>
      <c r="DQ32" s="2">
        <f t="shared" si="26"/>
        <v>7.2793659023141135E-3</v>
      </c>
      <c r="DR32" s="2">
        <f t="shared" si="27"/>
        <v>4.4583803101163638E-2</v>
      </c>
      <c r="DS32" s="2">
        <f t="shared" si="28"/>
        <v>1.3069898809571219E-3</v>
      </c>
      <c r="DT32" s="2">
        <f t="shared" si="29"/>
        <v>0.39657974394601025</v>
      </c>
      <c r="DU32" s="2">
        <f t="shared" si="30"/>
        <v>0.34309275638853715</v>
      </c>
      <c r="DV32" s="2">
        <f t="shared" si="31"/>
        <v>2.1528399684808575E-2</v>
      </c>
      <c r="DW32" s="2">
        <f t="shared" si="32"/>
        <v>8.7464276463019498E-6</v>
      </c>
      <c r="DX32" s="2">
        <f t="shared" si="33"/>
        <v>7.6904075916693008E-4</v>
      </c>
      <c r="DZ32" s="2">
        <f t="shared" si="134"/>
        <v>1.7220203718189833</v>
      </c>
      <c r="EA32" s="2">
        <f t="shared" si="135"/>
        <v>8.7759030864583993E-3</v>
      </c>
      <c r="EB32" s="2">
        <f t="shared" si="136"/>
        <v>0.19403565143632515</v>
      </c>
      <c r="EC32" s="2">
        <f t="shared" si="180"/>
        <v>2.1838097706942339E-2</v>
      </c>
      <c r="ED32" s="2">
        <f t="shared" si="181"/>
        <v>4.4583803101163638E-2</v>
      </c>
      <c r="EE32" s="2">
        <f t="shared" si="182"/>
        <v>1.3069898809571219E-3</v>
      </c>
      <c r="EF32" s="2">
        <f t="shared" si="183"/>
        <v>0.39657974394601025</v>
      </c>
      <c r="EG32" s="2">
        <f t="shared" si="184"/>
        <v>0.34309275638853715</v>
      </c>
      <c r="EH32" s="2">
        <f t="shared" si="185"/>
        <v>2.1528399684808575E-2</v>
      </c>
      <c r="EI32" s="2">
        <f t="shared" si="186"/>
        <v>8.7464276463019498E-6</v>
      </c>
      <c r="EJ32" s="2">
        <f t="shared" si="187"/>
        <v>7.6904075916693008E-4</v>
      </c>
      <c r="EL32" s="16">
        <f t="shared" si="188"/>
        <v>2.7545395042369991</v>
      </c>
      <c r="EN32" s="14">
        <f t="shared" si="189"/>
        <v>2.1782225271305324</v>
      </c>
      <c r="EP32" s="16">
        <f t="shared" si="190"/>
        <v>1.8754717830369023</v>
      </c>
      <c r="EQ32" s="16">
        <f t="shared" si="191"/>
        <v>9.5579348994190277E-3</v>
      </c>
      <c r="ER32" s="16">
        <f t="shared" si="192"/>
        <v>0.2817685513500342</v>
      </c>
      <c r="ES32" s="16">
        <f t="shared" si="193"/>
        <v>3.1712157583292953E-2</v>
      </c>
      <c r="ET32" s="16">
        <f t="shared" si="194"/>
        <v>9.7113444260106735E-2</v>
      </c>
      <c r="EU32" s="16">
        <f t="shared" si="195"/>
        <v>2.8469148014324559E-3</v>
      </c>
      <c r="EV32" s="16">
        <f t="shared" si="196"/>
        <v>0.86383893206685791</v>
      </c>
      <c r="EW32" s="16">
        <f t="shared" si="197"/>
        <v>0.74733237086081949</v>
      </c>
      <c r="EX32" s="16">
        <f t="shared" si="198"/>
        <v>9.3787290333039786E-2</v>
      </c>
      <c r="EY32" s="16">
        <f t="shared" si="199"/>
        <v>3.8103331462184378E-5</v>
      </c>
      <c r="EZ32" s="16">
        <f t="shared" si="200"/>
        <v>1.6751419058989737E-3</v>
      </c>
      <c r="FB32" s="14">
        <f t="shared" si="40"/>
        <v>-6.6357140205519345</v>
      </c>
      <c r="FC32" s="4">
        <f t="shared" si="41"/>
        <v>3.0327947033487428</v>
      </c>
      <c r="FD32" s="4">
        <f t="shared" si="42"/>
        <v>3.2996352628697991</v>
      </c>
      <c r="FE32" s="4">
        <f t="shared" si="43"/>
        <v>3.2996352628697991</v>
      </c>
      <c r="FG32" s="4">
        <f t="shared" si="44"/>
        <v>4.0090136730253825</v>
      </c>
    </row>
    <row r="33" spans="1:163" x14ac:dyDescent="0.2">
      <c r="A33" s="24" t="s">
        <v>148</v>
      </c>
      <c r="B33" s="60" t="s">
        <v>165</v>
      </c>
      <c r="C33" s="138">
        <v>40.761249999999997</v>
      </c>
      <c r="D33" s="98">
        <v>2.5000000000000001E-3</v>
      </c>
      <c r="E33" s="148">
        <f t="shared" si="127"/>
        <v>3.0181869629590331E-2</v>
      </c>
      <c r="F33" s="138">
        <v>1.5000000000000001E-2</v>
      </c>
      <c r="G33" s="138">
        <v>9.8587499999999988</v>
      </c>
      <c r="H33" s="138">
        <v>0.14125000000000001</v>
      </c>
      <c r="I33" s="138">
        <v>48.931249999999999</v>
      </c>
      <c r="J33" s="150">
        <f t="shared" si="128"/>
        <v>3.8429784292730501E-2</v>
      </c>
      <c r="K33" s="98"/>
      <c r="L33" s="98"/>
      <c r="M33" s="138">
        <v>0.38624999999999998</v>
      </c>
      <c r="N33" s="141">
        <v>159.73937165828428</v>
      </c>
      <c r="O33" s="142">
        <v>274.6560791205045</v>
      </c>
      <c r="P33" s="11"/>
      <c r="Q33" s="140">
        <v>51.232762500000007</v>
      </c>
      <c r="R33" s="140">
        <v>0.46858762499999995</v>
      </c>
      <c r="S33" s="140">
        <v>7.0540837500000002</v>
      </c>
      <c r="T33" s="140">
        <v>0.81827000000000005</v>
      </c>
      <c r="U33" s="140">
        <v>3.2876487500000002</v>
      </c>
      <c r="V33" s="140">
        <v>9.0919E-2</v>
      </c>
      <c r="W33" s="140">
        <v>15.917949999999999</v>
      </c>
      <c r="X33" s="140">
        <v>19.444412499999999</v>
      </c>
      <c r="Y33" s="140">
        <v>1.1725994999999998</v>
      </c>
      <c r="Z33" s="100">
        <v>3.6517500000000005E-3</v>
      </c>
      <c r="AA33" s="140">
        <v>5.6933125000000001E-2</v>
      </c>
      <c r="AC33" s="139">
        <v>56.39500000000001</v>
      </c>
      <c r="AD33" s="139">
        <v>10.76375</v>
      </c>
      <c r="AE33" s="11"/>
      <c r="AF33" s="83">
        <f t="shared" si="137"/>
        <v>0.11350542221462248</v>
      </c>
      <c r="AG33" s="22">
        <f t="shared" si="0"/>
        <v>5.3518697809363115E-4</v>
      </c>
      <c r="AH33" s="126">
        <f t="shared" si="129"/>
        <v>1072.4703635886881</v>
      </c>
      <c r="AI33" s="126">
        <f t="shared" si="1"/>
        <v>1072.319726167739</v>
      </c>
      <c r="AJ33" s="126">
        <f t="shared" si="2"/>
        <v>0.15063742094912413</v>
      </c>
      <c r="AK33" s="12"/>
      <c r="AL33" s="25">
        <f t="shared" si="126"/>
        <v>3.3728325223039981</v>
      </c>
      <c r="AN33" s="2">
        <v>15.999000000000001</v>
      </c>
      <c r="AO33" s="2">
        <v>28.085000000000001</v>
      </c>
      <c r="AP33" s="2">
        <v>47.866999999999997</v>
      </c>
      <c r="AQ33" s="2">
        <v>26.9815386</v>
      </c>
      <c r="AR33" s="2">
        <v>51.996099999999998</v>
      </c>
      <c r="AS33" s="2">
        <v>55.844999999999999</v>
      </c>
      <c r="AT33" s="2">
        <v>54.938045000000002</v>
      </c>
      <c r="AU33" s="2">
        <v>24.305</v>
      </c>
      <c r="AV33" s="2">
        <v>40.078000000000003</v>
      </c>
      <c r="AW33" s="2">
        <v>22.989769280000001</v>
      </c>
      <c r="AX33" s="2">
        <v>39.098300000000002</v>
      </c>
      <c r="AY33" s="2">
        <v>58.693399999999997</v>
      </c>
      <c r="BA33" s="2">
        <f t="shared" si="138"/>
        <v>60.082999999999998</v>
      </c>
      <c r="BB33" s="2">
        <f t="shared" si="139"/>
        <v>79.864999999999995</v>
      </c>
      <c r="BC33" s="2">
        <f t="shared" si="140"/>
        <v>101.9600772</v>
      </c>
      <c r="BD33" s="2">
        <f t="shared" si="141"/>
        <v>151.98919999999998</v>
      </c>
      <c r="BE33" s="2">
        <f t="shared" si="142"/>
        <v>71.843999999999994</v>
      </c>
      <c r="BF33" s="2">
        <f t="shared" si="143"/>
        <v>70.937044999999998</v>
      </c>
      <c r="BG33" s="2">
        <f t="shared" si="144"/>
        <v>40.304000000000002</v>
      </c>
      <c r="BH33" s="2">
        <f t="shared" si="145"/>
        <v>56.077000000000005</v>
      </c>
      <c r="BI33" s="2">
        <f t="shared" si="146"/>
        <v>61.978538560000004</v>
      </c>
      <c r="BJ33" s="2">
        <f t="shared" si="147"/>
        <v>94.195599999999999</v>
      </c>
      <c r="BK33" s="2">
        <f t="shared" si="148"/>
        <v>74.692399999999992</v>
      </c>
      <c r="BM33" s="2">
        <f t="shared" si="3"/>
        <v>0.67841569162658322</v>
      </c>
      <c r="BN33" s="2">
        <f t="shared" si="4"/>
        <v>3.1302823514681028E-5</v>
      </c>
      <c r="BO33" s="2">
        <f t="shared" si="5"/>
        <v>2.9601654351817547E-4</v>
      </c>
      <c r="BP33" s="2">
        <f t="shared" si="6"/>
        <v>9.8691222797409313E-5</v>
      </c>
      <c r="BQ33" s="2">
        <f t="shared" si="7"/>
        <v>0.13722440287289125</v>
      </c>
      <c r="BR33" s="2">
        <f t="shared" si="8"/>
        <v>1.9912021990766606E-3</v>
      </c>
      <c r="BS33" s="2">
        <f t="shared" si="9"/>
        <v>1.2140544362842396</v>
      </c>
      <c r="BT33" s="2">
        <f t="shared" si="10"/>
        <v>6.8530385528345838E-4</v>
      </c>
      <c r="BU33" s="2">
        <f t="shared" si="11"/>
        <v>0</v>
      </c>
      <c r="BV33" s="2">
        <f t="shared" si="12"/>
        <v>0</v>
      </c>
      <c r="BW33" s="2">
        <f t="shared" si="13"/>
        <v>5.1712088512351996E-3</v>
      </c>
      <c r="BY33" s="2">
        <f t="shared" si="130"/>
        <v>0.67841569162658322</v>
      </c>
      <c r="BZ33" s="2">
        <f t="shared" si="149"/>
        <v>3.1302823514681028E-5</v>
      </c>
      <c r="CA33" s="2">
        <f t="shared" si="131"/>
        <v>5.9203308703635095E-4</v>
      </c>
      <c r="CB33" s="2">
        <f t="shared" si="150"/>
        <v>1.9738244559481863E-4</v>
      </c>
      <c r="CC33" s="2">
        <f t="shared" si="151"/>
        <v>0.13722440287289125</v>
      </c>
      <c r="CD33" s="2">
        <f t="shared" si="152"/>
        <v>1.9912021990766606E-3</v>
      </c>
      <c r="CE33" s="2">
        <f t="shared" si="153"/>
        <v>1.2140544362842396</v>
      </c>
      <c r="CF33" s="2">
        <f t="shared" si="154"/>
        <v>6.8530385528345838E-4</v>
      </c>
      <c r="CG33" s="2">
        <f t="shared" si="155"/>
        <v>0</v>
      </c>
      <c r="CH33" s="2">
        <f t="shared" si="156"/>
        <v>0</v>
      </c>
      <c r="CI33" s="2">
        <f t="shared" si="157"/>
        <v>5.1712088512351996E-3</v>
      </c>
      <c r="CK33" s="2">
        <f t="shared" si="132"/>
        <v>1.3568313832531664</v>
      </c>
      <c r="CL33" s="2">
        <f t="shared" si="158"/>
        <v>6.2605647029362056E-5</v>
      </c>
      <c r="CM33" s="2">
        <f t="shared" si="133"/>
        <v>8.8804963055452647E-4</v>
      </c>
      <c r="CN33" s="2">
        <f t="shared" si="159"/>
        <v>2.9607366839222795E-4</v>
      </c>
      <c r="CO33" s="2">
        <f t="shared" si="160"/>
        <v>0.13722440287289125</v>
      </c>
      <c r="CP33" s="2">
        <f t="shared" si="161"/>
        <v>1.9912021990766606E-3</v>
      </c>
      <c r="CQ33" s="2">
        <f t="shared" si="162"/>
        <v>1.2140544362842396</v>
      </c>
      <c r="CR33" s="2">
        <f t="shared" si="163"/>
        <v>6.8530385528345838E-4</v>
      </c>
      <c r="CS33" s="2">
        <f t="shared" si="164"/>
        <v>0</v>
      </c>
      <c r="CT33" s="2">
        <f t="shared" si="165"/>
        <v>0</v>
      </c>
      <c r="CU33" s="2">
        <f t="shared" si="166"/>
        <v>5.1712088512351996E-3</v>
      </c>
      <c r="CW33" s="14">
        <f t="shared" si="167"/>
        <v>2.7172046662618685</v>
      </c>
      <c r="CY33" s="14">
        <f t="shared" si="168"/>
        <v>1.4721011080489963</v>
      </c>
      <c r="DA33" s="16">
        <f t="shared" si="169"/>
        <v>0.99869649136131933</v>
      </c>
      <c r="DB33" s="16">
        <f t="shared" si="170"/>
        <v>4.6080921181024119E-5</v>
      </c>
      <c r="DC33" s="16">
        <f t="shared" si="171"/>
        <v>8.7153256342788015E-4</v>
      </c>
      <c r="DD33" s="16">
        <f t="shared" si="172"/>
        <v>2.9056691686955323E-4</v>
      </c>
      <c r="DE33" s="16">
        <f t="shared" si="173"/>
        <v>0.20200819552054508</v>
      </c>
      <c r="DF33" s="16">
        <f t="shared" si="174"/>
        <v>2.9312509636103502E-3</v>
      </c>
      <c r="DG33" s="16">
        <f t="shared" si="175"/>
        <v>1.7872108808858287</v>
      </c>
      <c r="DH33" s="16">
        <f t="shared" si="176"/>
        <v>1.008836564713028E-3</v>
      </c>
      <c r="DI33" s="16">
        <f t="shared" si="177"/>
        <v>0</v>
      </c>
      <c r="DJ33" s="16">
        <f t="shared" si="178"/>
        <v>0</v>
      </c>
      <c r="DK33" s="16">
        <f t="shared" si="179"/>
        <v>7.6125422798561148E-3</v>
      </c>
      <c r="DL33" s="16">
        <f t="shared" si="22"/>
        <v>0.89844849271932214</v>
      </c>
      <c r="DN33" s="2">
        <f t="shared" si="23"/>
        <v>0.85269980693374181</v>
      </c>
      <c r="DO33" s="2">
        <f t="shared" si="24"/>
        <v>5.8672462906154133E-3</v>
      </c>
      <c r="DP33" s="2">
        <f t="shared" si="25"/>
        <v>6.9184762739665714E-2</v>
      </c>
      <c r="DQ33" s="2">
        <f t="shared" si="26"/>
        <v>5.3837377918957412E-3</v>
      </c>
      <c r="DR33" s="2">
        <f t="shared" si="27"/>
        <v>4.5760936891041708E-2</v>
      </c>
      <c r="DS33" s="2">
        <f t="shared" si="28"/>
        <v>1.2816857538962894E-3</v>
      </c>
      <c r="DT33" s="2">
        <f t="shared" si="29"/>
        <v>0.39494715164747912</v>
      </c>
      <c r="DU33" s="2">
        <f t="shared" si="30"/>
        <v>0.34674487757904304</v>
      </c>
      <c r="DV33" s="2">
        <f t="shared" si="31"/>
        <v>1.8919444169610954E-2</v>
      </c>
      <c r="DW33" s="2">
        <f t="shared" si="32"/>
        <v>3.8767734374004739E-5</v>
      </c>
      <c r="DX33" s="2">
        <f t="shared" si="33"/>
        <v>7.622345111416959E-4</v>
      </c>
      <c r="DZ33" s="2">
        <f t="shared" si="134"/>
        <v>1.7053996138674836</v>
      </c>
      <c r="EA33" s="2">
        <f t="shared" si="135"/>
        <v>1.1734492581230827E-2</v>
      </c>
      <c r="EB33" s="2">
        <f t="shared" si="136"/>
        <v>0.20755428821899713</v>
      </c>
      <c r="EC33" s="2">
        <f t="shared" si="180"/>
        <v>1.6151213375687222E-2</v>
      </c>
      <c r="ED33" s="2">
        <f t="shared" si="181"/>
        <v>4.5760936891041708E-2</v>
      </c>
      <c r="EE33" s="2">
        <f t="shared" si="182"/>
        <v>1.2816857538962894E-3</v>
      </c>
      <c r="EF33" s="2">
        <f t="shared" si="183"/>
        <v>0.39494715164747912</v>
      </c>
      <c r="EG33" s="2">
        <f t="shared" si="184"/>
        <v>0.34674487757904304</v>
      </c>
      <c r="EH33" s="2">
        <f t="shared" si="185"/>
        <v>1.8919444169610954E-2</v>
      </c>
      <c r="EI33" s="2">
        <f t="shared" si="186"/>
        <v>3.8767734374004739E-5</v>
      </c>
      <c r="EJ33" s="2">
        <f t="shared" si="187"/>
        <v>7.622345111416959E-4</v>
      </c>
      <c r="EL33" s="16">
        <f t="shared" si="188"/>
        <v>2.7492947063299846</v>
      </c>
      <c r="EN33" s="14">
        <f t="shared" si="189"/>
        <v>2.1823778972059928</v>
      </c>
      <c r="EP33" s="16">
        <f t="shared" si="190"/>
        <v>1.8609132116040155</v>
      </c>
      <c r="EQ33" s="16">
        <f t="shared" si="191"/>
        <v>1.2804548622102927E-2</v>
      </c>
      <c r="ER33" s="16">
        <f t="shared" si="192"/>
        <v>0.30197459405297439</v>
      </c>
      <c r="ES33" s="16">
        <f t="shared" si="193"/>
        <v>2.3498700722771725E-2</v>
      </c>
      <c r="ET33" s="16">
        <f t="shared" si="194"/>
        <v>9.9867657226447748E-2</v>
      </c>
      <c r="EU33" s="16">
        <f t="shared" si="195"/>
        <v>2.7971226604670617E-3</v>
      </c>
      <c r="EV33" s="16">
        <f t="shared" si="196"/>
        <v>0.86192393431992187</v>
      </c>
      <c r="EW33" s="16">
        <f t="shared" si="197"/>
        <v>0.7567283567979014</v>
      </c>
      <c r="EX33" s="16">
        <f t="shared" si="198"/>
        <v>8.2578753566363475E-2</v>
      </c>
      <c r="EY33" s="16">
        <f t="shared" si="199"/>
        <v>1.6921169324516191E-4</v>
      </c>
      <c r="EZ33" s="16">
        <f t="shared" si="200"/>
        <v>1.6634837496032522E-3</v>
      </c>
      <c r="FB33" s="14">
        <f t="shared" si="40"/>
        <v>-6.6202065965297097</v>
      </c>
      <c r="FC33" s="4">
        <f t="shared" si="41"/>
        <v>3.1716010480786876</v>
      </c>
      <c r="FD33" s="4">
        <f t="shared" si="42"/>
        <v>3.3728325223039981</v>
      </c>
      <c r="FE33" s="4">
        <f t="shared" si="43"/>
        <v>3.3728325223039981</v>
      </c>
      <c r="FG33" s="4">
        <f t="shared" si="44"/>
        <v>4.095990343522832</v>
      </c>
    </row>
    <row r="34" spans="1:163" x14ac:dyDescent="0.2">
      <c r="A34" s="24" t="s">
        <v>149</v>
      </c>
      <c r="B34" s="60" t="s">
        <v>165</v>
      </c>
      <c r="C34" s="138">
        <v>40.927500000000002</v>
      </c>
      <c r="D34" s="98">
        <v>2.5000000000000001E-3</v>
      </c>
      <c r="E34" s="148">
        <f t="shared" si="127"/>
        <v>2.4765888601986513E-2</v>
      </c>
      <c r="F34" s="138">
        <v>2.75E-2</v>
      </c>
      <c r="G34" s="138">
        <v>9.1362500000000004</v>
      </c>
      <c r="H34" s="138">
        <v>0.12875</v>
      </c>
      <c r="I34" s="138">
        <v>49.333749999999995</v>
      </c>
      <c r="J34" s="150">
        <f t="shared" si="128"/>
        <v>4.0246649511326754E-2</v>
      </c>
      <c r="K34" s="98"/>
      <c r="L34" s="98"/>
      <c r="M34" s="138">
        <v>0.37749999999999995</v>
      </c>
      <c r="N34" s="141">
        <v>131.07496428789284</v>
      </c>
      <c r="O34" s="142">
        <v>287.64113970343521</v>
      </c>
      <c r="P34" s="11"/>
      <c r="Q34" s="140">
        <v>52.306937499999997</v>
      </c>
      <c r="R34" s="140">
        <v>0.18678662500000001</v>
      </c>
      <c r="S34" s="140">
        <v>5.1176624999999998</v>
      </c>
      <c r="T34" s="140">
        <v>1.3227800000000001</v>
      </c>
      <c r="U34" s="140">
        <v>2.9605075000000003</v>
      </c>
      <c r="V34" s="140">
        <v>8.6960750000000003E-2</v>
      </c>
      <c r="W34" s="140">
        <v>16.676449999999999</v>
      </c>
      <c r="X34" s="140">
        <v>19.867625</v>
      </c>
      <c r="Y34" s="140">
        <v>1.0407662500000001</v>
      </c>
      <c r="Z34" s="100">
        <v>3.2838749999999999E-3</v>
      </c>
      <c r="AA34" s="140">
        <v>5.4024875000000007E-2</v>
      </c>
      <c r="AC34" s="139">
        <v>42.538333333333334</v>
      </c>
      <c r="AD34" s="139">
        <v>25.778333333333332</v>
      </c>
      <c r="AE34" s="11"/>
      <c r="AF34" s="83">
        <f t="shared" si="137"/>
        <v>0.28903011427192882</v>
      </c>
      <c r="AG34" s="22">
        <f t="shared" si="0"/>
        <v>5.8220166756227354E-4</v>
      </c>
      <c r="AH34" s="126">
        <f t="shared" si="129"/>
        <v>1058.2068039109161</v>
      </c>
      <c r="AI34" s="126">
        <f t="shared" si="1"/>
        <v>1058.0563148832925</v>
      </c>
      <c r="AJ34" s="126">
        <f t="shared" si="2"/>
        <v>0.15048902762350735</v>
      </c>
      <c r="AK34" s="12"/>
      <c r="AL34" s="25">
        <f t="shared" si="126"/>
        <v>3.1200004312032075</v>
      </c>
      <c r="AN34" s="2">
        <v>15.999000000000001</v>
      </c>
      <c r="AO34" s="2">
        <v>28.085000000000001</v>
      </c>
      <c r="AP34" s="2">
        <v>47.866999999999997</v>
      </c>
      <c r="AQ34" s="2">
        <v>26.9815386</v>
      </c>
      <c r="AR34" s="2">
        <v>51.996099999999998</v>
      </c>
      <c r="AS34" s="2">
        <v>55.844999999999999</v>
      </c>
      <c r="AT34" s="2">
        <v>54.938045000000002</v>
      </c>
      <c r="AU34" s="2">
        <v>24.305</v>
      </c>
      <c r="AV34" s="2">
        <v>40.078000000000003</v>
      </c>
      <c r="AW34" s="2">
        <v>22.989769280000001</v>
      </c>
      <c r="AX34" s="2">
        <v>39.098300000000002</v>
      </c>
      <c r="AY34" s="2">
        <v>58.693399999999997</v>
      </c>
      <c r="BA34" s="2">
        <f t="shared" si="138"/>
        <v>60.082999999999998</v>
      </c>
      <c r="BB34" s="2">
        <f t="shared" si="139"/>
        <v>79.864999999999995</v>
      </c>
      <c r="BC34" s="2">
        <f t="shared" si="140"/>
        <v>101.9600772</v>
      </c>
      <c r="BD34" s="2">
        <f t="shared" si="141"/>
        <v>151.98919999999998</v>
      </c>
      <c r="BE34" s="2">
        <f t="shared" si="142"/>
        <v>71.843999999999994</v>
      </c>
      <c r="BF34" s="2">
        <f t="shared" si="143"/>
        <v>70.937044999999998</v>
      </c>
      <c r="BG34" s="2">
        <f t="shared" si="144"/>
        <v>40.304000000000002</v>
      </c>
      <c r="BH34" s="2">
        <f t="shared" si="145"/>
        <v>56.077000000000005</v>
      </c>
      <c r="BI34" s="2">
        <f t="shared" si="146"/>
        <v>61.978538560000004</v>
      </c>
      <c r="BJ34" s="2">
        <f t="shared" si="147"/>
        <v>94.195599999999999</v>
      </c>
      <c r="BK34" s="2">
        <f t="shared" si="148"/>
        <v>74.692399999999992</v>
      </c>
      <c r="BM34" s="2">
        <f t="shared" si="3"/>
        <v>0.68118269726877823</v>
      </c>
      <c r="BN34" s="2">
        <f t="shared" si="4"/>
        <v>3.1302823514681028E-5</v>
      </c>
      <c r="BO34" s="2">
        <f t="shared" si="5"/>
        <v>2.4289789966917084E-4</v>
      </c>
      <c r="BP34" s="2">
        <f t="shared" si="6"/>
        <v>1.8093390846191706E-4</v>
      </c>
      <c r="BQ34" s="2">
        <f t="shared" si="7"/>
        <v>0.12716789154278715</v>
      </c>
      <c r="BR34" s="2">
        <f t="shared" si="8"/>
        <v>1.8149896150875752E-3</v>
      </c>
      <c r="BS34" s="2">
        <f t="shared" si="9"/>
        <v>1.224041038110361</v>
      </c>
      <c r="BT34" s="2">
        <f t="shared" si="10"/>
        <v>7.1770332776943755E-4</v>
      </c>
      <c r="BU34" s="2">
        <f t="shared" si="11"/>
        <v>0</v>
      </c>
      <c r="BV34" s="2">
        <f t="shared" si="12"/>
        <v>0</v>
      </c>
      <c r="BW34" s="2">
        <f t="shared" si="13"/>
        <v>5.0540617251554378E-3</v>
      </c>
      <c r="BY34" s="2">
        <f t="shared" si="130"/>
        <v>0.68118269726877823</v>
      </c>
      <c r="BZ34" s="2">
        <f t="shared" si="149"/>
        <v>3.1302823514681028E-5</v>
      </c>
      <c r="CA34" s="2">
        <f t="shared" si="131"/>
        <v>4.8579579933834169E-4</v>
      </c>
      <c r="CB34" s="2">
        <f t="shared" si="150"/>
        <v>3.6186781692383412E-4</v>
      </c>
      <c r="CC34" s="2">
        <f t="shared" si="151"/>
        <v>0.12716789154278715</v>
      </c>
      <c r="CD34" s="2">
        <f t="shared" si="152"/>
        <v>1.8149896150875752E-3</v>
      </c>
      <c r="CE34" s="2">
        <f t="shared" si="153"/>
        <v>1.224041038110361</v>
      </c>
      <c r="CF34" s="2">
        <f t="shared" si="154"/>
        <v>7.1770332776943755E-4</v>
      </c>
      <c r="CG34" s="2">
        <f t="shared" si="155"/>
        <v>0</v>
      </c>
      <c r="CH34" s="2">
        <f t="shared" si="156"/>
        <v>0</v>
      </c>
      <c r="CI34" s="2">
        <f t="shared" si="157"/>
        <v>5.0540617251554378E-3</v>
      </c>
      <c r="CK34" s="2">
        <f t="shared" si="132"/>
        <v>1.3623653945375565</v>
      </c>
      <c r="CL34" s="2">
        <f t="shared" si="158"/>
        <v>6.2605647029362056E-5</v>
      </c>
      <c r="CM34" s="2">
        <f t="shared" si="133"/>
        <v>7.2869369900751256E-4</v>
      </c>
      <c r="CN34" s="2">
        <f t="shared" si="159"/>
        <v>5.4280172538575112E-4</v>
      </c>
      <c r="CO34" s="2">
        <f t="shared" si="160"/>
        <v>0.12716789154278715</v>
      </c>
      <c r="CP34" s="2">
        <f t="shared" si="161"/>
        <v>1.8149896150875752E-3</v>
      </c>
      <c r="CQ34" s="2">
        <f t="shared" si="162"/>
        <v>1.224041038110361</v>
      </c>
      <c r="CR34" s="2">
        <f t="shared" si="163"/>
        <v>7.1770332776943755E-4</v>
      </c>
      <c r="CS34" s="2">
        <f t="shared" si="164"/>
        <v>0</v>
      </c>
      <c r="CT34" s="2">
        <f t="shared" si="165"/>
        <v>0</v>
      </c>
      <c r="CU34" s="2">
        <f t="shared" si="166"/>
        <v>5.0540617251554378E-3</v>
      </c>
      <c r="CW34" s="14">
        <f t="shared" si="167"/>
        <v>2.72249517993014</v>
      </c>
      <c r="CY34" s="14">
        <f t="shared" si="168"/>
        <v>1.4692404341015735</v>
      </c>
      <c r="DA34" s="16">
        <f t="shared" si="169"/>
        <v>1.0008211618376603</v>
      </c>
      <c r="DB34" s="16">
        <f t="shared" si="170"/>
        <v>4.5991374009314893E-5</v>
      </c>
      <c r="DC34" s="16">
        <f t="shared" si="171"/>
        <v>7.1375083110458606E-4</v>
      </c>
      <c r="DD34" s="16">
        <f t="shared" si="172"/>
        <v>5.3167082842456271E-4</v>
      </c>
      <c r="DE34" s="16">
        <f t="shared" si="173"/>
        <v>0.1868402081741064</v>
      </c>
      <c r="DF34" s="16">
        <f t="shared" si="174"/>
        <v>2.6666561299611168E-3</v>
      </c>
      <c r="DG34" s="16">
        <f t="shared" si="175"/>
        <v>1.7984105861914075</v>
      </c>
      <c r="DH34" s="16">
        <f t="shared" si="176"/>
        <v>1.0544787488481122E-3</v>
      </c>
      <c r="DI34" s="16">
        <f t="shared" si="177"/>
        <v>0</v>
      </c>
      <c r="DJ34" s="16">
        <f t="shared" si="178"/>
        <v>0</v>
      </c>
      <c r="DK34" s="16">
        <f t="shared" si="179"/>
        <v>7.4256318430435224E-3</v>
      </c>
      <c r="DL34" s="16">
        <f t="shared" si="22"/>
        <v>0.90588584137359807</v>
      </c>
      <c r="DN34" s="2">
        <f t="shared" si="23"/>
        <v>0.87057799211091325</v>
      </c>
      <c r="DO34" s="2">
        <f t="shared" si="24"/>
        <v>2.3387795029111628E-3</v>
      </c>
      <c r="DP34" s="2">
        <f t="shared" si="25"/>
        <v>5.0192807229455488E-2</v>
      </c>
      <c r="DQ34" s="2">
        <f t="shared" si="26"/>
        <v>8.7031183794638051E-3</v>
      </c>
      <c r="DR34" s="2">
        <f t="shared" si="27"/>
        <v>4.1207442514336626E-2</v>
      </c>
      <c r="DS34" s="2">
        <f t="shared" si="28"/>
        <v>1.2258862770503057E-3</v>
      </c>
      <c r="DT34" s="2">
        <f t="shared" si="29"/>
        <v>0.41376662366018258</v>
      </c>
      <c r="DU34" s="2">
        <f t="shared" si="30"/>
        <v>0.35429186654064942</v>
      </c>
      <c r="DV34" s="2">
        <f t="shared" si="31"/>
        <v>1.6792365134464377E-2</v>
      </c>
      <c r="DW34" s="2">
        <f t="shared" si="32"/>
        <v>3.486229717736285E-5</v>
      </c>
      <c r="DX34" s="2">
        <f t="shared" si="33"/>
        <v>7.2329815349352826E-4</v>
      </c>
      <c r="DZ34" s="2">
        <f t="shared" si="134"/>
        <v>1.7411559842218265</v>
      </c>
      <c r="EA34" s="2">
        <f t="shared" si="135"/>
        <v>4.6775590058223257E-3</v>
      </c>
      <c r="EB34" s="2">
        <f t="shared" si="136"/>
        <v>0.15057842168836647</v>
      </c>
      <c r="EC34" s="2">
        <f t="shared" si="180"/>
        <v>2.6109355138391417E-2</v>
      </c>
      <c r="ED34" s="2">
        <f t="shared" si="181"/>
        <v>4.1207442514336626E-2</v>
      </c>
      <c r="EE34" s="2">
        <f t="shared" si="182"/>
        <v>1.2258862770503057E-3</v>
      </c>
      <c r="EF34" s="2">
        <f t="shared" si="183"/>
        <v>0.41376662366018258</v>
      </c>
      <c r="EG34" s="2">
        <f t="shared" si="184"/>
        <v>0.35429186654064942</v>
      </c>
      <c r="EH34" s="2">
        <f t="shared" si="185"/>
        <v>1.6792365134464377E-2</v>
      </c>
      <c r="EI34" s="2">
        <f t="shared" si="186"/>
        <v>3.486229717736285E-5</v>
      </c>
      <c r="EJ34" s="2">
        <f t="shared" si="187"/>
        <v>7.2329815349352826E-4</v>
      </c>
      <c r="EL34" s="16">
        <f t="shared" si="188"/>
        <v>2.7505636646317617</v>
      </c>
      <c r="EN34" s="14">
        <f t="shared" si="189"/>
        <v>2.181371068465439</v>
      </c>
      <c r="EP34" s="16">
        <f t="shared" si="190"/>
        <v>1.8990536448334794</v>
      </c>
      <c r="EQ34" s="16">
        <f t="shared" si="191"/>
        <v>5.101745943170392E-3</v>
      </c>
      <c r="ER34" s="16">
        <f t="shared" si="192"/>
        <v>0.21897827507079426</v>
      </c>
      <c r="ES34" s="16">
        <f t="shared" si="193"/>
        <v>3.7969461276784321E-2</v>
      </c>
      <c r="ET34" s="16">
        <f t="shared" si="194"/>
        <v>8.988872290622664E-2</v>
      </c>
      <c r="EU34" s="16">
        <f t="shared" si="195"/>
        <v>2.6741128579863445E-3</v>
      </c>
      <c r="EV34" s="16">
        <f t="shared" si="196"/>
        <v>0.90257854194894971</v>
      </c>
      <c r="EW34" s="16">
        <f t="shared" si="197"/>
        <v>0.77284202746439112</v>
      </c>
      <c r="EX34" s="16">
        <f t="shared" si="198"/>
        <v>7.3260758950856694E-2</v>
      </c>
      <c r="EY34" s="16">
        <f t="shared" si="199"/>
        <v>1.5209521288588732E-4</v>
      </c>
      <c r="EZ34" s="16">
        <f t="shared" si="200"/>
        <v>1.5777816659052568E-3</v>
      </c>
      <c r="FB34" s="14">
        <f t="shared" si="40"/>
        <v>-6.5970280968738937</v>
      </c>
      <c r="FC34" s="4">
        <f t="shared" si="41"/>
        <v>2.8570556054598124</v>
      </c>
      <c r="FD34" s="4">
        <f t="shared" si="42"/>
        <v>3.1200004312032075</v>
      </c>
      <c r="FE34" s="4">
        <f t="shared" si="43"/>
        <v>3.1200004312032075</v>
      </c>
      <c r="FG34" s="4">
        <f t="shared" si="44"/>
        <v>3.6845650475202847</v>
      </c>
    </row>
    <row r="35" spans="1:163" x14ac:dyDescent="0.2">
      <c r="A35" s="24" t="s">
        <v>150</v>
      </c>
      <c r="B35" s="60" t="s">
        <v>165</v>
      </c>
      <c r="C35" s="138">
        <v>40.491666666666667</v>
      </c>
      <c r="D35" s="98">
        <v>2.5000000000000001E-3</v>
      </c>
      <c r="E35" s="148">
        <f t="shared" si="127"/>
        <v>2.5728617050367483E-2</v>
      </c>
      <c r="F35" s="138">
        <v>1.1666666666666667E-2</v>
      </c>
      <c r="G35" s="138">
        <v>10.7125</v>
      </c>
      <c r="H35" s="138">
        <v>0.16166666666666665</v>
      </c>
      <c r="I35" s="138">
        <v>48.094166666666666</v>
      </c>
      <c r="J35" s="150">
        <f t="shared" si="128"/>
        <v>0</v>
      </c>
      <c r="K35" s="98"/>
      <c r="L35" s="98"/>
      <c r="M35" s="138">
        <v>0.31166666666666665</v>
      </c>
      <c r="N35" s="141">
        <v>136.17026286645273</v>
      </c>
      <c r="O35" s="142"/>
      <c r="P35" s="11"/>
      <c r="Q35" s="140"/>
      <c r="R35" s="140"/>
      <c r="S35" s="140"/>
      <c r="T35" s="140"/>
      <c r="U35" s="140"/>
      <c r="V35" s="140"/>
      <c r="W35" s="140"/>
      <c r="X35" s="140"/>
      <c r="Y35" s="140"/>
      <c r="Z35" s="100"/>
      <c r="AA35" s="140"/>
      <c r="AC35" s="139">
        <v>57.203333333333326</v>
      </c>
      <c r="AD35" s="139">
        <v>9.3949999999999978</v>
      </c>
      <c r="AE35" s="11"/>
      <c r="AF35" s="83">
        <f t="shared" si="137"/>
        <v>9.9243150941590932E-2</v>
      </c>
      <c r="AG35" s="22">
        <f t="shared" si="0"/>
        <v>4.4977478673213951E-4</v>
      </c>
      <c r="AH35" s="126">
        <f t="shared" si="129"/>
        <v>1047.0104029211982</v>
      </c>
      <c r="AI35" s="126"/>
      <c r="AJ35" s="126"/>
      <c r="AK35" s="12"/>
      <c r="AL35" s="25"/>
      <c r="AN35" s="2">
        <v>15.999000000000001</v>
      </c>
      <c r="AO35" s="2">
        <v>28.085000000000001</v>
      </c>
      <c r="AP35" s="2">
        <v>47.866999999999997</v>
      </c>
      <c r="AQ35" s="2">
        <v>26.9815386</v>
      </c>
      <c r="AR35" s="2">
        <v>51.996099999999998</v>
      </c>
      <c r="AS35" s="2">
        <v>55.844999999999999</v>
      </c>
      <c r="AT35" s="2">
        <v>54.938045000000002</v>
      </c>
      <c r="AU35" s="2">
        <v>24.305</v>
      </c>
      <c r="AV35" s="2">
        <v>40.078000000000003</v>
      </c>
      <c r="AW35" s="2">
        <v>22.989769280000001</v>
      </c>
      <c r="AX35" s="2">
        <v>39.098300000000002</v>
      </c>
      <c r="AY35" s="2">
        <v>58.693399999999997</v>
      </c>
      <c r="BA35" s="2">
        <f t="shared" si="138"/>
        <v>60.082999999999998</v>
      </c>
      <c r="BB35" s="2">
        <f t="shared" si="139"/>
        <v>79.864999999999995</v>
      </c>
      <c r="BC35" s="2">
        <f t="shared" si="140"/>
        <v>101.9600772</v>
      </c>
      <c r="BD35" s="2">
        <f t="shared" si="141"/>
        <v>151.98919999999998</v>
      </c>
      <c r="BE35" s="2">
        <f t="shared" si="142"/>
        <v>71.843999999999994</v>
      </c>
      <c r="BF35" s="2">
        <f t="shared" si="143"/>
        <v>70.937044999999998</v>
      </c>
      <c r="BG35" s="2">
        <f t="shared" si="144"/>
        <v>40.304000000000002</v>
      </c>
      <c r="BH35" s="2">
        <f t="shared" si="145"/>
        <v>56.077000000000005</v>
      </c>
      <c r="BI35" s="2">
        <f t="shared" si="146"/>
        <v>61.978538560000004</v>
      </c>
      <c r="BJ35" s="2">
        <f t="shared" si="147"/>
        <v>94.195599999999999</v>
      </c>
      <c r="BK35" s="2">
        <f t="shared" si="148"/>
        <v>74.692399999999992</v>
      </c>
      <c r="BM35" s="2">
        <f t="shared" si="3"/>
        <v>0.67392884287846255</v>
      </c>
      <c r="BN35" s="2">
        <f t="shared" si="4"/>
        <v>3.1302823514681028E-5</v>
      </c>
      <c r="BO35" s="2">
        <f t="shared" si="5"/>
        <v>2.5234010954993161E-4</v>
      </c>
      <c r="BP35" s="2">
        <f t="shared" si="6"/>
        <v>7.6759839953540574E-5</v>
      </c>
      <c r="BQ35" s="2">
        <f t="shared" si="7"/>
        <v>0.14910778909860253</v>
      </c>
      <c r="BR35" s="2">
        <f t="shared" si="8"/>
        <v>2.2790160862588321E-3</v>
      </c>
      <c r="BS35" s="2">
        <f t="shared" si="9"/>
        <v>1.193285199153103</v>
      </c>
      <c r="BT35" s="2">
        <f t="shared" si="10"/>
        <v>0</v>
      </c>
      <c r="BU35" s="2">
        <f t="shared" si="11"/>
        <v>0</v>
      </c>
      <c r="BV35" s="2">
        <f t="shared" si="12"/>
        <v>0</v>
      </c>
      <c r="BW35" s="2">
        <f t="shared" si="13"/>
        <v>4.1726690622696109E-3</v>
      </c>
      <c r="BY35" s="2">
        <f t="shared" si="130"/>
        <v>0.67392884287846255</v>
      </c>
      <c r="BZ35" s="2">
        <f t="shared" si="149"/>
        <v>3.1302823514681028E-5</v>
      </c>
      <c r="CA35" s="2">
        <f t="shared" si="131"/>
        <v>5.0468021909986322E-4</v>
      </c>
      <c r="CB35" s="2">
        <f t="shared" si="150"/>
        <v>1.5351967990708115E-4</v>
      </c>
      <c r="CC35" s="2">
        <f t="shared" si="151"/>
        <v>0.14910778909860253</v>
      </c>
      <c r="CD35" s="2">
        <f t="shared" si="152"/>
        <v>2.2790160862588321E-3</v>
      </c>
      <c r="CE35" s="2">
        <f t="shared" si="153"/>
        <v>1.193285199153103</v>
      </c>
      <c r="CF35" s="2">
        <f t="shared" si="154"/>
        <v>0</v>
      </c>
      <c r="CG35" s="2">
        <f t="shared" si="155"/>
        <v>0</v>
      </c>
      <c r="CH35" s="2">
        <f t="shared" si="156"/>
        <v>0</v>
      </c>
      <c r="CI35" s="2">
        <f t="shared" si="157"/>
        <v>4.1726690622696109E-3</v>
      </c>
      <c r="CK35" s="2">
        <f t="shared" si="132"/>
        <v>1.3478576857569251</v>
      </c>
      <c r="CL35" s="2">
        <f t="shared" si="158"/>
        <v>6.2605647029362056E-5</v>
      </c>
      <c r="CM35" s="2">
        <f t="shared" si="133"/>
        <v>7.5702032864979484E-4</v>
      </c>
      <c r="CN35" s="2">
        <f t="shared" si="159"/>
        <v>2.3027951986062174E-4</v>
      </c>
      <c r="CO35" s="2">
        <f t="shared" si="160"/>
        <v>0.14910778909860253</v>
      </c>
      <c r="CP35" s="2">
        <f t="shared" si="161"/>
        <v>2.2790160862588321E-3</v>
      </c>
      <c r="CQ35" s="2">
        <f t="shared" si="162"/>
        <v>1.193285199153103</v>
      </c>
      <c r="CR35" s="2">
        <f t="shared" si="163"/>
        <v>0</v>
      </c>
      <c r="CS35" s="2">
        <f t="shared" si="164"/>
        <v>0</v>
      </c>
      <c r="CT35" s="2">
        <f t="shared" si="165"/>
        <v>0</v>
      </c>
      <c r="CU35" s="2">
        <f t="shared" si="166"/>
        <v>4.1726690622696109E-3</v>
      </c>
      <c r="CW35" s="14">
        <f t="shared" si="167"/>
        <v>2.6977522646526988</v>
      </c>
      <c r="CY35" s="14">
        <f t="shared" si="168"/>
        <v>1.4827158343670037</v>
      </c>
      <c r="DA35" s="16">
        <f t="shared" si="169"/>
        <v>0.99924496657252893</v>
      </c>
      <c r="DB35" s="16">
        <f t="shared" si="170"/>
        <v>4.6413192085613343E-5</v>
      </c>
      <c r="DC35" s="16">
        <f t="shared" si="171"/>
        <v>7.4829735215117593E-4</v>
      </c>
      <c r="DD35" s="16">
        <f t="shared" si="172"/>
        <v>2.2762606028518316E-4</v>
      </c>
      <c r="DE35" s="16">
        <f t="shared" si="173"/>
        <v>0.22108447992395366</v>
      </c>
      <c r="DF35" s="16">
        <f t="shared" si="174"/>
        <v>3.3791332378730874E-3</v>
      </c>
      <c r="DG35" s="16">
        <f t="shared" si="175"/>
        <v>1.7693028597000895</v>
      </c>
      <c r="DH35" s="16">
        <f t="shared" si="176"/>
        <v>0</v>
      </c>
      <c r="DI35" s="16">
        <f t="shared" si="177"/>
        <v>0</v>
      </c>
      <c r="DJ35" s="16">
        <f t="shared" si="178"/>
        <v>0</v>
      </c>
      <c r="DK35" s="16">
        <f t="shared" si="179"/>
        <v>6.1868824902004691E-3</v>
      </c>
      <c r="DL35" s="16">
        <f t="shared" si="22"/>
        <v>0.88892389158498486</v>
      </c>
      <c r="DN35" s="2">
        <f t="shared" si="23"/>
        <v>0</v>
      </c>
      <c r="DO35" s="2">
        <f t="shared" si="24"/>
        <v>0</v>
      </c>
      <c r="DP35" s="2">
        <f t="shared" si="25"/>
        <v>0</v>
      </c>
      <c r="DQ35" s="2">
        <f t="shared" si="26"/>
        <v>0</v>
      </c>
      <c r="DR35" s="2">
        <f t="shared" si="27"/>
        <v>0</v>
      </c>
      <c r="DS35" s="2">
        <f t="shared" si="28"/>
        <v>0</v>
      </c>
      <c r="DT35" s="2">
        <f t="shared" si="29"/>
        <v>0</v>
      </c>
      <c r="DU35" s="2">
        <f t="shared" si="30"/>
        <v>0</v>
      </c>
      <c r="DV35" s="2">
        <f t="shared" si="31"/>
        <v>0</v>
      </c>
      <c r="DW35" s="2">
        <f t="shared" si="32"/>
        <v>0</v>
      </c>
      <c r="DX35" s="2">
        <f t="shared" si="33"/>
        <v>0</v>
      </c>
      <c r="DZ35" s="2">
        <f t="shared" si="134"/>
        <v>0</v>
      </c>
      <c r="EA35" s="2">
        <f t="shared" si="135"/>
        <v>0</v>
      </c>
      <c r="EB35" s="2">
        <f t="shared" si="136"/>
        <v>0</v>
      </c>
      <c r="EC35" s="2">
        <f t="shared" si="180"/>
        <v>0</v>
      </c>
      <c r="ED35" s="2">
        <f t="shared" si="181"/>
        <v>0</v>
      </c>
      <c r="EE35" s="2">
        <f t="shared" si="182"/>
        <v>0</v>
      </c>
      <c r="EF35" s="2">
        <f t="shared" si="183"/>
        <v>0</v>
      </c>
      <c r="EG35" s="2">
        <f t="shared" si="184"/>
        <v>0</v>
      </c>
      <c r="EH35" s="2">
        <f t="shared" si="185"/>
        <v>0</v>
      </c>
      <c r="EI35" s="2">
        <f t="shared" si="186"/>
        <v>0</v>
      </c>
      <c r="EJ35" s="2">
        <f t="shared" si="187"/>
        <v>0</v>
      </c>
      <c r="EL35" s="16">
        <f t="shared" si="188"/>
        <v>0</v>
      </c>
      <c r="EN35" s="14" t="e">
        <f t="shared" si="189"/>
        <v>#DIV/0!</v>
      </c>
      <c r="EP35" s="16" t="e">
        <f t="shared" si="190"/>
        <v>#DIV/0!</v>
      </c>
      <c r="EQ35" s="16" t="e">
        <f t="shared" si="191"/>
        <v>#DIV/0!</v>
      </c>
      <c r="ER35" s="16" t="e">
        <f t="shared" si="192"/>
        <v>#DIV/0!</v>
      </c>
      <c r="ES35" s="16" t="e">
        <f t="shared" si="193"/>
        <v>#DIV/0!</v>
      </c>
      <c r="ET35" s="16" t="e">
        <f t="shared" si="194"/>
        <v>#DIV/0!</v>
      </c>
      <c r="EU35" s="16" t="e">
        <f t="shared" si="195"/>
        <v>#DIV/0!</v>
      </c>
      <c r="EV35" s="16" t="e">
        <f t="shared" si="196"/>
        <v>#DIV/0!</v>
      </c>
      <c r="EW35" s="16" t="e">
        <f t="shared" si="197"/>
        <v>#DIV/0!</v>
      </c>
      <c r="EX35" s="16" t="e">
        <f t="shared" si="198"/>
        <v>#DIV/0!</v>
      </c>
      <c r="EY35" s="16" t="e">
        <f t="shared" si="199"/>
        <v>#DIV/0!</v>
      </c>
      <c r="EZ35" s="16" t="e">
        <f t="shared" si="200"/>
        <v>#DIV/0!</v>
      </c>
      <c r="FB35" s="14" t="e">
        <f t="shared" si="40"/>
        <v>#DIV/0!</v>
      </c>
      <c r="FC35" s="4" t="e">
        <f t="shared" si="41"/>
        <v>#DIV/0!</v>
      </c>
      <c r="FD35" s="4" t="e">
        <f t="shared" si="42"/>
        <v>#DIV/0!</v>
      </c>
      <c r="FE35" s="4" t="e">
        <f t="shared" si="43"/>
        <v>#DIV/0!</v>
      </c>
      <c r="FG35" s="4" t="e">
        <f t="shared" si="44"/>
        <v>#NUM!</v>
      </c>
    </row>
    <row r="36" spans="1:163" x14ac:dyDescent="0.2">
      <c r="A36" s="24" t="s">
        <v>151</v>
      </c>
      <c r="B36" s="60" t="s">
        <v>165</v>
      </c>
      <c r="C36" s="138">
        <v>40.57</v>
      </c>
      <c r="D36" s="98">
        <v>0.01</v>
      </c>
      <c r="E36" s="148">
        <f t="shared" si="51"/>
        <v>2.2573672466784281E-2</v>
      </c>
      <c r="F36" s="138">
        <v>1.4999999999999999E-2</v>
      </c>
      <c r="G36" s="138">
        <v>9.8383333333333329</v>
      </c>
      <c r="H36" s="138">
        <v>0.13833333333333334</v>
      </c>
      <c r="I36" s="138">
        <v>48.88</v>
      </c>
      <c r="J36" s="150">
        <f t="shared" si="52"/>
        <v>3.5869037171393524E-2</v>
      </c>
      <c r="K36" s="98"/>
      <c r="L36" s="98"/>
      <c r="M36" s="138">
        <v>0.36499999999999994</v>
      </c>
      <c r="N36" s="141">
        <v>119.47252771673234</v>
      </c>
      <c r="O36" s="142">
        <v>256.35452534106849</v>
      </c>
      <c r="P36" s="11"/>
      <c r="Q36" s="140">
        <v>51.182499999999997</v>
      </c>
      <c r="R36" s="140">
        <v>0.48390412499999996</v>
      </c>
      <c r="S36" s="140">
        <v>7.4502612499999996</v>
      </c>
      <c r="T36" s="140">
        <v>0.79719112499999989</v>
      </c>
      <c r="U36" s="140">
        <v>3.3011762500000001</v>
      </c>
      <c r="V36" s="140">
        <v>9.5331625000000003E-2</v>
      </c>
      <c r="W36" s="140">
        <v>15.624774999999998</v>
      </c>
      <c r="X36" s="140">
        <v>18.977487499999999</v>
      </c>
      <c r="Y36" s="140">
        <v>1.5011887500000003</v>
      </c>
      <c r="Z36" s="100">
        <v>2.5964999999999998E-3</v>
      </c>
      <c r="AA36" s="140">
        <v>5.6208375000000005E-2</v>
      </c>
      <c r="AC36" s="139">
        <v>57.84375</v>
      </c>
      <c r="AD36" s="139">
        <v>9.9987499999999994</v>
      </c>
      <c r="AE36" s="11"/>
      <c r="AF36" s="83">
        <f t="shared" si="53"/>
        <v>0.10391023133834459</v>
      </c>
      <c r="AG36" s="22">
        <f t="shared" si="0"/>
        <v>3.9025257641118154E-4</v>
      </c>
      <c r="AH36" s="126">
        <f t="shared" si="54"/>
        <v>1024.4955963200264</v>
      </c>
      <c r="AI36" s="126">
        <f t="shared" ref="AI36:AI42" si="201">(10539+79.8*AL36*10)/(15.45-LN(O36))-273</f>
        <v>1024.3455393731667</v>
      </c>
      <c r="AJ36" s="126">
        <f t="shared" ref="AJ36:AJ42" si="202">AH36-AI36</f>
        <v>0.15005694685964954</v>
      </c>
      <c r="AK36" s="12"/>
      <c r="AL36" s="25">
        <f t="shared" si="55"/>
        <v>2.8937117238945382</v>
      </c>
      <c r="AN36" s="2">
        <v>15.999000000000001</v>
      </c>
      <c r="AO36" s="2">
        <v>28.085000000000001</v>
      </c>
      <c r="AP36" s="2">
        <v>47.866999999999997</v>
      </c>
      <c r="AQ36" s="2">
        <v>26.9815386</v>
      </c>
      <c r="AR36" s="2">
        <v>51.996099999999998</v>
      </c>
      <c r="AS36" s="2">
        <v>55.844999999999999</v>
      </c>
      <c r="AT36" s="2">
        <v>54.938045000000002</v>
      </c>
      <c r="AU36" s="2">
        <v>24.305</v>
      </c>
      <c r="AV36" s="2">
        <v>40.078000000000003</v>
      </c>
      <c r="AW36" s="2">
        <v>22.989769280000001</v>
      </c>
      <c r="AX36" s="2">
        <v>39.098300000000002</v>
      </c>
      <c r="AY36" s="2">
        <v>58.693399999999997</v>
      </c>
      <c r="BA36" s="2">
        <f t="shared" si="56"/>
        <v>60.082999999999998</v>
      </c>
      <c r="BB36" s="2">
        <f t="shared" si="57"/>
        <v>79.864999999999995</v>
      </c>
      <c r="BC36" s="2">
        <f t="shared" si="58"/>
        <v>101.9600772</v>
      </c>
      <c r="BD36" s="2">
        <f t="shared" si="59"/>
        <v>151.98919999999998</v>
      </c>
      <c r="BE36" s="2">
        <f t="shared" si="60"/>
        <v>71.843999999999994</v>
      </c>
      <c r="BF36" s="2">
        <f t="shared" si="61"/>
        <v>70.937044999999998</v>
      </c>
      <c r="BG36" s="2">
        <f t="shared" si="62"/>
        <v>40.304000000000002</v>
      </c>
      <c r="BH36" s="2">
        <f t="shared" si="63"/>
        <v>56.077000000000005</v>
      </c>
      <c r="BI36" s="2">
        <f t="shared" si="64"/>
        <v>61.978538560000004</v>
      </c>
      <c r="BJ36" s="2">
        <f t="shared" si="65"/>
        <v>94.195599999999999</v>
      </c>
      <c r="BK36" s="2">
        <f t="shared" si="66"/>
        <v>74.692399999999992</v>
      </c>
      <c r="BM36" s="2">
        <f t="shared" si="3"/>
        <v>0.67523259491037402</v>
      </c>
      <c r="BN36" s="2">
        <f t="shared" si="4"/>
        <v>1.2521129405872411E-4</v>
      </c>
      <c r="BO36" s="2">
        <f t="shared" si="5"/>
        <v>2.2139716923227557E-4</v>
      </c>
      <c r="BP36" s="2">
        <f t="shared" si="6"/>
        <v>9.86912227974093E-5</v>
      </c>
      <c r="BQ36" s="2">
        <f t="shared" si="7"/>
        <v>0.13694022233357461</v>
      </c>
      <c r="BR36" s="2">
        <f t="shared" si="8"/>
        <v>1.9500859294792072E-3</v>
      </c>
      <c r="BS36" s="2">
        <f t="shared" si="9"/>
        <v>1.2127828503374356</v>
      </c>
      <c r="BT36" s="2">
        <f t="shared" si="10"/>
        <v>6.3963901726899657E-4</v>
      </c>
      <c r="BU36" s="2">
        <f t="shared" si="11"/>
        <v>0</v>
      </c>
      <c r="BV36" s="2">
        <f t="shared" si="12"/>
        <v>0</v>
      </c>
      <c r="BW36" s="2">
        <f t="shared" si="13"/>
        <v>4.8867086878986348E-3</v>
      </c>
      <c r="BY36" s="2">
        <f t="shared" si="67"/>
        <v>0.67523259491037402</v>
      </c>
      <c r="BZ36" s="2">
        <f t="shared" si="68"/>
        <v>1.2521129405872411E-4</v>
      </c>
      <c r="CA36" s="2">
        <f t="shared" si="69"/>
        <v>4.4279433846455113E-4</v>
      </c>
      <c r="CB36" s="2">
        <f t="shared" si="70"/>
        <v>1.973824455948186E-4</v>
      </c>
      <c r="CC36" s="2">
        <f t="shared" si="71"/>
        <v>0.13694022233357461</v>
      </c>
      <c r="CD36" s="2">
        <f t="shared" si="72"/>
        <v>1.9500859294792072E-3</v>
      </c>
      <c r="CE36" s="2">
        <f t="shared" si="73"/>
        <v>1.2127828503374356</v>
      </c>
      <c r="CF36" s="2">
        <f t="shared" si="74"/>
        <v>6.3963901726899657E-4</v>
      </c>
      <c r="CG36" s="2">
        <f t="shared" si="75"/>
        <v>0</v>
      </c>
      <c r="CH36" s="2">
        <f t="shared" si="76"/>
        <v>0</v>
      </c>
      <c r="CI36" s="2">
        <f t="shared" si="77"/>
        <v>4.8867086878986348E-3</v>
      </c>
      <c r="CK36" s="2">
        <f t="shared" si="78"/>
        <v>1.350465189820748</v>
      </c>
      <c r="CL36" s="2">
        <f t="shared" si="79"/>
        <v>2.5042258811744822E-4</v>
      </c>
      <c r="CM36" s="2">
        <f t="shared" si="80"/>
        <v>6.641915076968267E-4</v>
      </c>
      <c r="CN36" s="2">
        <f t="shared" si="81"/>
        <v>2.960736683922279E-4</v>
      </c>
      <c r="CO36" s="2">
        <f t="shared" si="82"/>
        <v>0.13694022233357461</v>
      </c>
      <c r="CP36" s="2">
        <f t="shared" si="83"/>
        <v>1.9500859294792072E-3</v>
      </c>
      <c r="CQ36" s="2">
        <f t="shared" si="84"/>
        <v>1.2127828503374356</v>
      </c>
      <c r="CR36" s="2">
        <f t="shared" si="85"/>
        <v>6.3963901726899657E-4</v>
      </c>
      <c r="CS36" s="2">
        <f t="shared" si="86"/>
        <v>0</v>
      </c>
      <c r="CT36" s="2">
        <f t="shared" si="87"/>
        <v>0</v>
      </c>
      <c r="CU36" s="2">
        <f t="shared" si="88"/>
        <v>4.8867086878986348E-3</v>
      </c>
      <c r="CW36" s="14">
        <f t="shared" si="89"/>
        <v>2.7088753838906112</v>
      </c>
      <c r="CY36" s="14">
        <f t="shared" si="90"/>
        <v>1.4766275421112272</v>
      </c>
      <c r="DA36" s="16">
        <f t="shared" si="91"/>
        <v>0.99706704697589155</v>
      </c>
      <c r="DB36" s="16">
        <f t="shared" si="92"/>
        <v>1.8489044539049987E-4</v>
      </c>
      <c r="DC36" s="16">
        <f t="shared" si="93"/>
        <v>6.5384231566767697E-4</v>
      </c>
      <c r="DD36" s="16">
        <f t="shared" si="94"/>
        <v>2.9146035549458001E-4</v>
      </c>
      <c r="DE36" s="16">
        <f t="shared" si="95"/>
        <v>0.20220970392059126</v>
      </c>
      <c r="DF36" s="16">
        <f t="shared" si="96"/>
        <v>2.8795505929525697E-3</v>
      </c>
      <c r="DG36" s="16">
        <f t="shared" si="97"/>
        <v>1.7908285594084159</v>
      </c>
      <c r="DH36" s="16">
        <f t="shared" si="98"/>
        <v>9.4450858990835918E-4</v>
      </c>
      <c r="DI36" s="16">
        <f t="shared" si="99"/>
        <v>0</v>
      </c>
      <c r="DJ36" s="16">
        <f t="shared" si="100"/>
        <v>0</v>
      </c>
      <c r="DK36" s="16">
        <f t="shared" si="101"/>
        <v>7.2158486388253411E-3</v>
      </c>
      <c r="DL36" s="16">
        <f t="shared" si="22"/>
        <v>0.89854198605156899</v>
      </c>
      <c r="DN36" s="2">
        <f t="shared" si="23"/>
        <v>0.85186325582943589</v>
      </c>
      <c r="DO36" s="2">
        <f t="shared" si="24"/>
        <v>6.0590261691604586E-3</v>
      </c>
      <c r="DP36" s="2">
        <f t="shared" si="25"/>
        <v>7.3070376706227125E-2</v>
      </c>
      <c r="DQ36" s="2">
        <f t="shared" si="26"/>
        <v>5.2450511286328237E-3</v>
      </c>
      <c r="DR36" s="2">
        <f t="shared" si="27"/>
        <v>4.5949226796948954E-2</v>
      </c>
      <c r="DS36" s="2">
        <f t="shared" si="28"/>
        <v>1.3438905581702762E-3</v>
      </c>
      <c r="DT36" s="2">
        <f t="shared" si="29"/>
        <v>0.38767305974593086</v>
      </c>
      <c r="DU36" s="2">
        <f t="shared" si="30"/>
        <v>0.33841838008452657</v>
      </c>
      <c r="DV36" s="2">
        <f t="shared" si="31"/>
        <v>2.4221105964716057E-2</v>
      </c>
      <c r="DW36" s="2">
        <f t="shared" si="32"/>
        <v>2.7564981803820985E-5</v>
      </c>
      <c r="DX36" s="2">
        <f t="shared" si="33"/>
        <v>7.5253138204154659E-4</v>
      </c>
      <c r="DZ36" s="2">
        <f t="shared" si="102"/>
        <v>1.7037265116588718</v>
      </c>
      <c r="EA36" s="2">
        <f t="shared" si="103"/>
        <v>1.2118052338320917E-2</v>
      </c>
      <c r="EB36" s="2">
        <f t="shared" si="104"/>
        <v>0.21921113011868137</v>
      </c>
      <c r="EC36" s="2">
        <f t="shared" si="105"/>
        <v>1.5735153385898471E-2</v>
      </c>
      <c r="ED36" s="2">
        <f t="shared" si="106"/>
        <v>4.5949226796948954E-2</v>
      </c>
      <c r="EE36" s="2">
        <f t="shared" si="107"/>
        <v>1.3438905581702762E-3</v>
      </c>
      <c r="EF36" s="2">
        <f t="shared" si="108"/>
        <v>0.38767305974593086</v>
      </c>
      <c r="EG36" s="2">
        <f t="shared" si="109"/>
        <v>0.33841838008452657</v>
      </c>
      <c r="EH36" s="2">
        <f t="shared" si="110"/>
        <v>2.4221105964716057E-2</v>
      </c>
      <c r="EI36" s="2">
        <f t="shared" si="111"/>
        <v>2.7564981803820985E-5</v>
      </c>
      <c r="EJ36" s="2">
        <f t="shared" si="112"/>
        <v>7.5253138204154659E-4</v>
      </c>
      <c r="EL36" s="16">
        <f t="shared" si="113"/>
        <v>2.7491766070159103</v>
      </c>
      <c r="EN36" s="14">
        <f t="shared" si="114"/>
        <v>2.1824716479428696</v>
      </c>
      <c r="EP36" s="16">
        <f t="shared" si="115"/>
        <v>1.8591674037720474</v>
      </c>
      <c r="EQ36" s="16">
        <f t="shared" si="116"/>
        <v>1.3223652828336598E-2</v>
      </c>
      <c r="ER36" s="16">
        <f t="shared" si="117"/>
        <v>0.3189480509316916</v>
      </c>
      <c r="ES36" s="16">
        <f t="shared" si="118"/>
        <v>2.2894350760503775E-2</v>
      </c>
      <c r="ET36" s="16">
        <f t="shared" si="119"/>
        <v>0.10028288472923785</v>
      </c>
      <c r="EU36" s="16">
        <f t="shared" si="120"/>
        <v>2.9330030411447456E-3</v>
      </c>
      <c r="EV36" s="16">
        <f t="shared" si="121"/>
        <v>0.84608546156675624</v>
      </c>
      <c r="EW36" s="16">
        <f t="shared" si="122"/>
        <v>0.73858851967723316</v>
      </c>
      <c r="EX36" s="16">
        <f t="shared" si="123"/>
        <v>0.10572375409962545</v>
      </c>
      <c r="EY36" s="16">
        <f t="shared" si="124"/>
        <v>1.203195825258008E-4</v>
      </c>
      <c r="EZ36" s="16">
        <f t="shared" si="125"/>
        <v>1.6423784054929395E-3</v>
      </c>
      <c r="FB36" s="14">
        <f t="shared" si="40"/>
        <v>-6.661831456361452</v>
      </c>
      <c r="FC36" s="4">
        <f t="shared" si="41"/>
        <v>2.39440583766994</v>
      </c>
      <c r="FD36" s="4">
        <f t="shared" si="42"/>
        <v>2.8937117238945382</v>
      </c>
      <c r="FE36" s="4">
        <f t="shared" si="43"/>
        <v>2.8937117238945382</v>
      </c>
      <c r="FG36" s="4">
        <f t="shared" si="44"/>
        <v>3.5089061528995344</v>
      </c>
    </row>
    <row r="37" spans="1:163" x14ac:dyDescent="0.2">
      <c r="A37" s="24" t="s">
        <v>152</v>
      </c>
      <c r="B37" s="60" t="s">
        <v>165</v>
      </c>
      <c r="C37" s="138">
        <v>40.65</v>
      </c>
      <c r="D37" s="98"/>
      <c r="E37" s="148">
        <f t="shared" ref="E37:E51" si="203">N37/(26.9815*10000)*101.9601/2</f>
        <v>3.0872078890684631E-2</v>
      </c>
      <c r="F37" s="138">
        <v>1.1250000000000001E-2</v>
      </c>
      <c r="G37" s="138">
        <v>10.389999999999999</v>
      </c>
      <c r="H37" s="138">
        <v>0.14250000000000002</v>
      </c>
      <c r="I37" s="138">
        <v>48.214999999999996</v>
      </c>
      <c r="J37" s="150">
        <f t="shared" ref="J37:J51" si="204">O37/40.078*56.077/10000</f>
        <v>3.7478492337005523E-2</v>
      </c>
      <c r="K37" s="98"/>
      <c r="L37" s="98">
        <v>1.25E-3</v>
      </c>
      <c r="M37" s="138">
        <v>0.36874999999999997</v>
      </c>
      <c r="N37" s="141">
        <v>163.39234594493482</v>
      </c>
      <c r="O37" s="142">
        <v>267.85723485252549</v>
      </c>
      <c r="P37" s="11"/>
      <c r="Q37" s="140">
        <v>51.244700000000002</v>
      </c>
      <c r="R37" s="140">
        <v>0.45751349999999996</v>
      </c>
      <c r="S37" s="140">
        <v>7.2919625000000012</v>
      </c>
      <c r="T37" s="140">
        <v>0.68367849999999997</v>
      </c>
      <c r="U37" s="140">
        <v>3.5455749999999999</v>
      </c>
      <c r="V37" s="140">
        <v>0.10016512499999999</v>
      </c>
      <c r="W37" s="140">
        <v>15.8035125</v>
      </c>
      <c r="X37" s="140">
        <v>19.341825</v>
      </c>
      <c r="Y37" s="140">
        <v>1.1975787500000001</v>
      </c>
      <c r="Z37" s="100">
        <v>2.6947500000000001E-3</v>
      </c>
      <c r="AA37" s="140">
        <v>6.0145499999999998E-2</v>
      </c>
      <c r="AC37" s="139">
        <v>57.728333333333332</v>
      </c>
      <c r="AD37" s="139">
        <v>8.7133333333333329</v>
      </c>
      <c r="AE37" s="11"/>
      <c r="AF37" s="83">
        <f t="shared" ref="AF37:AF51" si="205">AD37/151.9892/(AD37/151.9892+AC37/101.9601)</f>
        <v>9.1944398260761576E-2</v>
      </c>
      <c r="AG37" s="22">
        <f t="shared" si="0"/>
        <v>5.3478209239861364E-4</v>
      </c>
      <c r="AH37" s="126">
        <f t="shared" ref="AH37:AH51" si="206">10000/(0.575+0.884*AF37-0.897*LN(AG37))-273</f>
        <v>1075.8061227306962</v>
      </c>
      <c r="AI37" s="126">
        <f t="shared" si="201"/>
        <v>1075.655469537247</v>
      </c>
      <c r="AJ37" s="126">
        <f t="shared" si="202"/>
        <v>0.15065319344921591</v>
      </c>
      <c r="AK37" s="12"/>
      <c r="AL37" s="25">
        <f t="shared" ref="AL37:AL42" si="207">FE37</f>
        <v>3.4563038357826721</v>
      </c>
      <c r="AN37" s="2">
        <v>15.999000000000001</v>
      </c>
      <c r="AO37" s="2">
        <v>28.085000000000001</v>
      </c>
      <c r="AP37" s="2">
        <v>47.866999999999997</v>
      </c>
      <c r="AQ37" s="2">
        <v>26.9815386</v>
      </c>
      <c r="AR37" s="2">
        <v>51.996099999999998</v>
      </c>
      <c r="AS37" s="2">
        <v>55.844999999999999</v>
      </c>
      <c r="AT37" s="2">
        <v>54.938045000000002</v>
      </c>
      <c r="AU37" s="2">
        <v>24.305</v>
      </c>
      <c r="AV37" s="2">
        <v>40.078000000000003</v>
      </c>
      <c r="AW37" s="2">
        <v>22.989769280000001</v>
      </c>
      <c r="AX37" s="2">
        <v>39.098300000000002</v>
      </c>
      <c r="AY37" s="2">
        <v>58.693399999999997</v>
      </c>
      <c r="BA37" s="2">
        <f t="shared" ref="BA37:BA51" si="208">AN37*2+AO37</f>
        <v>60.082999999999998</v>
      </c>
      <c r="BB37" s="2">
        <f t="shared" ref="BB37:BB51" si="209">AN37*2+AP37</f>
        <v>79.864999999999995</v>
      </c>
      <c r="BC37" s="2">
        <f t="shared" ref="BC37:BC51" si="210">AQ37*2+AN37*3</f>
        <v>101.9600772</v>
      </c>
      <c r="BD37" s="2">
        <f t="shared" ref="BD37:BD51" si="211">AR37*2+AN37*3</f>
        <v>151.98919999999998</v>
      </c>
      <c r="BE37" s="2">
        <f t="shared" ref="BE37:BE51" si="212">AS37+AN37</f>
        <v>71.843999999999994</v>
      </c>
      <c r="BF37" s="2">
        <f t="shared" ref="BF37:BF51" si="213">AT37+AN37</f>
        <v>70.937044999999998</v>
      </c>
      <c r="BG37" s="2">
        <f t="shared" ref="BG37:BG51" si="214">AU37+AN37</f>
        <v>40.304000000000002</v>
      </c>
      <c r="BH37" s="2">
        <f t="shared" ref="BH37:BH51" si="215">AV37+AN37</f>
        <v>56.077000000000005</v>
      </c>
      <c r="BI37" s="2">
        <f t="shared" ref="BI37:BI51" si="216">AW37*2+AN37</f>
        <v>61.978538560000004</v>
      </c>
      <c r="BJ37" s="2">
        <f t="shared" ref="BJ37:BJ51" si="217">AX37*2+AN37</f>
        <v>94.195599999999999</v>
      </c>
      <c r="BK37" s="2">
        <f t="shared" ref="BK37:BK51" si="218">AY37+AN37</f>
        <v>74.692399999999992</v>
      </c>
      <c r="BM37" s="2">
        <f t="shared" si="3"/>
        <v>0.67656408634721965</v>
      </c>
      <c r="BN37" s="2">
        <f t="shared" si="4"/>
        <v>0</v>
      </c>
      <c r="BO37" s="2">
        <f t="shared" si="5"/>
        <v>3.0278595052578706E-4</v>
      </c>
      <c r="BP37" s="2">
        <f t="shared" si="6"/>
        <v>7.4018417098056989E-5</v>
      </c>
      <c r="BQ37" s="2">
        <f t="shared" si="7"/>
        <v>0.1446188964979678</v>
      </c>
      <c r="BR37" s="2">
        <f t="shared" si="8"/>
        <v>2.008823457475569E-3</v>
      </c>
      <c r="BS37" s="2">
        <f t="shared" si="9"/>
        <v>1.1962832473203651</v>
      </c>
      <c r="BT37" s="2">
        <f t="shared" si="10"/>
        <v>6.683398244735902E-4</v>
      </c>
      <c r="BU37" s="2">
        <f t="shared" si="11"/>
        <v>0</v>
      </c>
      <c r="BV37" s="2">
        <f t="shared" si="12"/>
        <v>1.32702589080594E-5</v>
      </c>
      <c r="BW37" s="2">
        <f t="shared" si="13"/>
        <v>4.9369145990756759E-3</v>
      </c>
      <c r="BY37" s="2">
        <f t="shared" ref="BY37:BY51" si="219">BM37</f>
        <v>0.67656408634721965</v>
      </c>
      <c r="BZ37" s="2">
        <f t="shared" ref="BZ37:BZ51" si="220">BN37</f>
        <v>0</v>
      </c>
      <c r="CA37" s="2">
        <f t="shared" ref="CA37:CA51" si="221">BO37*2</f>
        <v>6.0557190105157413E-4</v>
      </c>
      <c r="CB37" s="2">
        <f t="shared" ref="CB37:CB51" si="222">BP37*2</f>
        <v>1.4803683419611398E-4</v>
      </c>
      <c r="CC37" s="2">
        <f t="shared" ref="CC37:CC51" si="223">BQ37</f>
        <v>0.1446188964979678</v>
      </c>
      <c r="CD37" s="2">
        <f t="shared" ref="CD37:CD51" si="224">BR37</f>
        <v>2.008823457475569E-3</v>
      </c>
      <c r="CE37" s="2">
        <f t="shared" ref="CE37:CE51" si="225">BS37</f>
        <v>1.1962832473203651</v>
      </c>
      <c r="CF37" s="2">
        <f t="shared" ref="CF37:CF51" si="226">BT37</f>
        <v>6.683398244735902E-4</v>
      </c>
      <c r="CG37" s="2">
        <f t="shared" ref="CG37:CG51" si="227">BU37*2</f>
        <v>0</v>
      </c>
      <c r="CH37" s="2">
        <f t="shared" ref="CH37:CH51" si="228">BV37*2</f>
        <v>2.65405178161188E-5</v>
      </c>
      <c r="CI37" s="2">
        <f t="shared" ref="CI37:CI51" si="229">BW37</f>
        <v>4.9369145990756759E-3</v>
      </c>
      <c r="CK37" s="2">
        <f t="shared" ref="CK37:CK51" si="230">BM37*2</f>
        <v>1.3531281726944393</v>
      </c>
      <c r="CL37" s="2">
        <f t="shared" ref="CL37:CL51" si="231">BN37*2</f>
        <v>0</v>
      </c>
      <c r="CM37" s="2">
        <f t="shared" ref="CM37:CM51" si="232">BO37*3</f>
        <v>9.0835785157736119E-4</v>
      </c>
      <c r="CN37" s="2">
        <f t="shared" ref="CN37:CN51" si="233">BP37*3</f>
        <v>2.2205525129417097E-4</v>
      </c>
      <c r="CO37" s="2">
        <f t="shared" ref="CO37:CO51" si="234">BQ37</f>
        <v>0.1446188964979678</v>
      </c>
      <c r="CP37" s="2">
        <f t="shared" ref="CP37:CP51" si="235">BR37</f>
        <v>2.008823457475569E-3</v>
      </c>
      <c r="CQ37" s="2">
        <f t="shared" ref="CQ37:CQ51" si="236">BS37</f>
        <v>1.1962832473203651</v>
      </c>
      <c r="CR37" s="2">
        <f t="shared" ref="CR37:CR51" si="237">BT37</f>
        <v>6.683398244735902E-4</v>
      </c>
      <c r="CS37" s="2">
        <f t="shared" ref="CS37:CS51" si="238">BU37</f>
        <v>0</v>
      </c>
      <c r="CT37" s="2">
        <f t="shared" ref="CT37:CT51" si="239">BV37</f>
        <v>1.32702589080594E-5</v>
      </c>
      <c r="CU37" s="2">
        <f t="shared" ref="CU37:CU51" si="240">BW37</f>
        <v>4.9369145990756759E-3</v>
      </c>
      <c r="CW37" s="14">
        <f t="shared" ref="CW37:CW51" si="241">SUM(CK37:CU37)</f>
        <v>2.7027880777555771</v>
      </c>
      <c r="CY37" s="14">
        <f t="shared" ref="CY37:CY51" si="242">4/CW37</f>
        <v>1.4799532500978179</v>
      </c>
      <c r="DA37" s="16">
        <f t="shared" ref="DA37:DA63" si="243">BY37*$CY37</f>
        <v>1.0012832184890283</v>
      </c>
      <c r="DB37" s="16">
        <f t="shared" ref="DB37:DB63" si="244">BZ37*$CY37</f>
        <v>0</v>
      </c>
      <c r="DC37" s="16">
        <f t="shared" ref="DC37:DC63" si="245">CA37*$CY37</f>
        <v>8.9621810312919133E-4</v>
      </c>
      <c r="DD37" s="16">
        <f t="shared" ref="DD37:DD63" si="246">CB37*$CY37</f>
        <v>2.1908759390273068E-4</v>
      </c>
      <c r="DE37" s="16">
        <f t="shared" ref="DE37:DE63" si="247">CC37*$CY37</f>
        <v>0.21402920589772739</v>
      </c>
      <c r="DF37" s="16">
        <f t="shared" ref="DF37:DF63" si="248">CD37*$CY37</f>
        <v>2.9729648047637038E-3</v>
      </c>
      <c r="DG37" s="16">
        <f t="shared" ref="DG37:DG63" si="249">CE37*$CY37</f>
        <v>1.7704432799093459</v>
      </c>
      <c r="DH37" s="16">
        <f t="shared" ref="DH37:DH63" si="250">CF37*$CY37</f>
        <v>9.8911169539949492E-4</v>
      </c>
      <c r="DI37" s="16">
        <f t="shared" ref="DI37:DI63" si="251">CG37*$CY37</f>
        <v>0</v>
      </c>
      <c r="DJ37" s="16">
        <f t="shared" ref="DJ37:DJ63" si="252">CH37*$CY37</f>
        <v>3.927872560124406E-5</v>
      </c>
      <c r="DK37" s="16">
        <f t="shared" ref="DK37:DK63" si="253">CI37*$CY37</f>
        <v>7.3064028063574123E-3</v>
      </c>
      <c r="DL37" s="16">
        <f t="shared" si="22"/>
        <v>0.89214806079274867</v>
      </c>
      <c r="DN37" s="2">
        <f t="shared" si="23"/>
        <v>0.8528984904215835</v>
      </c>
      <c r="DO37" s="2">
        <f t="shared" si="24"/>
        <v>5.7285857384336064E-3</v>
      </c>
      <c r="DP37" s="2">
        <f t="shared" si="25"/>
        <v>7.1517820506318733E-2</v>
      </c>
      <c r="DQ37" s="2">
        <f t="shared" si="26"/>
        <v>4.498204477686573E-3</v>
      </c>
      <c r="DR37" s="2">
        <f t="shared" si="27"/>
        <v>4.9351024441846227E-2</v>
      </c>
      <c r="DS37" s="2">
        <f t="shared" si="28"/>
        <v>1.4120284401471755E-3</v>
      </c>
      <c r="DT37" s="2">
        <f t="shared" si="29"/>
        <v>0.39210779327113932</v>
      </c>
      <c r="DU37" s="2">
        <f t="shared" si="30"/>
        <v>0.34491547336697753</v>
      </c>
      <c r="DV37" s="2">
        <f t="shared" si="31"/>
        <v>1.9322474808608978E-2</v>
      </c>
      <c r="DW37" s="2">
        <f t="shared" si="32"/>
        <v>2.8608024153994456E-5</v>
      </c>
      <c r="DX37" s="2">
        <f t="shared" si="33"/>
        <v>8.0524256818632152E-4</v>
      </c>
      <c r="DZ37" s="2">
        <f t="shared" ref="DZ37:DZ51" si="254">DN37*2</f>
        <v>1.705796980843167</v>
      </c>
      <c r="EA37" s="2">
        <f t="shared" ref="EA37:EA51" si="255">DO37*2</f>
        <v>1.1457171476867213E-2</v>
      </c>
      <c r="EB37" s="2">
        <f t="shared" ref="EB37:EB51" si="256">DP37*3</f>
        <v>0.21455346151895621</v>
      </c>
      <c r="EC37" s="2">
        <f t="shared" ref="EC37:EC51" si="257">DQ37*3</f>
        <v>1.3494613433059719E-2</v>
      </c>
      <c r="ED37" s="2">
        <f t="shared" ref="ED37:ED51" si="258">DR37</f>
        <v>4.9351024441846227E-2</v>
      </c>
      <c r="EE37" s="2">
        <f t="shared" ref="EE37:EE51" si="259">DS37</f>
        <v>1.4120284401471755E-3</v>
      </c>
      <c r="EF37" s="2">
        <f t="shared" ref="EF37:EF51" si="260">DT37</f>
        <v>0.39210779327113932</v>
      </c>
      <c r="EG37" s="2">
        <f t="shared" ref="EG37:EG51" si="261">DU37</f>
        <v>0.34491547336697753</v>
      </c>
      <c r="EH37" s="2">
        <f t="shared" ref="EH37:EH51" si="262">DV37</f>
        <v>1.9322474808608978E-2</v>
      </c>
      <c r="EI37" s="2">
        <f t="shared" ref="EI37:EI51" si="263">DW37</f>
        <v>2.8608024153994456E-5</v>
      </c>
      <c r="EJ37" s="2">
        <f t="shared" ref="EJ37:EJ51" si="264">DX37</f>
        <v>8.0524256818632152E-4</v>
      </c>
      <c r="EL37" s="16">
        <f t="shared" ref="EL37:EL51" si="265">SUM(DZ37:EJ37)</f>
        <v>2.7532448721931098</v>
      </c>
      <c r="EN37" s="14">
        <f t="shared" ref="EN37:EN51" si="266">6/EL37</f>
        <v>2.179246771908331</v>
      </c>
      <c r="EP37" s="16">
        <f t="shared" ref="EP37:EP63" si="267">DN37*$EN37</f>
        <v>1.8586762820167244</v>
      </c>
      <c r="EQ37" s="16">
        <f t="shared" ref="EQ37:EQ63" si="268">DO37*$EN37</f>
        <v>1.2484001978081539E-2</v>
      </c>
      <c r="ER37" s="16">
        <f t="shared" ref="ER37:ER63" si="269">2*DP37*$EN37</f>
        <v>0.31170995894462911</v>
      </c>
      <c r="ES37" s="16">
        <f t="shared" ref="ES37:ES63" si="270">2*DQ37*$EN37</f>
        <v>1.9605395174764128E-2</v>
      </c>
      <c r="ET37" s="16">
        <f t="shared" ref="ET37:ET63" si="271">DR37*$EN37</f>
        <v>0.10754806070526253</v>
      </c>
      <c r="EU37" s="16">
        <f t="shared" ref="EU37:EU63" si="272">DS37*$EN37</f>
        <v>3.0771584200334884E-3</v>
      </c>
      <c r="EV37" s="16">
        <f t="shared" ref="EV37:EV63" si="273">DT37*$EN37</f>
        <v>0.85449964272622958</v>
      </c>
      <c r="EW37" s="16">
        <f t="shared" ref="EW37:EW63" si="274">DU37*$EN37</f>
        <v>0.75165593191621971</v>
      </c>
      <c r="EX37" s="16">
        <f t="shared" ref="EX37:EX63" si="275">2*DV37*$EN37</f>
        <v>8.4216881703882321E-2</v>
      </c>
      <c r="EY37" s="16">
        <f t="shared" ref="EY37:EY63" si="276">2*DW37*$EN37</f>
        <v>1.2468788857653595E-4</v>
      </c>
      <c r="EZ37" s="16">
        <f t="shared" ref="EZ37:EZ56" si="277">DX37*$EN37</f>
        <v>1.7548222673232153E-3</v>
      </c>
      <c r="FB37" s="14">
        <f t="shared" si="40"/>
        <v>-6.633226697924294</v>
      </c>
      <c r="FC37" s="4">
        <f t="shared" si="41"/>
        <v>3.263570972738111</v>
      </c>
      <c r="FD37" s="4">
        <f t="shared" si="42"/>
        <v>3.4563038357826721</v>
      </c>
      <c r="FE37" s="4">
        <f t="shared" si="43"/>
        <v>3.4563038357826721</v>
      </c>
      <c r="FG37" s="4">
        <f t="shared" si="44"/>
        <v>4.2514428908389919</v>
      </c>
    </row>
    <row r="38" spans="1:163" x14ac:dyDescent="0.2">
      <c r="A38" s="24" t="s">
        <v>153</v>
      </c>
      <c r="B38" s="60" t="s">
        <v>166</v>
      </c>
      <c r="C38" s="138">
        <v>40.880625000000002</v>
      </c>
      <c r="D38" s="98"/>
      <c r="E38" s="148">
        <f t="shared" si="203"/>
        <v>2.9604616665663046E-2</v>
      </c>
      <c r="F38" s="138">
        <v>1.5000000000000001E-2</v>
      </c>
      <c r="G38" s="138">
        <v>9.8450000000000006</v>
      </c>
      <c r="H38" s="138">
        <v>0.14187500000000003</v>
      </c>
      <c r="I38" s="138">
        <v>48.696250000000006</v>
      </c>
      <c r="J38" s="150">
        <f t="shared" si="204"/>
        <v>3.7720288610771618E-2</v>
      </c>
      <c r="K38" s="98"/>
      <c r="L38" s="98"/>
      <c r="M38" s="138">
        <v>0.354375</v>
      </c>
      <c r="N38" s="141">
        <v>156.68422541064348</v>
      </c>
      <c r="O38" s="142">
        <v>269.58534282192431</v>
      </c>
      <c r="P38" s="11"/>
      <c r="Q38" s="140">
        <v>51.30318333333333</v>
      </c>
      <c r="R38" s="140">
        <v>0.46584366666666671</v>
      </c>
      <c r="S38" s="140">
        <v>7.3633300000000004</v>
      </c>
      <c r="T38" s="140">
        <v>0.71747716666666672</v>
      </c>
      <c r="U38" s="140">
        <v>3.3163458333333331</v>
      </c>
      <c r="V38" s="140">
        <v>9.5531499999999978E-2</v>
      </c>
      <c r="W38" s="140">
        <v>15.753016666666666</v>
      </c>
      <c r="X38" s="140">
        <v>19.343866666666663</v>
      </c>
      <c r="Y38" s="140">
        <v>1.2868599999999999</v>
      </c>
      <c r="Z38" s="100">
        <v>1.5911666666666667E-3</v>
      </c>
      <c r="AA38" s="140">
        <v>5.6188166666666678E-2</v>
      </c>
      <c r="AC38" s="139">
        <v>58.104999999999997</v>
      </c>
      <c r="AD38" s="139">
        <v>9.0250000000000004</v>
      </c>
      <c r="AE38" s="11"/>
      <c r="AF38" s="83">
        <f t="shared" si="205"/>
        <v>9.4363717553728521E-2</v>
      </c>
      <c r="AG38" s="22">
        <f t="shared" si="0"/>
        <v>5.095020508676198E-4</v>
      </c>
      <c r="AH38" s="126">
        <f t="shared" si="206"/>
        <v>1067.5651805163236</v>
      </c>
      <c r="AI38" s="126">
        <f t="shared" si="201"/>
        <v>1067.4148603356025</v>
      </c>
      <c r="AJ38" s="126">
        <f t="shared" si="202"/>
        <v>0.15032018072110986</v>
      </c>
      <c r="AK38" s="12"/>
      <c r="AL38" s="25">
        <f t="shared" si="207"/>
        <v>3.3436864055382749</v>
      </c>
      <c r="AN38" s="2">
        <v>15.999000000000001</v>
      </c>
      <c r="AO38" s="2">
        <v>28.085000000000001</v>
      </c>
      <c r="AP38" s="2">
        <v>47.866999999999997</v>
      </c>
      <c r="AQ38" s="2">
        <v>26.9815386</v>
      </c>
      <c r="AR38" s="2">
        <v>51.996099999999998</v>
      </c>
      <c r="AS38" s="2">
        <v>55.844999999999999</v>
      </c>
      <c r="AT38" s="2">
        <v>54.938045000000002</v>
      </c>
      <c r="AU38" s="2">
        <v>24.305</v>
      </c>
      <c r="AV38" s="2">
        <v>40.078000000000003</v>
      </c>
      <c r="AW38" s="2">
        <v>22.989769280000001</v>
      </c>
      <c r="AX38" s="2">
        <v>39.098300000000002</v>
      </c>
      <c r="AY38" s="2">
        <v>58.693399999999997</v>
      </c>
      <c r="BA38" s="2">
        <f t="shared" si="208"/>
        <v>60.082999999999998</v>
      </c>
      <c r="BB38" s="2">
        <f t="shared" si="209"/>
        <v>79.864999999999995</v>
      </c>
      <c r="BC38" s="2">
        <f t="shared" si="210"/>
        <v>101.9600772</v>
      </c>
      <c r="BD38" s="2">
        <f t="shared" si="211"/>
        <v>151.98919999999998</v>
      </c>
      <c r="BE38" s="2">
        <f t="shared" si="212"/>
        <v>71.843999999999994</v>
      </c>
      <c r="BF38" s="2">
        <f t="shared" si="213"/>
        <v>70.937044999999998</v>
      </c>
      <c r="BG38" s="2">
        <f t="shared" si="214"/>
        <v>40.304000000000002</v>
      </c>
      <c r="BH38" s="2">
        <f t="shared" si="215"/>
        <v>56.077000000000005</v>
      </c>
      <c r="BI38" s="2">
        <f t="shared" si="216"/>
        <v>61.978538560000004</v>
      </c>
      <c r="BJ38" s="2">
        <f t="shared" si="217"/>
        <v>94.195599999999999</v>
      </c>
      <c r="BK38" s="2">
        <f t="shared" si="218"/>
        <v>74.692399999999992</v>
      </c>
      <c r="BM38" s="2">
        <f t="shared" si="3"/>
        <v>0.68040252650500144</v>
      </c>
      <c r="BN38" s="2">
        <f t="shared" si="4"/>
        <v>0</v>
      </c>
      <c r="BO38" s="2">
        <f t="shared" si="5"/>
        <v>2.9035498480049256E-4</v>
      </c>
      <c r="BP38" s="2">
        <f t="shared" si="6"/>
        <v>9.8691222797409313E-5</v>
      </c>
      <c r="BQ38" s="2">
        <f t="shared" si="7"/>
        <v>0.13703301597906578</v>
      </c>
      <c r="BR38" s="2">
        <f t="shared" si="8"/>
        <v>2.000012828276115E-3</v>
      </c>
      <c r="BS38" s="2">
        <f t="shared" si="9"/>
        <v>1.2082237495037715</v>
      </c>
      <c r="BT38" s="2">
        <f t="shared" si="10"/>
        <v>6.7265168626659089E-4</v>
      </c>
      <c r="BU38" s="2">
        <f t="shared" si="11"/>
        <v>0</v>
      </c>
      <c r="BV38" s="2">
        <f t="shared" si="12"/>
        <v>0</v>
      </c>
      <c r="BW38" s="2">
        <f t="shared" si="13"/>
        <v>4.7444586062303533E-3</v>
      </c>
      <c r="BY38" s="2">
        <f t="shared" si="219"/>
        <v>0.68040252650500144</v>
      </c>
      <c r="BZ38" s="2">
        <f t="shared" si="220"/>
        <v>0</v>
      </c>
      <c r="CA38" s="2">
        <f t="shared" si="221"/>
        <v>5.8070996960098511E-4</v>
      </c>
      <c r="CB38" s="2">
        <f t="shared" si="222"/>
        <v>1.9738244559481863E-4</v>
      </c>
      <c r="CC38" s="2">
        <f t="shared" si="223"/>
        <v>0.13703301597906578</v>
      </c>
      <c r="CD38" s="2">
        <f t="shared" si="224"/>
        <v>2.000012828276115E-3</v>
      </c>
      <c r="CE38" s="2">
        <f t="shared" si="225"/>
        <v>1.2082237495037715</v>
      </c>
      <c r="CF38" s="2">
        <f t="shared" si="226"/>
        <v>6.7265168626659089E-4</v>
      </c>
      <c r="CG38" s="2">
        <f t="shared" si="227"/>
        <v>0</v>
      </c>
      <c r="CH38" s="2">
        <f t="shared" si="228"/>
        <v>0</v>
      </c>
      <c r="CI38" s="2">
        <f t="shared" si="229"/>
        <v>4.7444586062303533E-3</v>
      </c>
      <c r="CK38" s="2">
        <f t="shared" si="230"/>
        <v>1.3608050530100029</v>
      </c>
      <c r="CL38" s="2">
        <f t="shared" si="231"/>
        <v>0</v>
      </c>
      <c r="CM38" s="2">
        <f t="shared" si="232"/>
        <v>8.7106495440147772E-4</v>
      </c>
      <c r="CN38" s="2">
        <f t="shared" si="233"/>
        <v>2.9607366839222795E-4</v>
      </c>
      <c r="CO38" s="2">
        <f t="shared" si="234"/>
        <v>0.13703301597906578</v>
      </c>
      <c r="CP38" s="2">
        <f t="shared" si="235"/>
        <v>2.000012828276115E-3</v>
      </c>
      <c r="CQ38" s="2">
        <f t="shared" si="236"/>
        <v>1.2082237495037715</v>
      </c>
      <c r="CR38" s="2">
        <f t="shared" si="237"/>
        <v>6.7265168626659089E-4</v>
      </c>
      <c r="CS38" s="2">
        <f t="shared" si="238"/>
        <v>0</v>
      </c>
      <c r="CT38" s="2">
        <f t="shared" si="239"/>
        <v>0</v>
      </c>
      <c r="CU38" s="2">
        <f t="shared" si="240"/>
        <v>4.7444586062303533E-3</v>
      </c>
      <c r="CW38" s="14">
        <f t="shared" si="241"/>
        <v>2.714646080236407</v>
      </c>
      <c r="CY38" s="14">
        <f t="shared" si="242"/>
        <v>1.4734885807477551</v>
      </c>
      <c r="DA38" s="16">
        <f t="shared" si="243"/>
        <v>1.0025653531170413</v>
      </c>
      <c r="DB38" s="16">
        <f t="shared" si="244"/>
        <v>0</v>
      </c>
      <c r="DC38" s="16">
        <f t="shared" si="245"/>
        <v>8.5566950893342761E-4</v>
      </c>
      <c r="DD38" s="16">
        <f t="shared" si="246"/>
        <v>2.9084077962403026E-4</v>
      </c>
      <c r="DE38" s="16">
        <f t="shared" si="247"/>
        <v>0.20191658423057809</v>
      </c>
      <c r="DF38" s="16">
        <f t="shared" si="248"/>
        <v>2.9469960638138764E-3</v>
      </c>
      <c r="DG38" s="16">
        <f t="shared" si="249"/>
        <v>1.7803038978820436</v>
      </c>
      <c r="DH38" s="16">
        <f t="shared" si="250"/>
        <v>9.911445785345432E-4</v>
      </c>
      <c r="DI38" s="16">
        <f t="shared" si="251"/>
        <v>0</v>
      </c>
      <c r="DJ38" s="16">
        <f t="shared" si="252"/>
        <v>0</v>
      </c>
      <c r="DK38" s="16">
        <f t="shared" si="253"/>
        <v>6.9909055781108356E-3</v>
      </c>
      <c r="DL38" s="16">
        <f t="shared" si="22"/>
        <v>0.8981361629280622</v>
      </c>
      <c r="DN38" s="2">
        <f t="shared" si="23"/>
        <v>0.85387186614072752</v>
      </c>
      <c r="DO38" s="2">
        <f t="shared" si="24"/>
        <v>5.8328888332394259E-3</v>
      </c>
      <c r="DP38" s="2">
        <f t="shared" si="25"/>
        <v>7.2217775841385889E-2</v>
      </c>
      <c r="DQ38" s="2">
        <f t="shared" si="26"/>
        <v>4.720579927170265E-3</v>
      </c>
      <c r="DR38" s="2">
        <f t="shared" si="27"/>
        <v>4.6160372937661232E-2</v>
      </c>
      <c r="DS38" s="2">
        <f t="shared" si="28"/>
        <v>1.3467081973882614E-3</v>
      </c>
      <c r="DT38" s="2">
        <f t="shared" si="29"/>
        <v>0.39085491928013755</v>
      </c>
      <c r="DU38" s="2">
        <f t="shared" si="30"/>
        <v>0.34495188163893686</v>
      </c>
      <c r="DV38" s="2">
        <f t="shared" si="31"/>
        <v>2.0762993608734744E-2</v>
      </c>
      <c r="DW38" s="2">
        <f t="shared" si="32"/>
        <v>1.6892154906032412E-5</v>
      </c>
      <c r="DX38" s="2">
        <f t="shared" si="33"/>
        <v>7.5226082796464816E-4</v>
      </c>
      <c r="DZ38" s="2">
        <f t="shared" si="254"/>
        <v>1.707743732281455</v>
      </c>
      <c r="EA38" s="2">
        <f t="shared" si="255"/>
        <v>1.1665777666478852E-2</v>
      </c>
      <c r="EB38" s="2">
        <f t="shared" si="256"/>
        <v>0.21665332752415767</v>
      </c>
      <c r="EC38" s="2">
        <f t="shared" si="257"/>
        <v>1.4161739781510795E-2</v>
      </c>
      <c r="ED38" s="2">
        <f t="shared" si="258"/>
        <v>4.6160372937661232E-2</v>
      </c>
      <c r="EE38" s="2">
        <f t="shared" si="259"/>
        <v>1.3467081973882614E-3</v>
      </c>
      <c r="EF38" s="2">
        <f t="shared" si="260"/>
        <v>0.39085491928013755</v>
      </c>
      <c r="EG38" s="2">
        <f t="shared" si="261"/>
        <v>0.34495188163893686</v>
      </c>
      <c r="EH38" s="2">
        <f t="shared" si="262"/>
        <v>2.0762993608734744E-2</v>
      </c>
      <c r="EI38" s="2">
        <f t="shared" si="263"/>
        <v>1.6892154906032412E-5</v>
      </c>
      <c r="EJ38" s="2">
        <f t="shared" si="264"/>
        <v>7.5226082796464816E-4</v>
      </c>
      <c r="EL38" s="16">
        <f t="shared" si="265"/>
        <v>2.7550706058993319</v>
      </c>
      <c r="EN38" s="14">
        <f t="shared" si="266"/>
        <v>2.1778026258755108</v>
      </c>
      <c r="EP38" s="16">
        <f t="shared" si="267"/>
        <v>1.8595643922424989</v>
      </c>
      <c r="EQ38" s="16">
        <f t="shared" si="268"/>
        <v>1.2702880617468765E-2</v>
      </c>
      <c r="ER38" s="16">
        <f t="shared" si="269"/>
        <v>0.31455212372451841</v>
      </c>
      <c r="ES38" s="16">
        <f t="shared" si="270"/>
        <v>2.0560982722093262E-2</v>
      </c>
      <c r="ET38" s="16">
        <f t="shared" si="271"/>
        <v>0.1005281813950315</v>
      </c>
      <c r="EU38" s="16">
        <f t="shared" si="272"/>
        <v>2.9328646485602314E-3</v>
      </c>
      <c r="EV38" s="16">
        <f t="shared" si="273"/>
        <v>0.85120486954464436</v>
      </c>
      <c r="EW38" s="16">
        <f t="shared" si="274"/>
        <v>0.75123711363397505</v>
      </c>
      <c r="EX38" s="16">
        <f t="shared" si="275"/>
        <v>9.043540400427795E-2</v>
      </c>
      <c r="EY38" s="16">
        <f t="shared" si="276"/>
        <v>7.3575558622106552E-5</v>
      </c>
      <c r="EZ38" s="16">
        <f t="shared" si="277"/>
        <v>1.6382756064846967E-3</v>
      </c>
      <c r="FB38" s="14">
        <f t="shared" si="40"/>
        <v>-6.6306161962043708</v>
      </c>
      <c r="FC38" s="4">
        <f t="shared" si="41"/>
        <v>3.1071414584752657</v>
      </c>
      <c r="FD38" s="4">
        <f t="shared" si="42"/>
        <v>3.3436864055382749</v>
      </c>
      <c r="FE38" s="4">
        <f t="shared" si="43"/>
        <v>3.3436864055382749</v>
      </c>
      <c r="FG38" s="4">
        <f t="shared" si="44"/>
        <v>4.0735838674841158</v>
      </c>
    </row>
    <row r="39" spans="1:163" x14ac:dyDescent="0.2">
      <c r="A39" s="24" t="s">
        <v>154</v>
      </c>
      <c r="B39" s="60" t="s">
        <v>166</v>
      </c>
      <c r="C39" s="138">
        <v>40.832500000000003</v>
      </c>
      <c r="D39" s="98"/>
      <c r="E39" s="148">
        <f t="shared" si="203"/>
        <v>2.5221521067947693E-2</v>
      </c>
      <c r="F39" s="138">
        <v>1.8749999999999999E-2</v>
      </c>
      <c r="G39" s="138">
        <v>9.5287500000000005</v>
      </c>
      <c r="H39" s="138">
        <v>0.13250000000000001</v>
      </c>
      <c r="I39" s="138">
        <v>48.79375000000001</v>
      </c>
      <c r="J39" s="150">
        <f t="shared" si="204"/>
        <v>3.9169486321856399E-2</v>
      </c>
      <c r="K39" s="98"/>
      <c r="L39" s="98"/>
      <c r="M39" s="138">
        <v>0.37124999999999997</v>
      </c>
      <c r="N39" s="141">
        <v>133.48642668942671</v>
      </c>
      <c r="O39" s="142">
        <v>279.94269893313856</v>
      </c>
      <c r="P39" s="11"/>
      <c r="Q39" s="140">
        <v>51.869775000000004</v>
      </c>
      <c r="R39" s="140">
        <v>0.30695825000000004</v>
      </c>
      <c r="S39" s="140">
        <v>6.1350212500000003</v>
      </c>
      <c r="T39" s="140">
        <v>1.13788125</v>
      </c>
      <c r="U39" s="140">
        <v>3.1121425000000005</v>
      </c>
      <c r="V39" s="140">
        <v>9.3580999999999998E-2</v>
      </c>
      <c r="W39" s="140">
        <v>16.138124999999999</v>
      </c>
      <c r="X39" s="140">
        <v>19.734400000000001</v>
      </c>
      <c r="Y39" s="140">
        <v>1.1768062500000001</v>
      </c>
      <c r="Z39" s="100">
        <v>1.4219999999999999E-3</v>
      </c>
      <c r="AA39" s="140">
        <v>5.0549625000000001E-2</v>
      </c>
      <c r="AC39" s="139">
        <v>49.072857142857139</v>
      </c>
      <c r="AD39" s="139">
        <v>18.022857142857141</v>
      </c>
      <c r="AE39" s="11"/>
      <c r="AF39" s="83">
        <f t="shared" si="205"/>
        <v>0.19767441455553736</v>
      </c>
      <c r="AG39" s="22">
        <f t="shared" si="0"/>
        <v>5.139607215965587E-4</v>
      </c>
      <c r="AH39" s="126">
        <f t="shared" si="206"/>
        <v>1052.7234276225986</v>
      </c>
      <c r="AI39" s="126">
        <f t="shared" si="201"/>
        <v>1052.5731164381057</v>
      </c>
      <c r="AJ39" s="126">
        <f t="shared" si="202"/>
        <v>0.1503111844929208</v>
      </c>
      <c r="AK39" s="12"/>
      <c r="AL39" s="25">
        <f t="shared" si="207"/>
        <v>3.0978074387277141</v>
      </c>
      <c r="AN39" s="2">
        <v>15.999000000000001</v>
      </c>
      <c r="AO39" s="2">
        <v>28.085000000000001</v>
      </c>
      <c r="AP39" s="2">
        <v>47.866999999999997</v>
      </c>
      <c r="AQ39" s="2">
        <v>26.9815386</v>
      </c>
      <c r="AR39" s="2">
        <v>51.996099999999998</v>
      </c>
      <c r="AS39" s="2">
        <v>55.844999999999999</v>
      </c>
      <c r="AT39" s="2">
        <v>54.938045000000002</v>
      </c>
      <c r="AU39" s="2">
        <v>24.305</v>
      </c>
      <c r="AV39" s="2">
        <v>40.078000000000003</v>
      </c>
      <c r="AW39" s="2">
        <v>22.989769280000001</v>
      </c>
      <c r="AX39" s="2">
        <v>39.098300000000002</v>
      </c>
      <c r="AY39" s="2">
        <v>58.693399999999997</v>
      </c>
      <c r="BA39" s="2">
        <f t="shared" si="208"/>
        <v>60.082999999999998</v>
      </c>
      <c r="BB39" s="2">
        <f t="shared" si="209"/>
        <v>79.864999999999995</v>
      </c>
      <c r="BC39" s="2">
        <f t="shared" si="210"/>
        <v>101.9600772</v>
      </c>
      <c r="BD39" s="2">
        <f t="shared" si="211"/>
        <v>151.98919999999998</v>
      </c>
      <c r="BE39" s="2">
        <f t="shared" si="212"/>
        <v>71.843999999999994</v>
      </c>
      <c r="BF39" s="2">
        <f t="shared" si="213"/>
        <v>70.937044999999998</v>
      </c>
      <c r="BG39" s="2">
        <f t="shared" si="214"/>
        <v>40.304000000000002</v>
      </c>
      <c r="BH39" s="2">
        <f t="shared" si="215"/>
        <v>56.077000000000005</v>
      </c>
      <c r="BI39" s="2">
        <f t="shared" si="216"/>
        <v>61.978538560000004</v>
      </c>
      <c r="BJ39" s="2">
        <f t="shared" si="217"/>
        <v>94.195599999999999</v>
      </c>
      <c r="BK39" s="2">
        <f t="shared" si="218"/>
        <v>74.692399999999992</v>
      </c>
      <c r="BM39" s="2">
        <f t="shared" si="3"/>
        <v>0.67960155118752397</v>
      </c>
      <c r="BN39" s="2">
        <f t="shared" si="4"/>
        <v>0</v>
      </c>
      <c r="BO39" s="2">
        <f t="shared" si="5"/>
        <v>2.473666336920711E-4</v>
      </c>
      <c r="BP39" s="2">
        <f t="shared" si="6"/>
        <v>1.2336402849676161E-4</v>
      </c>
      <c r="BQ39" s="2">
        <f t="shared" si="7"/>
        <v>0.13263111742107903</v>
      </c>
      <c r="BR39" s="2">
        <f t="shared" si="8"/>
        <v>1.8678533902843008E-3</v>
      </c>
      <c r="BS39" s="2">
        <f t="shared" si="9"/>
        <v>1.2106428642318383</v>
      </c>
      <c r="BT39" s="2">
        <f t="shared" si="10"/>
        <v>6.9849468270157813E-4</v>
      </c>
      <c r="BU39" s="2">
        <f t="shared" si="11"/>
        <v>0</v>
      </c>
      <c r="BV39" s="2">
        <f t="shared" si="12"/>
        <v>0</v>
      </c>
      <c r="BW39" s="2">
        <f t="shared" si="13"/>
        <v>4.9703852065270367E-3</v>
      </c>
      <c r="BY39" s="2">
        <f t="shared" si="219"/>
        <v>0.67960155118752397</v>
      </c>
      <c r="BZ39" s="2">
        <f t="shared" si="220"/>
        <v>0</v>
      </c>
      <c r="CA39" s="2">
        <f t="shared" si="221"/>
        <v>4.9473326738414219E-4</v>
      </c>
      <c r="CB39" s="2">
        <f t="shared" si="222"/>
        <v>2.4672805699352322E-4</v>
      </c>
      <c r="CC39" s="2">
        <f t="shared" si="223"/>
        <v>0.13263111742107903</v>
      </c>
      <c r="CD39" s="2">
        <f t="shared" si="224"/>
        <v>1.8678533902843008E-3</v>
      </c>
      <c r="CE39" s="2">
        <f t="shared" si="225"/>
        <v>1.2106428642318383</v>
      </c>
      <c r="CF39" s="2">
        <f t="shared" si="226"/>
        <v>6.9849468270157813E-4</v>
      </c>
      <c r="CG39" s="2">
        <f t="shared" si="227"/>
        <v>0</v>
      </c>
      <c r="CH39" s="2">
        <f t="shared" si="228"/>
        <v>0</v>
      </c>
      <c r="CI39" s="2">
        <f t="shared" si="229"/>
        <v>4.9703852065270367E-3</v>
      </c>
      <c r="CK39" s="2">
        <f t="shared" si="230"/>
        <v>1.3592031023750479</v>
      </c>
      <c r="CL39" s="2">
        <f t="shared" si="231"/>
        <v>0</v>
      </c>
      <c r="CM39" s="2">
        <f t="shared" si="232"/>
        <v>7.4209990107621329E-4</v>
      </c>
      <c r="CN39" s="2">
        <f t="shared" si="233"/>
        <v>3.7009208549028481E-4</v>
      </c>
      <c r="CO39" s="2">
        <f t="shared" si="234"/>
        <v>0.13263111742107903</v>
      </c>
      <c r="CP39" s="2">
        <f t="shared" si="235"/>
        <v>1.8678533902843008E-3</v>
      </c>
      <c r="CQ39" s="2">
        <f t="shared" si="236"/>
        <v>1.2106428642318383</v>
      </c>
      <c r="CR39" s="2">
        <f t="shared" si="237"/>
        <v>6.9849468270157813E-4</v>
      </c>
      <c r="CS39" s="2">
        <f t="shared" si="238"/>
        <v>0</v>
      </c>
      <c r="CT39" s="2">
        <f t="shared" si="239"/>
        <v>0</v>
      </c>
      <c r="CU39" s="2">
        <f t="shared" si="240"/>
        <v>4.9703852065270367E-3</v>
      </c>
      <c r="CW39" s="14">
        <f t="shared" si="241"/>
        <v>2.7111260092940448</v>
      </c>
      <c r="CY39" s="14">
        <f t="shared" si="242"/>
        <v>1.4754017283916536</v>
      </c>
      <c r="DA39" s="16">
        <f t="shared" si="243"/>
        <v>1.0026853032397218</v>
      </c>
      <c r="DB39" s="16">
        <f t="shared" si="244"/>
        <v>0</v>
      </c>
      <c r="DC39" s="16">
        <f t="shared" si="245"/>
        <v>7.2993031779141346E-4</v>
      </c>
      <c r="DD39" s="16">
        <f t="shared" si="246"/>
        <v>3.6402300173095858E-4</v>
      </c>
      <c r="DE39" s="16">
        <f t="shared" si="247"/>
        <v>0.19568417988157635</v>
      </c>
      <c r="DF39" s="16">
        <f t="shared" si="248"/>
        <v>2.7558341204076673E-3</v>
      </c>
      <c r="DG39" s="16">
        <f t="shared" si="249"/>
        <v>1.7861845743526763</v>
      </c>
      <c r="DH39" s="16">
        <f t="shared" si="250"/>
        <v>1.030560262130288E-3</v>
      </c>
      <c r="DI39" s="16">
        <f t="shared" si="251"/>
        <v>0</v>
      </c>
      <c r="DJ39" s="16">
        <f t="shared" si="252"/>
        <v>0</v>
      </c>
      <c r="DK39" s="16">
        <f t="shared" si="253"/>
        <v>7.3333149244822959E-3</v>
      </c>
      <c r="DL39" s="16">
        <f t="shared" si="22"/>
        <v>0.90126279580143842</v>
      </c>
      <c r="DN39" s="2">
        <f t="shared" si="23"/>
        <v>0.86330201554516262</v>
      </c>
      <c r="DO39" s="2">
        <f t="shared" si="24"/>
        <v>3.8434639704501353E-3</v>
      </c>
      <c r="DP39" s="2">
        <f t="shared" si="25"/>
        <v>6.0170818015033829E-2</v>
      </c>
      <c r="DQ39" s="2">
        <f t="shared" si="26"/>
        <v>7.4865927973829724E-3</v>
      </c>
      <c r="DR39" s="2">
        <f t="shared" si="27"/>
        <v>4.3318057179444362E-2</v>
      </c>
      <c r="DS39" s="2">
        <f t="shared" si="28"/>
        <v>1.3192119857826049E-3</v>
      </c>
      <c r="DT39" s="2">
        <f t="shared" si="29"/>
        <v>0.40041000893211587</v>
      </c>
      <c r="DU39" s="2">
        <f t="shared" si="30"/>
        <v>0.35191611534140554</v>
      </c>
      <c r="DV39" s="2">
        <f t="shared" si="31"/>
        <v>1.8987318470905228E-2</v>
      </c>
      <c r="DW39" s="2">
        <f t="shared" si="32"/>
        <v>1.5096246533808372E-5</v>
      </c>
      <c r="DX39" s="2">
        <f t="shared" si="33"/>
        <v>6.7677066207539195E-4</v>
      </c>
      <c r="DZ39" s="2">
        <f t="shared" si="254"/>
        <v>1.7266040310903252</v>
      </c>
      <c r="EA39" s="2">
        <f t="shared" si="255"/>
        <v>7.6869279409002705E-3</v>
      </c>
      <c r="EB39" s="2">
        <f t="shared" si="256"/>
        <v>0.18051245404510149</v>
      </c>
      <c r="EC39" s="2">
        <f t="shared" si="257"/>
        <v>2.2459778392148917E-2</v>
      </c>
      <c r="ED39" s="2">
        <f t="shared" si="258"/>
        <v>4.3318057179444362E-2</v>
      </c>
      <c r="EE39" s="2">
        <f t="shared" si="259"/>
        <v>1.3192119857826049E-3</v>
      </c>
      <c r="EF39" s="2">
        <f t="shared" si="260"/>
        <v>0.40041000893211587</v>
      </c>
      <c r="EG39" s="2">
        <f t="shared" si="261"/>
        <v>0.35191611534140554</v>
      </c>
      <c r="EH39" s="2">
        <f t="shared" si="262"/>
        <v>1.8987318470905228E-2</v>
      </c>
      <c r="EI39" s="2">
        <f t="shared" si="263"/>
        <v>1.5096246533808372E-5</v>
      </c>
      <c r="EJ39" s="2">
        <f t="shared" si="264"/>
        <v>6.7677066207539195E-4</v>
      </c>
      <c r="EL39" s="16">
        <f t="shared" si="265"/>
        <v>2.7539057702867384</v>
      </c>
      <c r="EN39" s="14">
        <f t="shared" si="266"/>
        <v>2.1787237837753888</v>
      </c>
      <c r="EP39" s="16">
        <f t="shared" si="267"/>
        <v>1.8808966338494761</v>
      </c>
      <c r="EQ39" s="16">
        <f t="shared" si="268"/>
        <v>8.3738463645034976E-3</v>
      </c>
      <c r="ER39" s="16">
        <f t="shared" si="269"/>
        <v>0.26219118459714968</v>
      </c>
      <c r="ES39" s="16">
        <f t="shared" si="270"/>
        <v>3.2622435574199603E-2</v>
      </c>
      <c r="ET39" s="16">
        <f t="shared" si="271"/>
        <v>9.4378081443797668E-2</v>
      </c>
      <c r="EU39" s="16">
        <f t="shared" si="272"/>
        <v>2.8741985292661215E-3</v>
      </c>
      <c r="EV39" s="16">
        <f t="shared" si="273"/>
        <v>0.87238280972211668</v>
      </c>
      <c r="EW39" s="16">
        <f t="shared" si="274"/>
        <v>0.76672801038816318</v>
      </c>
      <c r="EX39" s="16">
        <f t="shared" si="275"/>
        <v>8.2736244685357938E-2</v>
      </c>
      <c r="EY39" s="16">
        <f t="shared" si="276"/>
        <v>6.5781102737890148E-5</v>
      </c>
      <c r="EZ39" s="16">
        <f t="shared" si="277"/>
        <v>1.4744963376250729E-3</v>
      </c>
      <c r="FB39" s="14">
        <f t="shared" si="40"/>
        <v>-6.6120295254244512</v>
      </c>
      <c r="FC39" s="4">
        <f t="shared" si="41"/>
        <v>2.792854127589159</v>
      </c>
      <c r="FD39" s="4">
        <f t="shared" si="42"/>
        <v>3.0978074387277141</v>
      </c>
      <c r="FE39" s="4">
        <f t="shared" si="43"/>
        <v>3.0978074387277141</v>
      </c>
      <c r="FG39" s="4">
        <f t="shared" si="44"/>
        <v>3.6968754568940816</v>
      </c>
    </row>
    <row r="40" spans="1:163" x14ac:dyDescent="0.2">
      <c r="A40" s="24" t="s">
        <v>155</v>
      </c>
      <c r="B40" s="60" t="s">
        <v>165</v>
      </c>
      <c r="C40" s="138">
        <v>40.69166666666667</v>
      </c>
      <c r="D40" s="98">
        <v>3.3333333333333335E-3</v>
      </c>
      <c r="E40" s="148">
        <f t="shared" si="203"/>
        <v>3.974564153758911E-2</v>
      </c>
      <c r="F40" s="138">
        <v>1.8333333333333337E-2</v>
      </c>
      <c r="G40" s="138">
        <v>10.351666666666667</v>
      </c>
      <c r="H40" s="138">
        <v>0.14166666666666669</v>
      </c>
      <c r="I40" s="138">
        <v>48.18</v>
      </c>
      <c r="J40" s="150">
        <f t="shared" si="204"/>
        <v>4.4114862006146761E-2</v>
      </c>
      <c r="K40" s="98"/>
      <c r="L40" s="98"/>
      <c r="M40" s="138">
        <v>0.3683333333333334</v>
      </c>
      <c r="N40" s="141">
        <v>210.35621329254496</v>
      </c>
      <c r="O40" s="142">
        <v>315.28709443842399</v>
      </c>
      <c r="P40" s="11"/>
      <c r="Q40" s="140">
        <v>51.37764285714286</v>
      </c>
      <c r="R40" s="140">
        <v>0.33323585714285714</v>
      </c>
      <c r="S40" s="140">
        <v>6.4625157142857139</v>
      </c>
      <c r="T40" s="140">
        <v>0.93591514285714283</v>
      </c>
      <c r="U40" s="140">
        <v>3.4999214285714286</v>
      </c>
      <c r="V40" s="140">
        <v>9.836614285714286E-2</v>
      </c>
      <c r="W40" s="140">
        <v>16.169228571428572</v>
      </c>
      <c r="X40" s="140">
        <v>19.574057142857146</v>
      </c>
      <c r="Y40" s="140">
        <v>0.98312014285714278</v>
      </c>
      <c r="Z40" s="100">
        <v>2.6635714285714283E-3</v>
      </c>
      <c r="AA40" s="140">
        <v>5.4256857142857141E-2</v>
      </c>
      <c r="AC40" s="139">
        <v>52.88000000000001</v>
      </c>
      <c r="AD40" s="139">
        <v>14.650000000000002</v>
      </c>
      <c r="AE40" s="11"/>
      <c r="AF40" s="83">
        <f t="shared" si="205"/>
        <v>0.15672337151049498</v>
      </c>
      <c r="AG40" s="22">
        <f t="shared" si="0"/>
        <v>7.516195449619725E-4</v>
      </c>
      <c r="AH40" s="126">
        <f t="shared" si="206"/>
        <v>1122.4950311087255</v>
      </c>
      <c r="AI40" s="126">
        <f t="shared" si="201"/>
        <v>1122.3441023339878</v>
      </c>
      <c r="AJ40" s="126">
        <f t="shared" si="202"/>
        <v>0.15092877473762201</v>
      </c>
      <c r="AK40" s="12"/>
      <c r="AL40" s="25">
        <f t="shared" si="207"/>
        <v>3.7480913829125617</v>
      </c>
      <c r="AN40" s="2">
        <v>15.999000000000001</v>
      </c>
      <c r="AO40" s="2">
        <v>28.085000000000001</v>
      </c>
      <c r="AP40" s="2">
        <v>47.866999999999997</v>
      </c>
      <c r="AQ40" s="2">
        <v>26.9815386</v>
      </c>
      <c r="AR40" s="2">
        <v>51.996099999999998</v>
      </c>
      <c r="AS40" s="2">
        <v>55.844999999999999</v>
      </c>
      <c r="AT40" s="2">
        <v>54.938045000000002</v>
      </c>
      <c r="AU40" s="2">
        <v>24.305</v>
      </c>
      <c r="AV40" s="2">
        <v>40.078000000000003</v>
      </c>
      <c r="AW40" s="2">
        <v>22.989769280000001</v>
      </c>
      <c r="AX40" s="2">
        <v>39.098300000000002</v>
      </c>
      <c r="AY40" s="2">
        <v>58.693399999999997</v>
      </c>
      <c r="BA40" s="2">
        <f t="shared" si="208"/>
        <v>60.082999999999998</v>
      </c>
      <c r="BB40" s="2">
        <f t="shared" si="209"/>
        <v>79.864999999999995</v>
      </c>
      <c r="BC40" s="2">
        <f t="shared" si="210"/>
        <v>101.9600772</v>
      </c>
      <c r="BD40" s="2">
        <f t="shared" si="211"/>
        <v>151.98919999999998</v>
      </c>
      <c r="BE40" s="2">
        <f t="shared" si="212"/>
        <v>71.843999999999994</v>
      </c>
      <c r="BF40" s="2">
        <f t="shared" si="213"/>
        <v>70.937044999999998</v>
      </c>
      <c r="BG40" s="2">
        <f t="shared" si="214"/>
        <v>40.304000000000002</v>
      </c>
      <c r="BH40" s="2">
        <f t="shared" si="215"/>
        <v>56.077000000000005</v>
      </c>
      <c r="BI40" s="2">
        <f t="shared" si="216"/>
        <v>61.978538560000004</v>
      </c>
      <c r="BJ40" s="2">
        <f t="shared" si="217"/>
        <v>94.195599999999999</v>
      </c>
      <c r="BK40" s="2">
        <f t="shared" si="218"/>
        <v>74.692399999999992</v>
      </c>
      <c r="BM40" s="2">
        <f t="shared" si="3"/>
        <v>0.67725757147057686</v>
      </c>
      <c r="BN40" s="2">
        <f t="shared" si="4"/>
        <v>4.1737098019574706E-5</v>
      </c>
      <c r="BO40" s="2">
        <f t="shared" si="5"/>
        <v>3.8981572620454144E-4</v>
      </c>
      <c r="BP40" s="2">
        <f t="shared" si="6"/>
        <v>1.2062260564127805E-4</v>
      </c>
      <c r="BQ40" s="2">
        <f t="shared" si="7"/>
        <v>0.14408533303639368</v>
      </c>
      <c r="BR40" s="2">
        <f t="shared" si="8"/>
        <v>1.9970759518762966E-3</v>
      </c>
      <c r="BS40" s="2">
        <f t="shared" si="9"/>
        <v>1.195414847161572</v>
      </c>
      <c r="BT40" s="2">
        <f t="shared" si="10"/>
        <v>7.8668370287545265E-4</v>
      </c>
      <c r="BU40" s="2">
        <f t="shared" si="11"/>
        <v>0</v>
      </c>
      <c r="BV40" s="2">
        <f t="shared" si="12"/>
        <v>0</v>
      </c>
      <c r="BW40" s="2">
        <f t="shared" si="13"/>
        <v>4.9313361645004503E-3</v>
      </c>
      <c r="BY40" s="2">
        <f t="shared" si="219"/>
        <v>0.67725757147057686</v>
      </c>
      <c r="BZ40" s="2">
        <f t="shared" si="220"/>
        <v>4.1737098019574706E-5</v>
      </c>
      <c r="CA40" s="2">
        <f t="shared" si="221"/>
        <v>7.7963145240908288E-4</v>
      </c>
      <c r="CB40" s="2">
        <f t="shared" si="222"/>
        <v>2.4124521128255611E-4</v>
      </c>
      <c r="CC40" s="2">
        <f t="shared" si="223"/>
        <v>0.14408533303639368</v>
      </c>
      <c r="CD40" s="2">
        <f t="shared" si="224"/>
        <v>1.9970759518762966E-3</v>
      </c>
      <c r="CE40" s="2">
        <f t="shared" si="225"/>
        <v>1.195414847161572</v>
      </c>
      <c r="CF40" s="2">
        <f t="shared" si="226"/>
        <v>7.8668370287545265E-4</v>
      </c>
      <c r="CG40" s="2">
        <f t="shared" si="227"/>
        <v>0</v>
      </c>
      <c r="CH40" s="2">
        <f t="shared" si="228"/>
        <v>0</v>
      </c>
      <c r="CI40" s="2">
        <f t="shared" si="229"/>
        <v>4.9313361645004503E-3</v>
      </c>
      <c r="CK40" s="2">
        <f t="shared" si="230"/>
        <v>1.3545151429411537</v>
      </c>
      <c r="CL40" s="2">
        <f t="shared" si="231"/>
        <v>8.3474196039149412E-5</v>
      </c>
      <c r="CM40" s="2">
        <f t="shared" si="232"/>
        <v>1.1694471786136244E-3</v>
      </c>
      <c r="CN40" s="2">
        <f t="shared" si="233"/>
        <v>3.6186781692383417E-4</v>
      </c>
      <c r="CO40" s="2">
        <f t="shared" si="234"/>
        <v>0.14408533303639368</v>
      </c>
      <c r="CP40" s="2">
        <f t="shared" si="235"/>
        <v>1.9970759518762966E-3</v>
      </c>
      <c r="CQ40" s="2">
        <f t="shared" si="236"/>
        <v>1.195414847161572</v>
      </c>
      <c r="CR40" s="2">
        <f t="shared" si="237"/>
        <v>7.8668370287545265E-4</v>
      </c>
      <c r="CS40" s="2">
        <f t="shared" si="238"/>
        <v>0</v>
      </c>
      <c r="CT40" s="2">
        <f t="shared" si="239"/>
        <v>0</v>
      </c>
      <c r="CU40" s="2">
        <f t="shared" si="240"/>
        <v>4.9313361645004503E-3</v>
      </c>
      <c r="CW40" s="14">
        <f t="shared" si="241"/>
        <v>2.7033452081499481</v>
      </c>
      <c r="CY40" s="14">
        <f t="shared" si="242"/>
        <v>1.4796482476381276</v>
      </c>
      <c r="DA40" s="16">
        <f t="shared" si="243"/>
        <v>1.0021029788260931</v>
      </c>
      <c r="DB40" s="16">
        <f t="shared" si="244"/>
        <v>6.1756223946164479E-5</v>
      </c>
      <c r="DC40" s="16">
        <f t="shared" si="245"/>
        <v>1.1535803123606677E-3</v>
      </c>
      <c r="DD40" s="16">
        <f t="shared" si="246"/>
        <v>3.5695805412532401E-4</v>
      </c>
      <c r="DE40" s="16">
        <f t="shared" si="247"/>
        <v>0.21319561053765593</v>
      </c>
      <c r="DF40" s="16">
        <f t="shared" si="248"/>
        <v>2.9549699325940081E-3</v>
      </c>
      <c r="DG40" s="16">
        <f t="shared" si="249"/>
        <v>1.7687934838032202</v>
      </c>
      <c r="DH40" s="16">
        <f t="shared" si="250"/>
        <v>1.1640151624051371E-3</v>
      </c>
      <c r="DI40" s="16">
        <f t="shared" si="251"/>
        <v>0</v>
      </c>
      <c r="DJ40" s="16">
        <f t="shared" si="252"/>
        <v>0</v>
      </c>
      <c r="DK40" s="16">
        <f t="shared" si="253"/>
        <v>7.2966429143176172E-3</v>
      </c>
      <c r="DL40" s="16">
        <f t="shared" si="22"/>
        <v>0.89243350977743108</v>
      </c>
      <c r="DN40" s="2">
        <f t="shared" si="23"/>
        <v>0.85511114387002751</v>
      </c>
      <c r="DO40" s="2">
        <f t="shared" si="24"/>
        <v>4.1724892899625259E-3</v>
      </c>
      <c r="DP40" s="2">
        <f t="shared" si="25"/>
        <v>6.3382805228846123E-2</v>
      </c>
      <c r="DQ40" s="2">
        <f t="shared" si="26"/>
        <v>6.1577739922122291E-3</v>
      </c>
      <c r="DR40" s="2">
        <f t="shared" si="27"/>
        <v>4.8715570243464019E-2</v>
      </c>
      <c r="DS40" s="2">
        <f t="shared" si="28"/>
        <v>1.3866681767917294E-3</v>
      </c>
      <c r="DT40" s="2">
        <f t="shared" si="29"/>
        <v>0.40118173311404753</v>
      </c>
      <c r="DU40" s="2">
        <f t="shared" si="30"/>
        <v>0.34905678161915127</v>
      </c>
      <c r="DV40" s="2">
        <f t="shared" si="31"/>
        <v>1.5862267257324997E-2</v>
      </c>
      <c r="DW40" s="2">
        <f t="shared" si="32"/>
        <v>2.8277025981802E-5</v>
      </c>
      <c r="DX40" s="2">
        <f t="shared" si="33"/>
        <v>7.2640398678924692E-4</v>
      </c>
      <c r="DZ40" s="2">
        <f t="shared" si="254"/>
        <v>1.710222287740055</v>
      </c>
      <c r="EA40" s="2">
        <f t="shared" si="255"/>
        <v>8.3449785799250518E-3</v>
      </c>
      <c r="EB40" s="2">
        <f t="shared" si="256"/>
        <v>0.19014841568653837</v>
      </c>
      <c r="EC40" s="2">
        <f t="shared" si="257"/>
        <v>1.8473321976636689E-2</v>
      </c>
      <c r="ED40" s="2">
        <f t="shared" si="258"/>
        <v>4.8715570243464019E-2</v>
      </c>
      <c r="EE40" s="2">
        <f t="shared" si="259"/>
        <v>1.3866681767917294E-3</v>
      </c>
      <c r="EF40" s="2">
        <f t="shared" si="260"/>
        <v>0.40118173311404753</v>
      </c>
      <c r="EG40" s="2">
        <f t="shared" si="261"/>
        <v>0.34905678161915127</v>
      </c>
      <c r="EH40" s="2">
        <f t="shared" si="262"/>
        <v>1.5862267257324997E-2</v>
      </c>
      <c r="EI40" s="2">
        <f t="shared" si="263"/>
        <v>2.8277025981802E-5</v>
      </c>
      <c r="EJ40" s="2">
        <f t="shared" si="264"/>
        <v>7.2640398678924692E-4</v>
      </c>
      <c r="EL40" s="16">
        <f t="shared" si="265"/>
        <v>2.7441467054067052</v>
      </c>
      <c r="EN40" s="14">
        <f t="shared" si="266"/>
        <v>2.1864720235905719</v>
      </c>
      <c r="EP40" s="16">
        <f t="shared" si="267"/>
        <v>1.8696765931323478</v>
      </c>
      <c r="EQ40" s="16">
        <f t="shared" si="268"/>
        <v>9.1230311012343527E-3</v>
      </c>
      <c r="ER40" s="16">
        <f t="shared" si="269"/>
        <v>0.27716946081912452</v>
      </c>
      <c r="ES40" s="16">
        <f t="shared" si="270"/>
        <v>2.6927601123131334E-2</v>
      </c>
      <c r="ET40" s="16">
        <f t="shared" si="271"/>
        <v>0.10651523145059542</v>
      </c>
      <c r="EU40" s="16">
        <f t="shared" si="272"/>
        <v>3.0319111745584614E-3</v>
      </c>
      <c r="EV40" s="16">
        <f t="shared" si="273"/>
        <v>0.87717263582944427</v>
      </c>
      <c r="EW40" s="16">
        <f t="shared" si="274"/>
        <v>0.76320288765483801</v>
      </c>
      <c r="EX40" s="16">
        <f t="shared" si="275"/>
        <v>6.9364807177715718E-2</v>
      </c>
      <c r="EY40" s="16">
        <f t="shared" si="276"/>
        <v>1.236538524391076E-4</v>
      </c>
      <c r="EZ40" s="16">
        <f t="shared" si="277"/>
        <v>1.5882619949393437E-3</v>
      </c>
      <c r="FB40" s="14">
        <f t="shared" si="40"/>
        <v>-6.4856485283960899</v>
      </c>
      <c r="FC40" s="4">
        <f t="shared" si="41"/>
        <v>3.7480913829125617</v>
      </c>
      <c r="FD40" s="4">
        <f t="shared" si="42"/>
        <v>3.5631094259022449</v>
      </c>
      <c r="FE40" s="4">
        <f t="shared" si="43"/>
        <v>3.7480913829125617</v>
      </c>
      <c r="FG40" s="4">
        <f t="shared" si="44"/>
        <v>4.4693407779193084</v>
      </c>
    </row>
    <row r="41" spans="1:163" x14ac:dyDescent="0.2">
      <c r="A41" s="24" t="s">
        <v>156</v>
      </c>
      <c r="B41" s="60" t="s">
        <v>166</v>
      </c>
      <c r="C41" s="138">
        <v>40.712500000000006</v>
      </c>
      <c r="D41" s="98">
        <v>1.2500000000000001E-2</v>
      </c>
      <c r="E41" s="148">
        <f t="shared" si="203"/>
        <v>4.0567903207442642E-2</v>
      </c>
      <c r="F41" s="138">
        <v>1.3750000000000002E-2</v>
      </c>
      <c r="G41" s="138">
        <v>10.482499999999998</v>
      </c>
      <c r="H41" s="138">
        <v>0.14750000000000002</v>
      </c>
      <c r="I41" s="138">
        <v>48.207500000000003</v>
      </c>
      <c r="J41" s="150">
        <f t="shared" si="204"/>
        <v>4.3359348178837472E-2</v>
      </c>
      <c r="K41" s="98"/>
      <c r="L41" s="98"/>
      <c r="M41" s="138">
        <v>0.35375000000000001</v>
      </c>
      <c r="N41" s="141">
        <v>214.70808294452706</v>
      </c>
      <c r="O41" s="142">
        <v>309.88746835805205</v>
      </c>
      <c r="P41" s="11"/>
      <c r="Q41" s="140">
        <v>51.296714285714295</v>
      </c>
      <c r="R41" s="140">
        <v>0.42942985714285709</v>
      </c>
      <c r="S41" s="140">
        <v>6.6412499999999994</v>
      </c>
      <c r="T41" s="140">
        <v>0.86946628571428575</v>
      </c>
      <c r="U41" s="140">
        <v>3.5247257142857142</v>
      </c>
      <c r="V41" s="140">
        <v>9.9321714285714277E-2</v>
      </c>
      <c r="W41" s="140">
        <v>16.64525714285714</v>
      </c>
      <c r="X41" s="140">
        <v>19.390257142857145</v>
      </c>
      <c r="Y41" s="140">
        <v>0.99862571428571434</v>
      </c>
      <c r="Z41" s="100">
        <v>3.2531428571428572E-3</v>
      </c>
      <c r="AA41" s="140">
        <v>5.3910285714285702E-2</v>
      </c>
      <c r="AC41" s="139">
        <v>53.743750000000006</v>
      </c>
      <c r="AD41" s="139">
        <v>13.23</v>
      </c>
      <c r="AE41" s="11"/>
      <c r="AF41" s="83">
        <f t="shared" si="205"/>
        <v>0.1417332342236291</v>
      </c>
      <c r="AG41" s="22">
        <f t="shared" si="0"/>
        <v>7.5483945961051543E-4</v>
      </c>
      <c r="AH41" s="126">
        <f t="shared" si="206"/>
        <v>1125.8302817673157</v>
      </c>
      <c r="AI41" s="126">
        <f t="shared" si="201"/>
        <v>1125.6802279475578</v>
      </c>
      <c r="AJ41" s="126">
        <f t="shared" si="202"/>
        <v>0.15005381975788623</v>
      </c>
      <c r="AK41" s="12"/>
      <c r="AL41" s="25">
        <f t="shared" si="207"/>
        <v>3.818906132357486</v>
      </c>
      <c r="AN41" s="2">
        <v>15.999000000000001</v>
      </c>
      <c r="AO41" s="2">
        <v>28.085000000000001</v>
      </c>
      <c r="AP41" s="2">
        <v>47.866999999999997</v>
      </c>
      <c r="AQ41" s="2">
        <v>26.9815386</v>
      </c>
      <c r="AR41" s="2">
        <v>51.996099999999998</v>
      </c>
      <c r="AS41" s="2">
        <v>55.844999999999999</v>
      </c>
      <c r="AT41" s="2">
        <v>54.938045000000002</v>
      </c>
      <c r="AU41" s="2">
        <v>24.305</v>
      </c>
      <c r="AV41" s="2">
        <v>40.078000000000003</v>
      </c>
      <c r="AW41" s="2">
        <v>22.989769280000001</v>
      </c>
      <c r="AX41" s="2">
        <v>39.098300000000002</v>
      </c>
      <c r="AY41" s="2">
        <v>58.693399999999997</v>
      </c>
      <c r="BA41" s="2">
        <f t="shared" si="208"/>
        <v>60.082999999999998</v>
      </c>
      <c r="BB41" s="2">
        <f t="shared" si="209"/>
        <v>79.864999999999995</v>
      </c>
      <c r="BC41" s="2">
        <f t="shared" si="210"/>
        <v>101.9600772</v>
      </c>
      <c r="BD41" s="2">
        <f t="shared" si="211"/>
        <v>151.98919999999998</v>
      </c>
      <c r="BE41" s="2">
        <f t="shared" si="212"/>
        <v>71.843999999999994</v>
      </c>
      <c r="BF41" s="2">
        <f t="shared" si="213"/>
        <v>70.937044999999998</v>
      </c>
      <c r="BG41" s="2">
        <f t="shared" si="214"/>
        <v>40.304000000000002</v>
      </c>
      <c r="BH41" s="2">
        <f t="shared" si="215"/>
        <v>56.077000000000005</v>
      </c>
      <c r="BI41" s="2">
        <f t="shared" si="216"/>
        <v>61.978538560000004</v>
      </c>
      <c r="BJ41" s="2">
        <f t="shared" si="217"/>
        <v>94.195599999999999</v>
      </c>
      <c r="BK41" s="2">
        <f t="shared" si="218"/>
        <v>74.692399999999992</v>
      </c>
      <c r="BM41" s="2">
        <f t="shared" si="3"/>
        <v>0.67760431403225552</v>
      </c>
      <c r="BN41" s="2">
        <f t="shared" si="4"/>
        <v>1.5651411757340515E-4</v>
      </c>
      <c r="BO41" s="2">
        <f t="shared" si="5"/>
        <v>3.9788027158773709E-4</v>
      </c>
      <c r="BP41" s="2">
        <f t="shared" si="6"/>
        <v>9.0466954230958543E-5</v>
      </c>
      <c r="BQ41" s="2">
        <f t="shared" si="7"/>
        <v>0.14590640832915761</v>
      </c>
      <c r="BR41" s="2">
        <f t="shared" si="8"/>
        <v>2.079308491071203E-3</v>
      </c>
      <c r="BS41" s="2">
        <f t="shared" si="9"/>
        <v>1.1960971615720524</v>
      </c>
      <c r="BT41" s="2">
        <f t="shared" si="10"/>
        <v>7.7321090962136822E-4</v>
      </c>
      <c r="BU41" s="2">
        <f t="shared" si="11"/>
        <v>0</v>
      </c>
      <c r="BV41" s="2">
        <f t="shared" si="12"/>
        <v>0</v>
      </c>
      <c r="BW41" s="2">
        <f t="shared" si="13"/>
        <v>4.7360909543675131E-3</v>
      </c>
      <c r="BY41" s="2">
        <f t="shared" si="219"/>
        <v>0.67760431403225552</v>
      </c>
      <c r="BZ41" s="2">
        <f t="shared" si="220"/>
        <v>1.5651411757340515E-4</v>
      </c>
      <c r="CA41" s="2">
        <f t="shared" si="221"/>
        <v>7.9576054317547417E-4</v>
      </c>
      <c r="CB41" s="2">
        <f t="shared" si="222"/>
        <v>1.8093390846191709E-4</v>
      </c>
      <c r="CC41" s="2">
        <f t="shared" si="223"/>
        <v>0.14590640832915761</v>
      </c>
      <c r="CD41" s="2">
        <f t="shared" si="224"/>
        <v>2.079308491071203E-3</v>
      </c>
      <c r="CE41" s="2">
        <f t="shared" si="225"/>
        <v>1.1960971615720524</v>
      </c>
      <c r="CF41" s="2">
        <f t="shared" si="226"/>
        <v>7.7321090962136822E-4</v>
      </c>
      <c r="CG41" s="2">
        <f t="shared" si="227"/>
        <v>0</v>
      </c>
      <c r="CH41" s="2">
        <f t="shared" si="228"/>
        <v>0</v>
      </c>
      <c r="CI41" s="2">
        <f t="shared" si="229"/>
        <v>4.7360909543675131E-3</v>
      </c>
      <c r="CK41" s="2">
        <f t="shared" si="230"/>
        <v>1.355208628064511</v>
      </c>
      <c r="CL41" s="2">
        <f t="shared" si="231"/>
        <v>3.1302823514681031E-4</v>
      </c>
      <c r="CM41" s="2">
        <f t="shared" si="232"/>
        <v>1.1936408147632113E-3</v>
      </c>
      <c r="CN41" s="2">
        <f t="shared" si="233"/>
        <v>2.7140086269287562E-4</v>
      </c>
      <c r="CO41" s="2">
        <f t="shared" si="234"/>
        <v>0.14590640832915761</v>
      </c>
      <c r="CP41" s="2">
        <f t="shared" si="235"/>
        <v>2.079308491071203E-3</v>
      </c>
      <c r="CQ41" s="2">
        <f t="shared" si="236"/>
        <v>1.1960971615720524</v>
      </c>
      <c r="CR41" s="2">
        <f t="shared" si="237"/>
        <v>7.7321090962136822E-4</v>
      </c>
      <c r="CS41" s="2">
        <f t="shared" si="238"/>
        <v>0</v>
      </c>
      <c r="CT41" s="2">
        <f t="shared" si="239"/>
        <v>0</v>
      </c>
      <c r="CU41" s="2">
        <f t="shared" si="240"/>
        <v>4.7360909543675131E-3</v>
      </c>
      <c r="CW41" s="14">
        <f t="shared" si="241"/>
        <v>2.7065788782333842</v>
      </c>
      <c r="CY41" s="14">
        <f t="shared" si="242"/>
        <v>1.4778804461116783</v>
      </c>
      <c r="DA41" s="16">
        <f t="shared" si="243"/>
        <v>1.0014181659091876</v>
      </c>
      <c r="DB41" s="16">
        <f t="shared" si="244"/>
        <v>2.313091539021597E-4</v>
      </c>
      <c r="DC41" s="16">
        <f t="shared" si="245"/>
        <v>1.1760389465462413E-3</v>
      </c>
      <c r="DD41" s="16">
        <f t="shared" si="246"/>
        <v>2.6739868535442758E-4</v>
      </c>
      <c r="DE41" s="16">
        <f t="shared" si="247"/>
        <v>0.21563222783204813</v>
      </c>
      <c r="DF41" s="16">
        <f t="shared" si="248"/>
        <v>3.07296936038811E-3</v>
      </c>
      <c r="DG41" s="16">
        <f t="shared" si="249"/>
        <v>1.767688606737017</v>
      </c>
      <c r="DH41" s="16">
        <f t="shared" si="250"/>
        <v>1.1427132840496443E-3</v>
      </c>
      <c r="DI41" s="16">
        <f t="shared" si="251"/>
        <v>0</v>
      </c>
      <c r="DJ41" s="16">
        <f t="shared" si="252"/>
        <v>0</v>
      </c>
      <c r="DK41" s="16">
        <f t="shared" si="253"/>
        <v>6.9993762124661444E-3</v>
      </c>
      <c r="DL41" s="16">
        <f t="shared" si="22"/>
        <v>0.89127718315987914</v>
      </c>
      <c r="DN41" s="2">
        <f t="shared" si="23"/>
        <v>0.8537641976218614</v>
      </c>
      <c r="DO41" s="2">
        <f t="shared" si="24"/>
        <v>5.3769468120310158E-3</v>
      </c>
      <c r="DP41" s="2">
        <f t="shared" si="25"/>
        <v>6.5135788265174036E-2</v>
      </c>
      <c r="DQ41" s="2">
        <f t="shared" si="26"/>
        <v>5.7205793945509674E-3</v>
      </c>
      <c r="DR41" s="2">
        <f t="shared" si="27"/>
        <v>4.9060822257748937E-2</v>
      </c>
      <c r="DS41" s="2">
        <f t="shared" si="28"/>
        <v>1.4001388736409064E-3</v>
      </c>
      <c r="DT41" s="2">
        <f t="shared" si="29"/>
        <v>0.41299268417172341</v>
      </c>
      <c r="DU41" s="2">
        <f t="shared" si="30"/>
        <v>0.34577914551165617</v>
      </c>
      <c r="DV41" s="2">
        <f t="shared" si="31"/>
        <v>1.6112443718223006E-2</v>
      </c>
      <c r="DW41" s="2">
        <f t="shared" si="32"/>
        <v>3.4536038383351845E-5</v>
      </c>
      <c r="DX41" s="2">
        <f t="shared" si="33"/>
        <v>7.2176400429341822E-4</v>
      </c>
      <c r="DZ41" s="2">
        <f t="shared" si="254"/>
        <v>1.7075283952437228</v>
      </c>
      <c r="EA41" s="2">
        <f t="shared" si="255"/>
        <v>1.0753893624062032E-2</v>
      </c>
      <c r="EB41" s="2">
        <f t="shared" si="256"/>
        <v>0.19540736479552212</v>
      </c>
      <c r="EC41" s="2">
        <f t="shared" si="257"/>
        <v>1.7161738183652901E-2</v>
      </c>
      <c r="ED41" s="2">
        <f t="shared" si="258"/>
        <v>4.9060822257748937E-2</v>
      </c>
      <c r="EE41" s="2">
        <f t="shared" si="259"/>
        <v>1.4001388736409064E-3</v>
      </c>
      <c r="EF41" s="2">
        <f t="shared" si="260"/>
        <v>0.41299268417172341</v>
      </c>
      <c r="EG41" s="2">
        <f t="shared" si="261"/>
        <v>0.34577914551165617</v>
      </c>
      <c r="EH41" s="2">
        <f t="shared" si="262"/>
        <v>1.6112443718223006E-2</v>
      </c>
      <c r="EI41" s="2">
        <f t="shared" si="263"/>
        <v>3.4536038383351845E-5</v>
      </c>
      <c r="EJ41" s="2">
        <f t="shared" si="264"/>
        <v>7.2176400429341822E-4</v>
      </c>
      <c r="EL41" s="16">
        <f t="shared" si="265"/>
        <v>2.7569529264226293</v>
      </c>
      <c r="EN41" s="14">
        <f t="shared" si="266"/>
        <v>2.1763157225123493</v>
      </c>
      <c r="EP41" s="16">
        <f t="shared" si="267"/>
        <v>1.8580604466025974</v>
      </c>
      <c r="EQ41" s="16">
        <f t="shared" si="268"/>
        <v>1.1701933886135753E-2</v>
      </c>
      <c r="ER41" s="16">
        <f t="shared" si="269"/>
        <v>0.28351208019946728</v>
      </c>
      <c r="ES41" s="16">
        <f t="shared" si="270"/>
        <v>2.4899573756482891E-2</v>
      </c>
      <c r="ET41" s="16">
        <f t="shared" si="271"/>
        <v>0.10677183883892283</v>
      </c>
      <c r="EU41" s="16">
        <f t="shared" si="272"/>
        <v>3.0471442444054359E-3</v>
      </c>
      <c r="EV41" s="16">
        <f t="shared" si="273"/>
        <v>0.89880247184549866</v>
      </c>
      <c r="EW41" s="16">
        <f t="shared" si="274"/>
        <v>0.75252459089390278</v>
      </c>
      <c r="EX41" s="16">
        <f t="shared" si="275"/>
        <v>7.0131529184128127E-2</v>
      </c>
      <c r="EY41" s="16">
        <f t="shared" si="276"/>
        <v>1.503226466539572E-4</v>
      </c>
      <c r="EZ41" s="16">
        <f t="shared" si="277"/>
        <v>1.5707863504872369E-3</v>
      </c>
      <c r="FB41" s="14">
        <f t="shared" si="40"/>
        <v>-6.4900281667730049</v>
      </c>
      <c r="FC41" s="4">
        <f t="shared" si="41"/>
        <v>3.818906132357486</v>
      </c>
      <c r="FD41" s="4">
        <f t="shared" si="42"/>
        <v>3.6186119458723609</v>
      </c>
      <c r="FE41" s="4">
        <f t="shared" si="43"/>
        <v>3.818906132357486</v>
      </c>
      <c r="FG41" s="4">
        <f t="shared" si="44"/>
        <v>4.5814246521360467</v>
      </c>
    </row>
    <row r="42" spans="1:163" x14ac:dyDescent="0.2">
      <c r="A42" s="24" t="s">
        <v>157</v>
      </c>
      <c r="B42" s="60" t="s">
        <v>165</v>
      </c>
      <c r="C42" s="138">
        <v>40.830714285714286</v>
      </c>
      <c r="D42" s="98">
        <v>2.8571428571428571E-3</v>
      </c>
      <c r="E42" s="148">
        <f t="shared" si="203"/>
        <v>2.6848362419639782E-2</v>
      </c>
      <c r="F42" s="138">
        <v>1.7857142857142856E-2</v>
      </c>
      <c r="G42" s="138">
        <v>10.099285714285713</v>
      </c>
      <c r="H42" s="138">
        <v>0.14785714285714285</v>
      </c>
      <c r="I42" s="138">
        <v>48.605714285714278</v>
      </c>
      <c r="J42" s="150">
        <f t="shared" si="204"/>
        <v>3.7319999687481654E-2</v>
      </c>
      <c r="K42" s="98"/>
      <c r="L42" s="98"/>
      <c r="M42" s="138">
        <v>0.35642857142857143</v>
      </c>
      <c r="N42" s="141">
        <v>142.0965830016861</v>
      </c>
      <c r="O42" s="142">
        <v>266.72449444066018</v>
      </c>
      <c r="P42" s="11"/>
      <c r="Q42" s="140">
        <v>51.373637500000001</v>
      </c>
      <c r="R42" s="140">
        <v>0.41049812499999999</v>
      </c>
      <c r="S42" s="140">
        <v>7.002015000000001</v>
      </c>
      <c r="T42" s="140">
        <v>0.86344199999999993</v>
      </c>
      <c r="U42" s="140">
        <v>3.3288812499999998</v>
      </c>
      <c r="V42" s="140">
        <v>9.6137875000000012E-2</v>
      </c>
      <c r="W42" s="140">
        <v>16.23105</v>
      </c>
      <c r="X42" s="140">
        <v>19.30425</v>
      </c>
      <c r="Y42" s="140">
        <v>1.2791825000000001</v>
      </c>
      <c r="Z42" s="100">
        <v>1.8745000000000001E-3</v>
      </c>
      <c r="AA42" s="140">
        <v>5.1701750000000005E-2</v>
      </c>
      <c r="AC42" s="139">
        <v>55.417500000000004</v>
      </c>
      <c r="AD42" s="139">
        <v>11.696249999999999</v>
      </c>
      <c r="AE42" s="11"/>
      <c r="AF42" s="83">
        <f t="shared" si="205"/>
        <v>0.1240249280113797</v>
      </c>
      <c r="AG42" s="22">
        <f t="shared" si="0"/>
        <v>4.8447444254323598E-4</v>
      </c>
      <c r="AH42" s="126">
        <f t="shared" si="206"/>
        <v>1054.8551361133036</v>
      </c>
      <c r="AI42" s="126">
        <f t="shared" si="201"/>
        <v>1054.7050131663257</v>
      </c>
      <c r="AJ42" s="126">
        <f t="shared" si="202"/>
        <v>0.15012294697794459</v>
      </c>
      <c r="AK42" s="12"/>
      <c r="AL42" s="25">
        <f t="shared" si="207"/>
        <v>3.2045051473479385</v>
      </c>
      <c r="AN42" s="2">
        <v>15.999000000000001</v>
      </c>
      <c r="AO42" s="2">
        <v>28.085000000000001</v>
      </c>
      <c r="AP42" s="2">
        <v>47.866999999999997</v>
      </c>
      <c r="AQ42" s="2">
        <v>26.9815386</v>
      </c>
      <c r="AR42" s="2">
        <v>51.996099999999998</v>
      </c>
      <c r="AS42" s="2">
        <v>55.844999999999999</v>
      </c>
      <c r="AT42" s="2">
        <v>54.938045000000002</v>
      </c>
      <c r="AU42" s="2">
        <v>24.305</v>
      </c>
      <c r="AV42" s="2">
        <v>40.078000000000003</v>
      </c>
      <c r="AW42" s="2">
        <v>22.989769280000001</v>
      </c>
      <c r="AX42" s="2">
        <v>39.098300000000002</v>
      </c>
      <c r="AY42" s="2">
        <v>58.693399999999997</v>
      </c>
      <c r="BA42" s="2">
        <f t="shared" si="208"/>
        <v>60.082999999999998</v>
      </c>
      <c r="BB42" s="2">
        <f t="shared" si="209"/>
        <v>79.864999999999995</v>
      </c>
      <c r="BC42" s="2">
        <f t="shared" si="210"/>
        <v>101.9600772</v>
      </c>
      <c r="BD42" s="2">
        <f t="shared" si="211"/>
        <v>151.98919999999998</v>
      </c>
      <c r="BE42" s="2">
        <f t="shared" si="212"/>
        <v>71.843999999999994</v>
      </c>
      <c r="BF42" s="2">
        <f t="shared" si="213"/>
        <v>70.937044999999998</v>
      </c>
      <c r="BG42" s="2">
        <f t="shared" si="214"/>
        <v>40.304000000000002</v>
      </c>
      <c r="BH42" s="2">
        <f t="shared" si="215"/>
        <v>56.077000000000005</v>
      </c>
      <c r="BI42" s="2">
        <f t="shared" si="216"/>
        <v>61.978538560000004</v>
      </c>
      <c r="BJ42" s="2">
        <f t="shared" si="217"/>
        <v>94.195599999999999</v>
      </c>
      <c r="BK42" s="2">
        <f t="shared" si="218"/>
        <v>74.692399999999992</v>
      </c>
      <c r="BM42" s="2">
        <f t="shared" si="3"/>
        <v>0.67957183039652291</v>
      </c>
      <c r="BN42" s="2">
        <f t="shared" si="4"/>
        <v>3.5774655445349742E-5</v>
      </c>
      <c r="BO42" s="2">
        <f t="shared" si="5"/>
        <v>2.63322303757924E-4</v>
      </c>
      <c r="BP42" s="2">
        <f t="shared" si="6"/>
        <v>1.1748955094929678E-4</v>
      </c>
      <c r="BQ42" s="2">
        <f t="shared" si="7"/>
        <v>0.14057243074279988</v>
      </c>
      <c r="BR42" s="2">
        <f t="shared" si="8"/>
        <v>2.0843431363280337E-3</v>
      </c>
      <c r="BS42" s="2">
        <f t="shared" si="9"/>
        <v>1.2059774286848519</v>
      </c>
      <c r="BT42" s="2">
        <f t="shared" si="10"/>
        <v>6.6551348480627798E-4</v>
      </c>
      <c r="BU42" s="2">
        <f t="shared" si="11"/>
        <v>0</v>
      </c>
      <c r="BV42" s="2">
        <f t="shared" si="12"/>
        <v>0</v>
      </c>
      <c r="BW42" s="2">
        <f t="shared" si="13"/>
        <v>4.7719523194939707E-3</v>
      </c>
      <c r="BY42" s="2">
        <f t="shared" si="219"/>
        <v>0.67957183039652291</v>
      </c>
      <c r="BZ42" s="2">
        <f t="shared" si="220"/>
        <v>3.5774655445349742E-5</v>
      </c>
      <c r="CA42" s="2">
        <f t="shared" si="221"/>
        <v>5.2664460751584801E-4</v>
      </c>
      <c r="CB42" s="2">
        <f t="shared" si="222"/>
        <v>2.3497910189859355E-4</v>
      </c>
      <c r="CC42" s="2">
        <f t="shared" si="223"/>
        <v>0.14057243074279988</v>
      </c>
      <c r="CD42" s="2">
        <f t="shared" si="224"/>
        <v>2.0843431363280337E-3</v>
      </c>
      <c r="CE42" s="2">
        <f t="shared" si="225"/>
        <v>1.2059774286848519</v>
      </c>
      <c r="CF42" s="2">
        <f t="shared" si="226"/>
        <v>6.6551348480627798E-4</v>
      </c>
      <c r="CG42" s="2">
        <f t="shared" si="227"/>
        <v>0</v>
      </c>
      <c r="CH42" s="2">
        <f t="shared" si="228"/>
        <v>0</v>
      </c>
      <c r="CI42" s="2">
        <f t="shared" si="229"/>
        <v>4.7719523194939707E-3</v>
      </c>
      <c r="CK42" s="2">
        <f t="shared" si="230"/>
        <v>1.3591436607930458</v>
      </c>
      <c r="CL42" s="2">
        <f t="shared" si="231"/>
        <v>7.1549310890699485E-5</v>
      </c>
      <c r="CM42" s="2">
        <f t="shared" si="232"/>
        <v>7.8996691127377196E-4</v>
      </c>
      <c r="CN42" s="2">
        <f t="shared" si="233"/>
        <v>3.5246865284789032E-4</v>
      </c>
      <c r="CO42" s="2">
        <f t="shared" si="234"/>
        <v>0.14057243074279988</v>
      </c>
      <c r="CP42" s="2">
        <f t="shared" si="235"/>
        <v>2.0843431363280337E-3</v>
      </c>
      <c r="CQ42" s="2">
        <f t="shared" si="236"/>
        <v>1.2059774286848519</v>
      </c>
      <c r="CR42" s="2">
        <f t="shared" si="237"/>
        <v>6.6551348480627798E-4</v>
      </c>
      <c r="CS42" s="2">
        <f t="shared" si="238"/>
        <v>0</v>
      </c>
      <c r="CT42" s="2">
        <f t="shared" si="239"/>
        <v>0</v>
      </c>
      <c r="CU42" s="2">
        <f t="shared" si="240"/>
        <v>4.7719523194939707E-3</v>
      </c>
      <c r="CW42" s="14">
        <f t="shared" si="241"/>
        <v>2.7144293140363382</v>
      </c>
      <c r="CY42" s="14">
        <f t="shared" si="242"/>
        <v>1.4736062491353024</v>
      </c>
      <c r="DA42" s="16">
        <f t="shared" si="243"/>
        <v>1.0014212960086319</v>
      </c>
      <c r="DB42" s="16">
        <f t="shared" si="244"/>
        <v>5.2717755824929652E-5</v>
      </c>
      <c r="DC42" s="16">
        <f t="shared" si="245"/>
        <v>7.7606678470876222E-4</v>
      </c>
      <c r="DD42" s="16">
        <f t="shared" si="246"/>
        <v>3.4626667297396846E-4</v>
      </c>
      <c r="DE42" s="16">
        <f t="shared" si="247"/>
        <v>0.20714841239872939</v>
      </c>
      <c r="DF42" s="16">
        <f t="shared" si="248"/>
        <v>3.0715010710352661E-3</v>
      </c>
      <c r="DG42" s="16">
        <f t="shared" si="249"/>
        <v>1.7771358752261213</v>
      </c>
      <c r="DH42" s="16">
        <f t="shared" si="250"/>
        <v>9.807048300943433E-4</v>
      </c>
      <c r="DI42" s="16">
        <f t="shared" si="251"/>
        <v>0</v>
      </c>
      <c r="DJ42" s="16">
        <f t="shared" si="252"/>
        <v>0</v>
      </c>
      <c r="DK42" s="16">
        <f t="shared" si="253"/>
        <v>7.0319787585820161E-3</v>
      </c>
      <c r="DL42" s="16">
        <f t="shared" si="22"/>
        <v>0.89560547664937562</v>
      </c>
      <c r="DN42" s="2">
        <f t="shared" si="23"/>
        <v>0.85504448013581213</v>
      </c>
      <c r="DO42" s="2">
        <f t="shared" si="24"/>
        <v>5.1399001439929887E-3</v>
      </c>
      <c r="DP42" s="2">
        <f t="shared" si="25"/>
        <v>6.8674084919190317E-2</v>
      </c>
      <c r="DQ42" s="2">
        <f t="shared" si="26"/>
        <v>5.6809431196427115E-3</v>
      </c>
      <c r="DR42" s="2">
        <f t="shared" si="27"/>
        <v>4.6334853989198822E-2</v>
      </c>
      <c r="DS42" s="2">
        <f t="shared" si="28"/>
        <v>1.3552562698375724E-3</v>
      </c>
      <c r="DT42" s="2">
        <f t="shared" si="29"/>
        <v>0.40271561135371176</v>
      </c>
      <c r="DU42" s="2">
        <f t="shared" si="30"/>
        <v>0.34424541255773305</v>
      </c>
      <c r="DV42" s="2">
        <f t="shared" si="31"/>
        <v>2.0639120084473318E-2</v>
      </c>
      <c r="DW42" s="2">
        <f t="shared" si="32"/>
        <v>1.9900080258525878E-5</v>
      </c>
      <c r="DX42" s="2">
        <f t="shared" si="33"/>
        <v>6.9219559151935145E-4</v>
      </c>
      <c r="DZ42" s="2">
        <f t="shared" si="254"/>
        <v>1.7100889602716243</v>
      </c>
      <c r="EA42" s="2">
        <f t="shared" si="255"/>
        <v>1.0279800287985977E-2</v>
      </c>
      <c r="EB42" s="2">
        <f t="shared" si="256"/>
        <v>0.20602225475757097</v>
      </c>
      <c r="EC42" s="2">
        <f t="shared" si="257"/>
        <v>1.7042829358928133E-2</v>
      </c>
      <c r="ED42" s="2">
        <f t="shared" si="258"/>
        <v>4.6334853989198822E-2</v>
      </c>
      <c r="EE42" s="2">
        <f t="shared" si="259"/>
        <v>1.3552562698375724E-3</v>
      </c>
      <c r="EF42" s="2">
        <f t="shared" si="260"/>
        <v>0.40271561135371176</v>
      </c>
      <c r="EG42" s="2">
        <f t="shared" si="261"/>
        <v>0.34424541255773305</v>
      </c>
      <c r="EH42" s="2">
        <f t="shared" si="262"/>
        <v>2.0639120084473318E-2</v>
      </c>
      <c r="EI42" s="2">
        <f t="shared" si="263"/>
        <v>1.9900080258525878E-5</v>
      </c>
      <c r="EJ42" s="2">
        <f t="shared" si="264"/>
        <v>6.9219559151935145E-4</v>
      </c>
      <c r="EL42" s="16">
        <f t="shared" si="265"/>
        <v>2.7594361946028414</v>
      </c>
      <c r="EN42" s="14">
        <f t="shared" si="266"/>
        <v>2.1743572153381732</v>
      </c>
      <c r="EP42" s="16">
        <f t="shared" si="267"/>
        <v>1.8591721348183803</v>
      </c>
      <c r="EQ42" s="16">
        <f t="shared" si="268"/>
        <v>1.117597896420887E-2</v>
      </c>
      <c r="ER42" s="16">
        <f t="shared" si="269"/>
        <v>0.29864398410157578</v>
      </c>
      <c r="ES42" s="16">
        <f t="shared" si="270"/>
        <v>2.4704799324241761E-2</v>
      </c>
      <c r="ET42" s="16">
        <f t="shared" si="271"/>
        <v>0.10074852409305519</v>
      </c>
      <c r="EU42" s="16">
        <f t="shared" si="272"/>
        <v>2.9468112489536239E-3</v>
      </c>
      <c r="EV42" s="16">
        <f t="shared" si="273"/>
        <v>0.87564759527626668</v>
      </c>
      <c r="EW42" s="16">
        <f t="shared" si="274"/>
        <v>0.74851249664197306</v>
      </c>
      <c r="EX42" s="16">
        <f t="shared" si="275"/>
        <v>8.9753639347811123E-2</v>
      </c>
      <c r="EY42" s="16">
        <f t="shared" si="276"/>
        <v>8.6539766191868963E-5</v>
      </c>
      <c r="EZ42" s="16">
        <f t="shared" si="277"/>
        <v>1.5050804788453765E-3</v>
      </c>
      <c r="FB42" s="14">
        <f t="shared" si="40"/>
        <v>-6.6375716507470299</v>
      </c>
      <c r="FC42" s="4">
        <f t="shared" si="41"/>
        <v>2.8919762440098378</v>
      </c>
      <c r="FD42" s="4">
        <f t="shared" si="42"/>
        <v>3.2045051473479385</v>
      </c>
      <c r="FE42" s="4">
        <f t="shared" si="43"/>
        <v>3.2045051473479385</v>
      </c>
      <c r="FG42" s="4">
        <f t="shared" si="44"/>
        <v>3.919303102303298</v>
      </c>
    </row>
    <row r="43" spans="1:163" x14ac:dyDescent="0.2">
      <c r="A43" s="24" t="s">
        <v>158</v>
      </c>
      <c r="B43" s="60" t="s">
        <v>165</v>
      </c>
      <c r="C43" s="138">
        <v>40.932500000000005</v>
      </c>
      <c r="D43" s="98"/>
      <c r="E43" s="148">
        <f t="shared" si="203"/>
        <v>2.8448484162858587E-2</v>
      </c>
      <c r="F43" s="138">
        <v>2.2500000000000003E-2</v>
      </c>
      <c r="G43" s="138">
        <v>9.4450000000000003</v>
      </c>
      <c r="H43" s="138">
        <v>0.13125000000000001</v>
      </c>
      <c r="I43" s="138">
        <v>49.106250000000003</v>
      </c>
      <c r="J43" s="150">
        <f t="shared" si="204"/>
        <v>0</v>
      </c>
      <c r="K43" s="98"/>
      <c r="L43" s="98"/>
      <c r="M43" s="138">
        <v>0.375</v>
      </c>
      <c r="N43" s="141">
        <v>150.56532416899728</v>
      </c>
      <c r="O43" s="142"/>
      <c r="P43" s="11"/>
      <c r="Q43" s="140"/>
      <c r="R43" s="140"/>
      <c r="S43" s="140"/>
      <c r="T43" s="140"/>
      <c r="U43" s="140"/>
      <c r="V43" s="140"/>
      <c r="W43" s="140"/>
      <c r="X43" s="140"/>
      <c r="Y43" s="140"/>
      <c r="Z43" s="100"/>
      <c r="AA43" s="140"/>
      <c r="AC43" s="139">
        <v>54.29</v>
      </c>
      <c r="AD43" s="139">
        <v>13.417499999999999</v>
      </c>
      <c r="AE43" s="11"/>
      <c r="AF43" s="83">
        <f t="shared" si="205"/>
        <v>0.1422156538724034</v>
      </c>
      <c r="AG43" s="22">
        <f t="shared" si="0"/>
        <v>5.2400965486937908E-4</v>
      </c>
      <c r="AH43" s="126">
        <f t="shared" si="206"/>
        <v>1064.4961491578613</v>
      </c>
      <c r="AI43" s="126"/>
      <c r="AJ43" s="126"/>
      <c r="AK43" s="12"/>
      <c r="AL43" s="25"/>
      <c r="AN43" s="2">
        <v>15.999000000000001</v>
      </c>
      <c r="AO43" s="2">
        <v>28.085000000000001</v>
      </c>
      <c r="AP43" s="2">
        <v>47.866999999999997</v>
      </c>
      <c r="AQ43" s="2">
        <v>26.9815386</v>
      </c>
      <c r="AR43" s="2">
        <v>51.996099999999998</v>
      </c>
      <c r="AS43" s="2">
        <v>55.844999999999999</v>
      </c>
      <c r="AT43" s="2">
        <v>54.938045000000002</v>
      </c>
      <c r="AU43" s="2">
        <v>24.305</v>
      </c>
      <c r="AV43" s="2">
        <v>40.078000000000003</v>
      </c>
      <c r="AW43" s="2">
        <v>22.989769280000001</v>
      </c>
      <c r="AX43" s="2">
        <v>39.098300000000002</v>
      </c>
      <c r="AY43" s="2">
        <v>58.693399999999997</v>
      </c>
      <c r="BA43" s="2">
        <f t="shared" si="208"/>
        <v>60.082999999999998</v>
      </c>
      <c r="BB43" s="2">
        <f t="shared" si="209"/>
        <v>79.864999999999995</v>
      </c>
      <c r="BC43" s="2">
        <f t="shared" si="210"/>
        <v>101.9600772</v>
      </c>
      <c r="BD43" s="2">
        <f t="shared" si="211"/>
        <v>151.98919999999998</v>
      </c>
      <c r="BE43" s="2">
        <f t="shared" si="212"/>
        <v>71.843999999999994</v>
      </c>
      <c r="BF43" s="2">
        <f t="shared" si="213"/>
        <v>70.937044999999998</v>
      </c>
      <c r="BG43" s="2">
        <f t="shared" si="214"/>
        <v>40.304000000000002</v>
      </c>
      <c r="BH43" s="2">
        <f t="shared" si="215"/>
        <v>56.077000000000005</v>
      </c>
      <c r="BI43" s="2">
        <f t="shared" si="216"/>
        <v>61.978538560000004</v>
      </c>
      <c r="BJ43" s="2">
        <f t="shared" si="217"/>
        <v>94.195599999999999</v>
      </c>
      <c r="BK43" s="2">
        <f t="shared" si="218"/>
        <v>74.692399999999992</v>
      </c>
      <c r="BM43" s="2">
        <f t="shared" si="3"/>
        <v>0.68126591548358117</v>
      </c>
      <c r="BN43" s="2">
        <f t="shared" si="4"/>
        <v>0</v>
      </c>
      <c r="BO43" s="2">
        <f t="shared" si="5"/>
        <v>2.7901591430786588E-4</v>
      </c>
      <c r="BP43" s="2">
        <f t="shared" si="6"/>
        <v>1.4803683419611398E-4</v>
      </c>
      <c r="BQ43" s="2">
        <f t="shared" si="7"/>
        <v>0.13146539724959636</v>
      </c>
      <c r="BR43" s="2">
        <f t="shared" si="8"/>
        <v>1.8502321318853924E-3</v>
      </c>
      <c r="BS43" s="2">
        <f t="shared" si="9"/>
        <v>1.2183964370782057</v>
      </c>
      <c r="BT43" s="2">
        <f t="shared" si="10"/>
        <v>0</v>
      </c>
      <c r="BU43" s="2">
        <f t="shared" si="11"/>
        <v>0</v>
      </c>
      <c r="BV43" s="2">
        <f t="shared" si="12"/>
        <v>0</v>
      </c>
      <c r="BW43" s="2">
        <f t="shared" si="13"/>
        <v>5.0205911177040779E-3</v>
      </c>
      <c r="BY43" s="2">
        <f t="shared" si="219"/>
        <v>0.68126591548358117</v>
      </c>
      <c r="BZ43" s="2">
        <f t="shared" si="220"/>
        <v>0</v>
      </c>
      <c r="CA43" s="2">
        <f t="shared" si="221"/>
        <v>5.5803182861573176E-4</v>
      </c>
      <c r="CB43" s="2">
        <f t="shared" si="222"/>
        <v>2.9607366839222795E-4</v>
      </c>
      <c r="CC43" s="2">
        <f t="shared" si="223"/>
        <v>0.13146539724959636</v>
      </c>
      <c r="CD43" s="2">
        <f t="shared" si="224"/>
        <v>1.8502321318853924E-3</v>
      </c>
      <c r="CE43" s="2">
        <f t="shared" si="225"/>
        <v>1.2183964370782057</v>
      </c>
      <c r="CF43" s="2">
        <f t="shared" si="226"/>
        <v>0</v>
      </c>
      <c r="CG43" s="2">
        <f t="shared" si="227"/>
        <v>0</v>
      </c>
      <c r="CH43" s="2">
        <f t="shared" si="228"/>
        <v>0</v>
      </c>
      <c r="CI43" s="2">
        <f t="shared" si="229"/>
        <v>5.0205911177040779E-3</v>
      </c>
      <c r="CK43" s="2">
        <f t="shared" si="230"/>
        <v>1.3625318309671623</v>
      </c>
      <c r="CL43" s="2">
        <f t="shared" si="231"/>
        <v>0</v>
      </c>
      <c r="CM43" s="2">
        <f t="shared" si="232"/>
        <v>8.3704774292359769E-4</v>
      </c>
      <c r="CN43" s="2">
        <f t="shared" si="233"/>
        <v>4.4411050258834193E-4</v>
      </c>
      <c r="CO43" s="2">
        <f t="shared" si="234"/>
        <v>0.13146539724959636</v>
      </c>
      <c r="CP43" s="2">
        <f t="shared" si="235"/>
        <v>1.8502321318853924E-3</v>
      </c>
      <c r="CQ43" s="2">
        <f t="shared" si="236"/>
        <v>1.2183964370782057</v>
      </c>
      <c r="CR43" s="2">
        <f t="shared" si="237"/>
        <v>0</v>
      </c>
      <c r="CS43" s="2">
        <f t="shared" si="238"/>
        <v>0</v>
      </c>
      <c r="CT43" s="2">
        <f t="shared" si="239"/>
        <v>0</v>
      </c>
      <c r="CU43" s="2">
        <f t="shared" si="240"/>
        <v>5.0205911177040779E-3</v>
      </c>
      <c r="CW43" s="14">
        <f t="shared" si="241"/>
        <v>2.7205456467900655</v>
      </c>
      <c r="CY43" s="14">
        <f t="shared" si="242"/>
        <v>1.4702932864660974</v>
      </c>
      <c r="DA43" s="16">
        <f t="shared" si="243"/>
        <v>1.0016607018336892</v>
      </c>
      <c r="DB43" s="16">
        <f t="shared" si="244"/>
        <v>0</v>
      </c>
      <c r="DC43" s="16">
        <f t="shared" si="245"/>
        <v>8.2047045124811029E-4</v>
      </c>
      <c r="DD43" s="16">
        <f t="shared" si="246"/>
        <v>4.3531512693648235E-4</v>
      </c>
      <c r="DE43" s="16">
        <f t="shared" si="247"/>
        <v>0.19329269097868007</v>
      </c>
      <c r="DF43" s="16">
        <f t="shared" si="248"/>
        <v>2.7203838819149471E-3</v>
      </c>
      <c r="DG43" s="16">
        <f t="shared" si="249"/>
        <v>1.7914001016902985</v>
      </c>
      <c r="DH43" s="16">
        <f t="shared" si="250"/>
        <v>0</v>
      </c>
      <c r="DI43" s="16">
        <f t="shared" si="251"/>
        <v>0</v>
      </c>
      <c r="DJ43" s="16">
        <f t="shared" si="252"/>
        <v>0</v>
      </c>
      <c r="DK43" s="16">
        <f t="shared" si="253"/>
        <v>7.3817414144516256E-3</v>
      </c>
      <c r="DL43" s="16">
        <f t="shared" si="22"/>
        <v>0.90260825670720379</v>
      </c>
      <c r="DN43" s="2">
        <f t="shared" si="23"/>
        <v>0</v>
      </c>
      <c r="DO43" s="2">
        <f t="shared" si="24"/>
        <v>0</v>
      </c>
      <c r="DP43" s="2">
        <f t="shared" si="25"/>
        <v>0</v>
      </c>
      <c r="DQ43" s="2">
        <f t="shared" si="26"/>
        <v>0</v>
      </c>
      <c r="DR43" s="2">
        <f t="shared" si="27"/>
        <v>0</v>
      </c>
      <c r="DS43" s="2">
        <f t="shared" si="28"/>
        <v>0</v>
      </c>
      <c r="DT43" s="2">
        <f t="shared" si="29"/>
        <v>0</v>
      </c>
      <c r="DU43" s="2">
        <f t="shared" si="30"/>
        <v>0</v>
      </c>
      <c r="DV43" s="2">
        <f t="shared" si="31"/>
        <v>0</v>
      </c>
      <c r="DW43" s="2">
        <f t="shared" si="32"/>
        <v>0</v>
      </c>
      <c r="DX43" s="2">
        <f t="shared" si="33"/>
        <v>0</v>
      </c>
      <c r="DZ43" s="2">
        <f t="shared" si="254"/>
        <v>0</v>
      </c>
      <c r="EA43" s="2">
        <f t="shared" si="255"/>
        <v>0</v>
      </c>
      <c r="EB43" s="2">
        <f t="shared" si="256"/>
        <v>0</v>
      </c>
      <c r="EC43" s="2">
        <f t="shared" si="257"/>
        <v>0</v>
      </c>
      <c r="ED43" s="2">
        <f t="shared" si="258"/>
        <v>0</v>
      </c>
      <c r="EE43" s="2">
        <f t="shared" si="259"/>
        <v>0</v>
      </c>
      <c r="EF43" s="2">
        <f t="shared" si="260"/>
        <v>0</v>
      </c>
      <c r="EG43" s="2">
        <f t="shared" si="261"/>
        <v>0</v>
      </c>
      <c r="EH43" s="2">
        <f t="shared" si="262"/>
        <v>0</v>
      </c>
      <c r="EI43" s="2">
        <f t="shared" si="263"/>
        <v>0</v>
      </c>
      <c r="EJ43" s="2">
        <f t="shared" si="264"/>
        <v>0</v>
      </c>
      <c r="EL43" s="16">
        <f t="shared" si="265"/>
        <v>0</v>
      </c>
      <c r="EN43" s="14" t="e">
        <f t="shared" si="266"/>
        <v>#DIV/0!</v>
      </c>
      <c r="EP43" s="16" t="e">
        <f t="shared" si="267"/>
        <v>#DIV/0!</v>
      </c>
      <c r="EQ43" s="16" t="e">
        <f t="shared" si="268"/>
        <v>#DIV/0!</v>
      </c>
      <c r="ER43" s="16" t="e">
        <f t="shared" si="269"/>
        <v>#DIV/0!</v>
      </c>
      <c r="ES43" s="16" t="e">
        <f t="shared" si="270"/>
        <v>#DIV/0!</v>
      </c>
      <c r="ET43" s="16" t="e">
        <f t="shared" si="271"/>
        <v>#DIV/0!</v>
      </c>
      <c r="EU43" s="16" t="e">
        <f t="shared" si="272"/>
        <v>#DIV/0!</v>
      </c>
      <c r="EV43" s="16" t="e">
        <f t="shared" si="273"/>
        <v>#DIV/0!</v>
      </c>
      <c r="EW43" s="16" t="e">
        <f t="shared" si="274"/>
        <v>#DIV/0!</v>
      </c>
      <c r="EX43" s="16" t="e">
        <f t="shared" si="275"/>
        <v>#DIV/0!</v>
      </c>
      <c r="EY43" s="16" t="e">
        <f t="shared" si="276"/>
        <v>#DIV/0!</v>
      </c>
      <c r="EZ43" s="16" t="e">
        <f t="shared" si="277"/>
        <v>#DIV/0!</v>
      </c>
      <c r="FB43" s="14" t="e">
        <f t="shared" si="40"/>
        <v>#DIV/0!</v>
      </c>
      <c r="FC43" s="4" t="e">
        <f t="shared" si="41"/>
        <v>#DIV/0!</v>
      </c>
      <c r="FD43" s="4" t="e">
        <f t="shared" si="42"/>
        <v>#DIV/0!</v>
      </c>
      <c r="FE43" s="4" t="e">
        <f t="shared" si="43"/>
        <v>#DIV/0!</v>
      </c>
      <c r="FG43" s="4" t="e">
        <f t="shared" si="44"/>
        <v>#NUM!</v>
      </c>
    </row>
    <row r="44" spans="1:163" x14ac:dyDescent="0.2">
      <c r="A44" s="24" t="s">
        <v>159</v>
      </c>
      <c r="B44" s="60" t="s">
        <v>165</v>
      </c>
      <c r="C44" s="138">
        <v>40.71125</v>
      </c>
      <c r="D44" s="98">
        <v>2.5000000000000001E-3</v>
      </c>
      <c r="E44" s="148">
        <f t="shared" si="203"/>
        <v>3.2353584967662496E-2</v>
      </c>
      <c r="F44" s="138">
        <v>8.7500000000000008E-3</v>
      </c>
      <c r="G44" s="138">
        <v>10.69875</v>
      </c>
      <c r="H44" s="138">
        <v>0.14874999999999999</v>
      </c>
      <c r="I44" s="138">
        <v>48.104999999999997</v>
      </c>
      <c r="J44" s="150">
        <f t="shared" si="204"/>
        <v>3.8406992557842183E-2</v>
      </c>
      <c r="K44" s="98"/>
      <c r="L44" s="98"/>
      <c r="M44" s="138">
        <v>0.34249999999999997</v>
      </c>
      <c r="N44" s="141">
        <v>171.23330651990057</v>
      </c>
      <c r="O44" s="142">
        <v>274.49318753378373</v>
      </c>
      <c r="P44" s="11"/>
      <c r="Q44" s="140">
        <v>52.007062499999996</v>
      </c>
      <c r="R44" s="140">
        <v>0.48891925000000003</v>
      </c>
      <c r="S44" s="140">
        <v>5.5748288749999997</v>
      </c>
      <c r="T44" s="140">
        <v>0.86968912499999984</v>
      </c>
      <c r="U44" s="140">
        <v>3.453055</v>
      </c>
      <c r="V44" s="140">
        <v>0.10983900000000001</v>
      </c>
      <c r="W44" s="140">
        <v>16.973824999999998</v>
      </c>
      <c r="X44" s="140">
        <v>19.5775875</v>
      </c>
      <c r="Y44" s="140">
        <v>0.94534487499999997</v>
      </c>
      <c r="Z44" s="100">
        <v>6.3870000000000003E-3</v>
      </c>
      <c r="AA44" s="140">
        <v>4.7576750000000001E-2</v>
      </c>
      <c r="AC44" s="139">
        <v>57.45</v>
      </c>
      <c r="AD44" s="139">
        <v>9.6474999999999991</v>
      </c>
      <c r="AE44" s="11"/>
      <c r="AF44" s="83">
        <f t="shared" si="205"/>
        <v>0.10124709789447675</v>
      </c>
      <c r="AG44" s="22">
        <f t="shared" si="0"/>
        <v>5.6316074791405561E-4</v>
      </c>
      <c r="AH44" s="126">
        <f t="shared" si="206"/>
        <v>1082.7837559219047</v>
      </c>
      <c r="AI44" s="126">
        <f>(10539+79.8*AL44*10)/(15.45-LN(O44))-273</f>
        <v>1082.6335673870014</v>
      </c>
      <c r="AJ44" s="126">
        <f>AH44-AI44</f>
        <v>0.15018853490323636</v>
      </c>
      <c r="AK44" s="12"/>
      <c r="AL44" s="25">
        <f>FE44</f>
        <v>3.5009471825889498</v>
      </c>
      <c r="AN44" s="2">
        <v>15.999000000000001</v>
      </c>
      <c r="AO44" s="2">
        <v>28.085000000000001</v>
      </c>
      <c r="AP44" s="2">
        <v>47.866999999999997</v>
      </c>
      <c r="AQ44" s="2">
        <v>26.9815386</v>
      </c>
      <c r="AR44" s="2">
        <v>51.996099999999998</v>
      </c>
      <c r="AS44" s="2">
        <v>55.844999999999999</v>
      </c>
      <c r="AT44" s="2">
        <v>54.938045000000002</v>
      </c>
      <c r="AU44" s="2">
        <v>24.305</v>
      </c>
      <c r="AV44" s="2">
        <v>40.078000000000003</v>
      </c>
      <c r="AW44" s="2">
        <v>22.989769280000001</v>
      </c>
      <c r="AX44" s="2">
        <v>39.098300000000002</v>
      </c>
      <c r="AY44" s="2">
        <v>58.693399999999997</v>
      </c>
      <c r="BA44" s="2">
        <f t="shared" si="208"/>
        <v>60.082999999999998</v>
      </c>
      <c r="BB44" s="2">
        <f t="shared" si="209"/>
        <v>79.864999999999995</v>
      </c>
      <c r="BC44" s="2">
        <f t="shared" si="210"/>
        <v>101.9600772</v>
      </c>
      <c r="BD44" s="2">
        <f t="shared" si="211"/>
        <v>151.98919999999998</v>
      </c>
      <c r="BE44" s="2">
        <f t="shared" si="212"/>
        <v>71.843999999999994</v>
      </c>
      <c r="BF44" s="2">
        <f t="shared" si="213"/>
        <v>70.937044999999998</v>
      </c>
      <c r="BG44" s="2">
        <f t="shared" si="214"/>
        <v>40.304000000000002</v>
      </c>
      <c r="BH44" s="2">
        <f t="shared" si="215"/>
        <v>56.077000000000005</v>
      </c>
      <c r="BI44" s="2">
        <f t="shared" si="216"/>
        <v>61.978538560000004</v>
      </c>
      <c r="BJ44" s="2">
        <f t="shared" si="217"/>
        <v>94.195599999999999</v>
      </c>
      <c r="BK44" s="2">
        <f t="shared" si="218"/>
        <v>74.692399999999992</v>
      </c>
      <c r="BM44" s="2">
        <f t="shared" si="3"/>
        <v>0.67758350947855472</v>
      </c>
      <c r="BN44" s="2">
        <f t="shared" si="4"/>
        <v>3.1302823514681028E-5</v>
      </c>
      <c r="BO44" s="2">
        <f t="shared" si="5"/>
        <v>3.1731620705032669E-4</v>
      </c>
      <c r="BP44" s="2">
        <f t="shared" si="6"/>
        <v>5.7569879965155434E-5</v>
      </c>
      <c r="BQ44" s="2">
        <f t="shared" si="7"/>
        <v>0.14891640220477703</v>
      </c>
      <c r="BR44" s="2">
        <f t="shared" si="8"/>
        <v>2.096929749470111E-3</v>
      </c>
      <c r="BS44" s="2">
        <f t="shared" si="9"/>
        <v>1.1935539896784437</v>
      </c>
      <c r="BT44" s="2">
        <f t="shared" si="10"/>
        <v>6.8489741886766729E-4</v>
      </c>
      <c r="BU44" s="2">
        <f t="shared" si="11"/>
        <v>0</v>
      </c>
      <c r="BV44" s="2">
        <f t="shared" si="12"/>
        <v>0</v>
      </c>
      <c r="BW44" s="2">
        <f t="shared" si="13"/>
        <v>4.5854732208363905E-3</v>
      </c>
      <c r="BY44" s="2">
        <f t="shared" si="219"/>
        <v>0.67758350947855472</v>
      </c>
      <c r="BZ44" s="2">
        <f t="shared" si="220"/>
        <v>3.1302823514681028E-5</v>
      </c>
      <c r="CA44" s="2">
        <f t="shared" si="221"/>
        <v>6.3463241410065339E-4</v>
      </c>
      <c r="CB44" s="2">
        <f t="shared" si="222"/>
        <v>1.1513975993031087E-4</v>
      </c>
      <c r="CC44" s="2">
        <f t="shared" si="223"/>
        <v>0.14891640220477703</v>
      </c>
      <c r="CD44" s="2">
        <f t="shared" si="224"/>
        <v>2.096929749470111E-3</v>
      </c>
      <c r="CE44" s="2">
        <f t="shared" si="225"/>
        <v>1.1935539896784437</v>
      </c>
      <c r="CF44" s="2">
        <f t="shared" si="226"/>
        <v>6.8489741886766729E-4</v>
      </c>
      <c r="CG44" s="2">
        <f t="shared" si="227"/>
        <v>0</v>
      </c>
      <c r="CH44" s="2">
        <f t="shared" si="228"/>
        <v>0</v>
      </c>
      <c r="CI44" s="2">
        <f t="shared" si="229"/>
        <v>4.5854732208363905E-3</v>
      </c>
      <c r="CK44" s="2">
        <f t="shared" si="230"/>
        <v>1.3551670189571094</v>
      </c>
      <c r="CL44" s="2">
        <f t="shared" si="231"/>
        <v>6.2605647029362056E-5</v>
      </c>
      <c r="CM44" s="2">
        <f t="shared" si="232"/>
        <v>9.5194862115098003E-4</v>
      </c>
      <c r="CN44" s="2">
        <f t="shared" si="233"/>
        <v>1.7270963989546632E-4</v>
      </c>
      <c r="CO44" s="2">
        <f t="shared" si="234"/>
        <v>0.14891640220477703</v>
      </c>
      <c r="CP44" s="2">
        <f t="shared" si="235"/>
        <v>2.096929749470111E-3</v>
      </c>
      <c r="CQ44" s="2">
        <f t="shared" si="236"/>
        <v>1.1935539896784437</v>
      </c>
      <c r="CR44" s="2">
        <f t="shared" si="237"/>
        <v>6.8489741886766729E-4</v>
      </c>
      <c r="CS44" s="2">
        <f t="shared" si="238"/>
        <v>0</v>
      </c>
      <c r="CT44" s="2">
        <f t="shared" si="239"/>
        <v>0</v>
      </c>
      <c r="CU44" s="2">
        <f t="shared" si="240"/>
        <v>4.5854732208363905E-3</v>
      </c>
      <c r="CW44" s="14">
        <f t="shared" si="241"/>
        <v>2.7061919751375805</v>
      </c>
      <c r="CY44" s="14">
        <f t="shared" si="242"/>
        <v>1.4780917380396279</v>
      </c>
      <c r="DA44" s="16">
        <f t="shared" si="243"/>
        <v>1.0015305871921476</v>
      </c>
      <c r="DB44" s="16">
        <f t="shared" si="244"/>
        <v>4.6268444814362615E-5</v>
      </c>
      <c r="DC44" s="16">
        <f t="shared" si="245"/>
        <v>9.3804492797431964E-4</v>
      </c>
      <c r="DD44" s="16">
        <f t="shared" si="246"/>
        <v>1.7018712787285871E-4</v>
      </c>
      <c r="DE44" s="16">
        <f t="shared" si="247"/>
        <v>0.22011210375746715</v>
      </c>
      <c r="DF44" s="16">
        <f t="shared" si="248"/>
        <v>3.0994545379412776E-3</v>
      </c>
      <c r="DG44" s="16">
        <f t="shared" si="249"/>
        <v>1.764182291047943</v>
      </c>
      <c r="DH44" s="16">
        <f t="shared" si="250"/>
        <v>1.0123412162329653E-3</v>
      </c>
      <c r="DI44" s="16">
        <f t="shared" si="251"/>
        <v>0</v>
      </c>
      <c r="DJ44" s="16">
        <f t="shared" si="252"/>
        <v>0</v>
      </c>
      <c r="DK44" s="16">
        <f t="shared" si="253"/>
        <v>6.7777500827202308E-3</v>
      </c>
      <c r="DL44" s="16">
        <f t="shared" si="22"/>
        <v>0.88907285918173828</v>
      </c>
      <c r="DN44" s="2">
        <f t="shared" si="23"/>
        <v>0.86558697967811193</v>
      </c>
      <c r="DO44" s="2">
        <f t="shared" si="24"/>
        <v>6.1218211982720849E-3</v>
      </c>
      <c r="DP44" s="2">
        <f t="shared" si="25"/>
        <v>5.4676585464570437E-2</v>
      </c>
      <c r="DQ44" s="2">
        <f t="shared" si="26"/>
        <v>5.7220455466572622E-3</v>
      </c>
      <c r="DR44" s="2">
        <f t="shared" si="27"/>
        <v>4.8063234229719955E-2</v>
      </c>
      <c r="DS44" s="2">
        <f t="shared" si="28"/>
        <v>1.5484011210221684E-3</v>
      </c>
      <c r="DT44" s="2">
        <f t="shared" si="29"/>
        <v>0.42114492358078598</v>
      </c>
      <c r="DU44" s="2">
        <f t="shared" si="30"/>
        <v>0.34911973714713695</v>
      </c>
      <c r="DV44" s="2">
        <f t="shared" si="31"/>
        <v>1.5252777767336887E-2</v>
      </c>
      <c r="DW44" s="2">
        <f t="shared" si="32"/>
        <v>6.7805714916620307E-5</v>
      </c>
      <c r="DX44" s="2">
        <f t="shared" si="33"/>
        <v>6.3696908922460658E-4</v>
      </c>
      <c r="DZ44" s="2">
        <f t="shared" si="254"/>
        <v>1.7311739593562239</v>
      </c>
      <c r="EA44" s="2">
        <f t="shared" si="255"/>
        <v>1.224364239654417E-2</v>
      </c>
      <c r="EB44" s="2">
        <f t="shared" si="256"/>
        <v>0.16402975639371131</v>
      </c>
      <c r="EC44" s="2">
        <f t="shared" si="257"/>
        <v>1.7166136639971786E-2</v>
      </c>
      <c r="ED44" s="2">
        <f t="shared" si="258"/>
        <v>4.8063234229719955E-2</v>
      </c>
      <c r="EE44" s="2">
        <f t="shared" si="259"/>
        <v>1.5484011210221684E-3</v>
      </c>
      <c r="EF44" s="2">
        <f t="shared" si="260"/>
        <v>0.42114492358078598</v>
      </c>
      <c r="EG44" s="2">
        <f t="shared" si="261"/>
        <v>0.34911973714713695</v>
      </c>
      <c r="EH44" s="2">
        <f t="shared" si="262"/>
        <v>1.5252777767336887E-2</v>
      </c>
      <c r="EI44" s="2">
        <f t="shared" si="263"/>
        <v>6.7805714916620307E-5</v>
      </c>
      <c r="EJ44" s="2">
        <f t="shared" si="264"/>
        <v>6.3696908922460658E-4</v>
      </c>
      <c r="EL44" s="16">
        <f t="shared" si="265"/>
        <v>2.7604473434365944</v>
      </c>
      <c r="EN44" s="14">
        <f t="shared" si="266"/>
        <v>2.1735607506754153</v>
      </c>
      <c r="EP44" s="16">
        <f t="shared" si="267"/>
        <v>1.8814058853240225</v>
      </c>
      <c r="EQ44" s="16">
        <f t="shared" si="268"/>
        <v>1.3306150279216944E-2</v>
      </c>
      <c r="ER44" s="16">
        <f t="shared" si="269"/>
        <v>0.23768576029348043</v>
      </c>
      <c r="ES44" s="16">
        <f t="shared" si="270"/>
        <v>2.4874427227582551E-2</v>
      </c>
      <c r="ET44" s="16">
        <f t="shared" si="271"/>
        <v>0.10446835947223843</v>
      </c>
      <c r="EU44" s="16">
        <f t="shared" si="272"/>
        <v>3.3655439029555991E-3</v>
      </c>
      <c r="EV44" s="16">
        <f t="shared" si="273"/>
        <v>0.91538407624139362</v>
      </c>
      <c r="EW44" s="16">
        <f t="shared" si="274"/>
        <v>0.75883295794913463</v>
      </c>
      <c r="EX44" s="16">
        <f t="shared" si="275"/>
        <v>6.6305678187716099E-2</v>
      </c>
      <c r="EY44" s="16">
        <f t="shared" si="276"/>
        <v>2.9475968122850488E-4</v>
      </c>
      <c r="EZ44" s="16">
        <f t="shared" si="277"/>
        <v>1.3844910117320715E-3</v>
      </c>
      <c r="FB44" s="14">
        <f t="shared" si="40"/>
        <v>-6.6195159871937852</v>
      </c>
      <c r="FC44" s="4">
        <f t="shared" si="41"/>
        <v>3.357671897474662</v>
      </c>
      <c r="FD44" s="4">
        <f t="shared" si="42"/>
        <v>3.5009471825889498</v>
      </c>
      <c r="FE44" s="4">
        <f t="shared" si="43"/>
        <v>3.5009471825889498</v>
      </c>
      <c r="FG44" s="4">
        <f t="shared" si="44"/>
        <v>4.3121896153686077</v>
      </c>
    </row>
    <row r="45" spans="1:163" x14ac:dyDescent="0.2">
      <c r="A45" s="24" t="s">
        <v>160</v>
      </c>
      <c r="B45" s="60" t="s">
        <v>165</v>
      </c>
      <c r="C45" s="138">
        <v>40.897500000000008</v>
      </c>
      <c r="D45" s="98"/>
      <c r="E45" s="148">
        <f t="shared" si="203"/>
        <v>2.4125560463848079E-2</v>
      </c>
      <c r="F45" s="138">
        <v>2.8750000000000005E-2</v>
      </c>
      <c r="G45" s="138">
        <v>9.370000000000001</v>
      </c>
      <c r="H45" s="138">
        <v>0.13750000000000001</v>
      </c>
      <c r="I45" s="138">
        <v>49.195000000000007</v>
      </c>
      <c r="J45" s="150">
        <f t="shared" si="204"/>
        <v>4.0173122724610849E-2</v>
      </c>
      <c r="K45" s="98"/>
      <c r="L45" s="98">
        <v>1.25E-3</v>
      </c>
      <c r="M45" s="138">
        <v>0.37124999999999997</v>
      </c>
      <c r="N45" s="141">
        <v>127.68598886335282</v>
      </c>
      <c r="O45" s="142">
        <v>287.11564679939261</v>
      </c>
      <c r="P45" s="11"/>
      <c r="Q45" s="140">
        <v>52.277200000000001</v>
      </c>
      <c r="R45" s="140">
        <v>0.17410274999999997</v>
      </c>
      <c r="S45" s="140">
        <v>5.3937574999999995</v>
      </c>
      <c r="T45" s="140">
        <v>1.142685</v>
      </c>
      <c r="U45" s="140">
        <v>3.04643</v>
      </c>
      <c r="V45" s="140">
        <v>9.0112749999999991E-2</v>
      </c>
      <c r="W45" s="140">
        <v>17.051399999999997</v>
      </c>
      <c r="X45" s="140">
        <v>19.989474999999999</v>
      </c>
      <c r="Y45" s="140">
        <v>0.97656524999999994</v>
      </c>
      <c r="Z45" s="100">
        <v>8.422499999999999E-4</v>
      </c>
      <c r="AA45" s="140">
        <v>5.5033749999999999E-2</v>
      </c>
      <c r="AC45" s="139">
        <v>46.962499999999999</v>
      </c>
      <c r="AD45" s="139">
        <v>21.253750000000004</v>
      </c>
      <c r="AE45" s="11"/>
      <c r="AF45" s="83">
        <f t="shared" si="205"/>
        <v>0.23289357341920108</v>
      </c>
      <c r="AG45" s="22">
        <f t="shared" si="0"/>
        <v>5.1371967982641634E-4</v>
      </c>
      <c r="AH45" s="126">
        <f t="shared" si="206"/>
        <v>1047.2006896739433</v>
      </c>
      <c r="AI45" s="126">
        <f>(10539+79.8*AL45*10)/(15.45-LN(O45))-273</f>
        <v>1047.0504607356829</v>
      </c>
      <c r="AJ45" s="126">
        <f>AH45-AI45</f>
        <v>0.15022893826039763</v>
      </c>
      <c r="AK45" s="12"/>
      <c r="AL45" s="25">
        <f>FE45</f>
        <v>2.9880271980527109</v>
      </c>
      <c r="AN45" s="2">
        <v>15.999000000000001</v>
      </c>
      <c r="AO45" s="2">
        <v>28.085000000000001</v>
      </c>
      <c r="AP45" s="2">
        <v>47.866999999999997</v>
      </c>
      <c r="AQ45" s="2">
        <v>26.9815386</v>
      </c>
      <c r="AR45" s="2">
        <v>51.996099999999998</v>
      </c>
      <c r="AS45" s="2">
        <v>55.844999999999999</v>
      </c>
      <c r="AT45" s="2">
        <v>54.938045000000002</v>
      </c>
      <c r="AU45" s="2">
        <v>24.305</v>
      </c>
      <c r="AV45" s="2">
        <v>40.078000000000003</v>
      </c>
      <c r="AW45" s="2">
        <v>22.989769280000001</v>
      </c>
      <c r="AX45" s="2">
        <v>39.098300000000002</v>
      </c>
      <c r="AY45" s="2">
        <v>58.693399999999997</v>
      </c>
      <c r="BA45" s="2">
        <f t="shared" si="208"/>
        <v>60.082999999999998</v>
      </c>
      <c r="BB45" s="2">
        <f t="shared" si="209"/>
        <v>79.864999999999995</v>
      </c>
      <c r="BC45" s="2">
        <f t="shared" si="210"/>
        <v>101.9600772</v>
      </c>
      <c r="BD45" s="2">
        <f t="shared" si="211"/>
        <v>151.98919999999998</v>
      </c>
      <c r="BE45" s="2">
        <f t="shared" si="212"/>
        <v>71.843999999999994</v>
      </c>
      <c r="BF45" s="2">
        <f t="shared" si="213"/>
        <v>70.937044999999998</v>
      </c>
      <c r="BG45" s="2">
        <f t="shared" si="214"/>
        <v>40.304000000000002</v>
      </c>
      <c r="BH45" s="2">
        <f t="shared" si="215"/>
        <v>56.077000000000005</v>
      </c>
      <c r="BI45" s="2">
        <f t="shared" si="216"/>
        <v>61.978538560000004</v>
      </c>
      <c r="BJ45" s="2">
        <f t="shared" si="217"/>
        <v>94.195599999999999</v>
      </c>
      <c r="BK45" s="2">
        <f t="shared" si="218"/>
        <v>74.692399999999992</v>
      </c>
      <c r="BM45" s="2">
        <f t="shared" si="3"/>
        <v>0.6806833879799612</v>
      </c>
      <c r="BN45" s="2">
        <f t="shared" si="4"/>
        <v>0</v>
      </c>
      <c r="BO45" s="2">
        <f t="shared" si="5"/>
        <v>2.3661771476030306E-4</v>
      </c>
      <c r="BP45" s="2">
        <f t="shared" si="6"/>
        <v>1.8915817702836786E-4</v>
      </c>
      <c r="BQ45" s="2">
        <f t="shared" si="7"/>
        <v>0.13042146873782084</v>
      </c>
      <c r="BR45" s="2">
        <f t="shared" si="8"/>
        <v>1.9383384238799348E-3</v>
      </c>
      <c r="BS45" s="2">
        <f t="shared" si="9"/>
        <v>1.2205984517665742</v>
      </c>
      <c r="BT45" s="2">
        <f t="shared" si="10"/>
        <v>7.1639215230149341E-4</v>
      </c>
      <c r="BU45" s="2">
        <f t="shared" si="11"/>
        <v>0</v>
      </c>
      <c r="BV45" s="2">
        <f t="shared" si="12"/>
        <v>1.32702589080594E-5</v>
      </c>
      <c r="BW45" s="2">
        <f t="shared" si="13"/>
        <v>4.9703852065270367E-3</v>
      </c>
      <c r="BY45" s="2">
        <f t="shared" si="219"/>
        <v>0.6806833879799612</v>
      </c>
      <c r="BZ45" s="2">
        <f t="shared" si="220"/>
        <v>0</v>
      </c>
      <c r="CA45" s="2">
        <f t="shared" si="221"/>
        <v>4.7323542952060611E-4</v>
      </c>
      <c r="CB45" s="2">
        <f t="shared" si="222"/>
        <v>3.7831635405673571E-4</v>
      </c>
      <c r="CC45" s="2">
        <f t="shared" si="223"/>
        <v>0.13042146873782084</v>
      </c>
      <c r="CD45" s="2">
        <f t="shared" si="224"/>
        <v>1.9383384238799348E-3</v>
      </c>
      <c r="CE45" s="2">
        <f t="shared" si="225"/>
        <v>1.2205984517665742</v>
      </c>
      <c r="CF45" s="2">
        <f t="shared" si="226"/>
        <v>7.1639215230149341E-4</v>
      </c>
      <c r="CG45" s="2">
        <f t="shared" si="227"/>
        <v>0</v>
      </c>
      <c r="CH45" s="2">
        <f t="shared" si="228"/>
        <v>2.65405178161188E-5</v>
      </c>
      <c r="CI45" s="2">
        <f t="shared" si="229"/>
        <v>4.9703852065270367E-3</v>
      </c>
      <c r="CK45" s="2">
        <f t="shared" si="230"/>
        <v>1.3613667759599224</v>
      </c>
      <c r="CL45" s="2">
        <f t="shared" si="231"/>
        <v>0</v>
      </c>
      <c r="CM45" s="2">
        <f t="shared" si="232"/>
        <v>7.0985314428090914E-4</v>
      </c>
      <c r="CN45" s="2">
        <f t="shared" si="233"/>
        <v>5.6747453108510352E-4</v>
      </c>
      <c r="CO45" s="2">
        <f t="shared" si="234"/>
        <v>0.13042146873782084</v>
      </c>
      <c r="CP45" s="2">
        <f t="shared" si="235"/>
        <v>1.9383384238799348E-3</v>
      </c>
      <c r="CQ45" s="2">
        <f t="shared" si="236"/>
        <v>1.2205984517665742</v>
      </c>
      <c r="CR45" s="2">
        <f t="shared" si="237"/>
        <v>7.1639215230149341E-4</v>
      </c>
      <c r="CS45" s="2">
        <f t="shared" si="238"/>
        <v>0</v>
      </c>
      <c r="CT45" s="2">
        <f t="shared" si="239"/>
        <v>1.32702589080594E-5</v>
      </c>
      <c r="CU45" s="2">
        <f t="shared" si="240"/>
        <v>4.9703852065270367E-3</v>
      </c>
      <c r="CW45" s="14">
        <f t="shared" si="241"/>
        <v>2.7213024101813001</v>
      </c>
      <c r="CY45" s="14">
        <f t="shared" si="242"/>
        <v>1.4698844145489547</v>
      </c>
      <c r="DA45" s="16">
        <f t="shared" si="243"/>
        <v>1.0005259032341243</v>
      </c>
      <c r="DB45" s="16">
        <f t="shared" si="244"/>
        <v>0</v>
      </c>
      <c r="DC45" s="16">
        <f t="shared" si="245"/>
        <v>6.9560138226471924E-4</v>
      </c>
      <c r="DD45" s="16">
        <f t="shared" si="246"/>
        <v>5.5608131259698003E-4</v>
      </c>
      <c r="DE45" s="16">
        <f t="shared" si="247"/>
        <v>0.19170448422030659</v>
      </c>
      <c r="DF45" s="16">
        <f t="shared" si="248"/>
        <v>2.8491334393825015E-3</v>
      </c>
      <c r="DG45" s="16">
        <f t="shared" si="249"/>
        <v>1.7941386406742714</v>
      </c>
      <c r="DH45" s="16">
        <f t="shared" si="250"/>
        <v>1.0530136593731461E-3</v>
      </c>
      <c r="DI45" s="16">
        <f t="shared" si="251"/>
        <v>0</v>
      </c>
      <c r="DJ45" s="16">
        <f t="shared" si="252"/>
        <v>3.9011493491971886E-5</v>
      </c>
      <c r="DK45" s="16">
        <f t="shared" si="253"/>
        <v>7.3058917493787788E-3</v>
      </c>
      <c r="DL45" s="16">
        <f t="shared" si="22"/>
        <v>0.90346443693507583</v>
      </c>
      <c r="DN45" s="2">
        <f t="shared" si="23"/>
        <v>0.87008305177837331</v>
      </c>
      <c r="DO45" s="2">
        <f t="shared" si="24"/>
        <v>2.1799630626682526E-3</v>
      </c>
      <c r="DP45" s="2">
        <f t="shared" si="25"/>
        <v>5.2900680816667718E-2</v>
      </c>
      <c r="DQ45" s="2">
        <f t="shared" si="26"/>
        <v>7.5181986614838428E-3</v>
      </c>
      <c r="DR45" s="2">
        <f t="shared" si="27"/>
        <v>4.2403401815043706E-2</v>
      </c>
      <c r="DS45" s="2">
        <f t="shared" si="28"/>
        <v>1.2703200422289932E-3</v>
      </c>
      <c r="DT45" s="2">
        <f t="shared" si="29"/>
        <v>0.42306967050416822</v>
      </c>
      <c r="DU45" s="2">
        <f t="shared" si="30"/>
        <v>0.3564647716532624</v>
      </c>
      <c r="DV45" s="2">
        <f t="shared" si="31"/>
        <v>1.5756506569683141E-2</v>
      </c>
      <c r="DW45" s="2">
        <f t="shared" si="32"/>
        <v>8.9415004522504221E-6</v>
      </c>
      <c r="DX45" s="2">
        <f t="shared" si="33"/>
        <v>7.368052171305247E-4</v>
      </c>
      <c r="DZ45" s="2">
        <f t="shared" si="254"/>
        <v>1.7401661035567466</v>
      </c>
      <c r="EA45" s="2">
        <f t="shared" si="255"/>
        <v>4.3599261253365051E-3</v>
      </c>
      <c r="EB45" s="2">
        <f t="shared" si="256"/>
        <v>0.15870204245000316</v>
      </c>
      <c r="EC45" s="2">
        <f t="shared" si="257"/>
        <v>2.2554595984451527E-2</v>
      </c>
      <c r="ED45" s="2">
        <f t="shared" si="258"/>
        <v>4.2403401815043706E-2</v>
      </c>
      <c r="EE45" s="2">
        <f t="shared" si="259"/>
        <v>1.2703200422289932E-3</v>
      </c>
      <c r="EF45" s="2">
        <f t="shared" si="260"/>
        <v>0.42306967050416822</v>
      </c>
      <c r="EG45" s="2">
        <f t="shared" si="261"/>
        <v>0.3564647716532624</v>
      </c>
      <c r="EH45" s="2">
        <f t="shared" si="262"/>
        <v>1.5756506569683141E-2</v>
      </c>
      <c r="EI45" s="2">
        <f t="shared" si="263"/>
        <v>8.9415004522504221E-6</v>
      </c>
      <c r="EJ45" s="2">
        <f t="shared" si="264"/>
        <v>7.368052171305247E-4</v>
      </c>
      <c r="EL45" s="16">
        <f t="shared" si="265"/>
        <v>2.7654930854185071</v>
      </c>
      <c r="EN45" s="14">
        <f t="shared" si="266"/>
        <v>2.1695950106098381</v>
      </c>
      <c r="EP45" s="16">
        <f t="shared" si="267"/>
        <v>1.8877278479545401</v>
      </c>
      <c r="EQ45" s="16">
        <f t="shared" si="268"/>
        <v>4.7296369840787826E-3</v>
      </c>
      <c r="ER45" s="16">
        <f t="shared" si="269"/>
        <v>0.2295461063154117</v>
      </c>
      <c r="ES45" s="16">
        <f t="shared" si="270"/>
        <v>3.2622892609457818E-2</v>
      </c>
      <c r="ET45" s="16">
        <f t="shared" si="271"/>
        <v>9.1998209010802981E-2</v>
      </c>
      <c r="EU45" s="16">
        <f t="shared" si="272"/>
        <v>2.7560800254977026E-3</v>
      </c>
      <c r="EV45" s="16">
        <f t="shared" si="273"/>
        <v>0.91788984626619152</v>
      </c>
      <c r="EW45" s="16">
        <f t="shared" si="274"/>
        <v>0.77338419003709336</v>
      </c>
      <c r="EX45" s="16">
        <f t="shared" si="275"/>
        <v>6.8370476076451359E-2</v>
      </c>
      <c r="EY45" s="16">
        <f t="shared" si="276"/>
        <v>3.8798869537136254E-5</v>
      </c>
      <c r="EZ45" s="16">
        <f t="shared" si="277"/>
        <v>1.5985689228776847E-3</v>
      </c>
      <c r="FB45" s="14">
        <f t="shared" si="40"/>
        <v>-6.5991197318769155</v>
      </c>
      <c r="FC45" s="4">
        <f t="shared" si="41"/>
        <v>2.6620763540707593</v>
      </c>
      <c r="FD45" s="4">
        <f t="shared" si="42"/>
        <v>2.9880271980527109</v>
      </c>
      <c r="FE45" s="4">
        <f t="shared" si="43"/>
        <v>2.9880271980527109</v>
      </c>
      <c r="FG45" s="4">
        <f t="shared" si="44"/>
        <v>3.5270110685984073</v>
      </c>
    </row>
    <row r="46" spans="1:163" x14ac:dyDescent="0.2">
      <c r="A46" s="24" t="s">
        <v>161</v>
      </c>
      <c r="B46" s="60" t="s">
        <v>166</v>
      </c>
      <c r="C46" s="138">
        <v>41.050000000000004</v>
      </c>
      <c r="D46" s="98">
        <v>2.5000000000000001E-3</v>
      </c>
      <c r="E46" s="148">
        <f t="shared" si="203"/>
        <v>2.7768334616988299E-2</v>
      </c>
      <c r="F46" s="138">
        <v>1.5000000000000001E-2</v>
      </c>
      <c r="G46" s="138">
        <v>10.155000000000001</v>
      </c>
      <c r="H46" s="138">
        <v>0.13875000000000001</v>
      </c>
      <c r="I46" s="138">
        <v>48.290000000000006</v>
      </c>
      <c r="J46" s="150">
        <f t="shared" si="204"/>
        <v>3.8540427122476156E-2</v>
      </c>
      <c r="K46" s="98"/>
      <c r="L46" s="98"/>
      <c r="M46" s="138">
        <v>0.35249999999999998</v>
      </c>
      <c r="N46" s="141">
        <v>146.9655915339961</v>
      </c>
      <c r="O46" s="142">
        <v>275.44683884918942</v>
      </c>
      <c r="P46" s="11"/>
      <c r="Q46" s="140">
        <v>51.27258333333333</v>
      </c>
      <c r="R46" s="140">
        <v>0.42964125000000003</v>
      </c>
      <c r="S46" s="140">
        <v>7.1580983333333323</v>
      </c>
      <c r="T46" s="140">
        <v>0.66522941666666668</v>
      </c>
      <c r="U46" s="140">
        <v>3.3970716666666667</v>
      </c>
      <c r="V46" s="140">
        <v>9.2554166666666673E-2</v>
      </c>
      <c r="W46" s="140">
        <v>16.07041666666667</v>
      </c>
      <c r="X46" s="140">
        <v>19.574024999999999</v>
      </c>
      <c r="Y46" s="140">
        <v>1.1467158333333336</v>
      </c>
      <c r="Z46" s="100">
        <v>1.8091666666666666E-3</v>
      </c>
      <c r="AA46" s="140">
        <v>5.9905333333333338E-2</v>
      </c>
      <c r="AC46" s="139">
        <v>58.61</v>
      </c>
      <c r="AD46" s="139">
        <v>8.2514285714285709</v>
      </c>
      <c r="AE46" s="11"/>
      <c r="AF46" s="83">
        <f t="shared" si="205"/>
        <v>8.6294149460407865E-2</v>
      </c>
      <c r="AG46" s="22">
        <f t="shared" ref="AG46:AG63" si="278">E46/AC46</f>
        <v>4.7378151538966557E-4</v>
      </c>
      <c r="AH46" s="126">
        <f t="shared" si="206"/>
        <v>1057.2104270890093</v>
      </c>
      <c r="AI46" s="126">
        <f>(10539+79.8*AL46*10)/(15.45-LN(O46))-273</f>
        <v>1057.060052218477</v>
      </c>
      <c r="AJ46" s="126">
        <f>AH46-AI46</f>
        <v>0.15037487053223231</v>
      </c>
      <c r="AK46" s="12"/>
      <c r="AL46" s="25">
        <f>FE46</f>
        <v>3.1799818652712779</v>
      </c>
      <c r="AN46" s="2">
        <v>15.999000000000001</v>
      </c>
      <c r="AO46" s="2">
        <v>28.085000000000001</v>
      </c>
      <c r="AP46" s="2">
        <v>47.866999999999997</v>
      </c>
      <c r="AQ46" s="2">
        <v>26.9815386</v>
      </c>
      <c r="AR46" s="2">
        <v>51.996099999999998</v>
      </c>
      <c r="AS46" s="2">
        <v>55.844999999999999</v>
      </c>
      <c r="AT46" s="2">
        <v>54.938045000000002</v>
      </c>
      <c r="AU46" s="2">
        <v>24.305</v>
      </c>
      <c r="AV46" s="2">
        <v>40.078000000000003</v>
      </c>
      <c r="AW46" s="2">
        <v>22.989769280000001</v>
      </c>
      <c r="AX46" s="2">
        <v>39.098300000000002</v>
      </c>
      <c r="AY46" s="2">
        <v>58.693399999999997</v>
      </c>
      <c r="BA46" s="2">
        <f t="shared" si="208"/>
        <v>60.082999999999998</v>
      </c>
      <c r="BB46" s="2">
        <f t="shared" si="209"/>
        <v>79.864999999999995</v>
      </c>
      <c r="BC46" s="2">
        <f t="shared" si="210"/>
        <v>101.9600772</v>
      </c>
      <c r="BD46" s="2">
        <f t="shared" si="211"/>
        <v>151.98919999999998</v>
      </c>
      <c r="BE46" s="2">
        <f t="shared" si="212"/>
        <v>71.843999999999994</v>
      </c>
      <c r="BF46" s="2">
        <f t="shared" si="213"/>
        <v>70.937044999999998</v>
      </c>
      <c r="BG46" s="2">
        <f t="shared" si="214"/>
        <v>40.304000000000002</v>
      </c>
      <c r="BH46" s="2">
        <f t="shared" si="215"/>
        <v>56.077000000000005</v>
      </c>
      <c r="BI46" s="2">
        <f t="shared" si="216"/>
        <v>61.978538560000004</v>
      </c>
      <c r="BJ46" s="2">
        <f t="shared" si="217"/>
        <v>94.195599999999999</v>
      </c>
      <c r="BK46" s="2">
        <f t="shared" si="218"/>
        <v>74.692399999999992</v>
      </c>
      <c r="BM46" s="2">
        <f t="shared" ref="BM46:BM63" si="279">C46/BA46</f>
        <v>0.68322154353144826</v>
      </c>
      <c r="BN46" s="2">
        <f t="shared" ref="BN46:BN63" si="280">D46/BB46</f>
        <v>3.1302823514681028E-5</v>
      </c>
      <c r="BO46" s="2">
        <f t="shared" ref="BO46:BO63" si="281">E46/BC46</f>
        <v>2.7234517057611937E-4</v>
      </c>
      <c r="BP46" s="2">
        <f t="shared" ref="BP46:BP63" si="282">F46/BD46</f>
        <v>9.8691222797409313E-5</v>
      </c>
      <c r="BQ46" s="2">
        <f t="shared" ref="BQ46:BQ63" si="283">G46/BE46</f>
        <v>0.14134792049440456</v>
      </c>
      <c r="BR46" s="2">
        <f t="shared" ref="BR46:BR63" si="284">H46/BF46</f>
        <v>1.9559596822788434E-3</v>
      </c>
      <c r="BS46" s="2">
        <f t="shared" ref="BS46:BS63" si="285">I46/BG46</f>
        <v>1.1981441048034935</v>
      </c>
      <c r="BT46" s="2">
        <f t="shared" ref="BT46:BT63" si="286">J46/BH46</f>
        <v>6.8727690715402313E-4</v>
      </c>
      <c r="BU46" s="2">
        <f t="shared" ref="BU46:BU63" si="287">K46/BI46</f>
        <v>0</v>
      </c>
      <c r="BV46" s="2">
        <f t="shared" ref="BV46:BV63" si="288">L46/BJ46</f>
        <v>0</v>
      </c>
      <c r="BW46" s="2">
        <f t="shared" ref="BW46:BW63" si="289">M46/BK46</f>
        <v>4.7193556506418327E-3</v>
      </c>
      <c r="BY46" s="2">
        <f t="shared" si="219"/>
        <v>0.68322154353144826</v>
      </c>
      <c r="BZ46" s="2">
        <f t="shared" si="220"/>
        <v>3.1302823514681028E-5</v>
      </c>
      <c r="CA46" s="2">
        <f t="shared" si="221"/>
        <v>5.4469034115223875E-4</v>
      </c>
      <c r="CB46" s="2">
        <f t="shared" si="222"/>
        <v>1.9738244559481863E-4</v>
      </c>
      <c r="CC46" s="2">
        <f t="shared" si="223"/>
        <v>0.14134792049440456</v>
      </c>
      <c r="CD46" s="2">
        <f t="shared" si="224"/>
        <v>1.9559596822788434E-3</v>
      </c>
      <c r="CE46" s="2">
        <f t="shared" si="225"/>
        <v>1.1981441048034935</v>
      </c>
      <c r="CF46" s="2">
        <f t="shared" si="226"/>
        <v>6.8727690715402313E-4</v>
      </c>
      <c r="CG46" s="2">
        <f t="shared" si="227"/>
        <v>0</v>
      </c>
      <c r="CH46" s="2">
        <f t="shared" si="228"/>
        <v>0</v>
      </c>
      <c r="CI46" s="2">
        <f t="shared" si="229"/>
        <v>4.7193556506418327E-3</v>
      </c>
      <c r="CK46" s="2">
        <f t="shared" si="230"/>
        <v>1.3664430870628965</v>
      </c>
      <c r="CL46" s="2">
        <f t="shared" si="231"/>
        <v>6.2605647029362056E-5</v>
      </c>
      <c r="CM46" s="2">
        <f t="shared" si="232"/>
        <v>8.1703551172835807E-4</v>
      </c>
      <c r="CN46" s="2">
        <f t="shared" si="233"/>
        <v>2.9607366839222795E-4</v>
      </c>
      <c r="CO46" s="2">
        <f t="shared" si="234"/>
        <v>0.14134792049440456</v>
      </c>
      <c r="CP46" s="2">
        <f t="shared" si="235"/>
        <v>1.9559596822788434E-3</v>
      </c>
      <c r="CQ46" s="2">
        <f t="shared" si="236"/>
        <v>1.1981441048034935</v>
      </c>
      <c r="CR46" s="2">
        <f t="shared" si="237"/>
        <v>6.8727690715402313E-4</v>
      </c>
      <c r="CS46" s="2">
        <f t="shared" si="238"/>
        <v>0</v>
      </c>
      <c r="CT46" s="2">
        <f t="shared" si="239"/>
        <v>0</v>
      </c>
      <c r="CU46" s="2">
        <f t="shared" si="240"/>
        <v>4.7193556506418327E-3</v>
      </c>
      <c r="CW46" s="14">
        <f t="shared" si="241"/>
        <v>2.7144734194280193</v>
      </c>
      <c r="CY46" s="14">
        <f t="shared" si="242"/>
        <v>1.4735823056402817</v>
      </c>
      <c r="DA46" s="16">
        <f t="shared" si="243"/>
        <v>1.0067831773801836</v>
      </c>
      <c r="DB46" s="16">
        <f t="shared" si="244"/>
        <v>4.6127286847814497E-5</v>
      </c>
      <c r="DC46" s="16">
        <f t="shared" si="245"/>
        <v>8.0264604877510761E-4</v>
      </c>
      <c r="DD46" s="16">
        <f t="shared" si="246"/>
        <v>2.9085927927253031E-4</v>
      </c>
      <c r="DE46" s="16">
        <f t="shared" si="247"/>
        <v>0.20828779457960389</v>
      </c>
      <c r="DF46" s="16">
        <f t="shared" si="248"/>
        <v>2.8822675783518911E-3</v>
      </c>
      <c r="DG46" s="16">
        <f t="shared" si="249"/>
        <v>1.7655639524456432</v>
      </c>
      <c r="DH46" s="16">
        <f t="shared" si="250"/>
        <v>1.0127590894573471E-3</v>
      </c>
      <c r="DI46" s="16">
        <f t="shared" si="251"/>
        <v>0</v>
      </c>
      <c r="DJ46" s="16">
        <f t="shared" si="252"/>
        <v>0</v>
      </c>
      <c r="DK46" s="16">
        <f t="shared" si="253"/>
        <v>6.9543589808092835E-3</v>
      </c>
      <c r="DL46" s="16">
        <f t="shared" ref="DL46:DL63" si="290">DG46/(DG46+DE46)</f>
        <v>0.8944764747942644</v>
      </c>
      <c r="DN46" s="2">
        <f t="shared" ref="DN46:DN63" si="291">Q46/BA46</f>
        <v>0.85336257066613408</v>
      </c>
      <c r="DO46" s="2">
        <f t="shared" ref="DO46:DO63" si="292">R46/BB46</f>
        <v>5.3795936893507798E-3</v>
      </c>
      <c r="DP46" s="2">
        <f t="shared" ref="DP46:DP63" si="293">S46/BC46</f>
        <v>7.0204912843409781E-2</v>
      </c>
      <c r="DQ46" s="2">
        <f t="shared" ref="DQ46:DQ63" si="294">T46/BD46</f>
        <v>4.3768203047760421E-3</v>
      </c>
      <c r="DR46" s="2">
        <f t="shared" ref="DR46:DR63" si="295">U46/BE46</f>
        <v>4.7283999591707968E-2</v>
      </c>
      <c r="DS46" s="2">
        <f t="shared" ref="DS46:DS63" si="296">V46/BF46</f>
        <v>1.3047367093831817E-3</v>
      </c>
      <c r="DT46" s="2">
        <f t="shared" ref="DT46:DT63" si="297">W46/BG46</f>
        <v>0.39873006814873635</v>
      </c>
      <c r="DU46" s="2">
        <f t="shared" ref="DU46:DU63" si="298">X46/BH46</f>
        <v>0.34905620842769758</v>
      </c>
      <c r="DV46" s="2">
        <f t="shared" ref="DV46:DV63" si="299">Y46/BI46</f>
        <v>1.8501821113823525E-2</v>
      </c>
      <c r="DW46" s="2">
        <f t="shared" ref="DW46:DW63" si="300">Z46/BJ46</f>
        <v>1.920648805959797E-5</v>
      </c>
      <c r="DX46" s="2">
        <f t="shared" ref="DX46:DX63" si="301">AA46/BK46</f>
        <v>8.02027158497161E-4</v>
      </c>
      <c r="DZ46" s="2">
        <f t="shared" si="254"/>
        <v>1.7067251413322682</v>
      </c>
      <c r="EA46" s="2">
        <f t="shared" si="255"/>
        <v>1.075918737870156E-2</v>
      </c>
      <c r="EB46" s="2">
        <f t="shared" si="256"/>
        <v>0.21061473853022933</v>
      </c>
      <c r="EC46" s="2">
        <f t="shared" si="257"/>
        <v>1.3130460914328127E-2</v>
      </c>
      <c r="ED46" s="2">
        <f t="shared" si="258"/>
        <v>4.7283999591707968E-2</v>
      </c>
      <c r="EE46" s="2">
        <f t="shared" si="259"/>
        <v>1.3047367093831817E-3</v>
      </c>
      <c r="EF46" s="2">
        <f t="shared" si="260"/>
        <v>0.39873006814873635</v>
      </c>
      <c r="EG46" s="2">
        <f t="shared" si="261"/>
        <v>0.34905620842769758</v>
      </c>
      <c r="EH46" s="2">
        <f t="shared" si="262"/>
        <v>1.8501821113823525E-2</v>
      </c>
      <c r="EI46" s="2">
        <f t="shared" si="263"/>
        <v>1.920648805959797E-5</v>
      </c>
      <c r="EJ46" s="2">
        <f t="shared" si="264"/>
        <v>8.02027158497161E-4</v>
      </c>
      <c r="EL46" s="16">
        <f t="shared" si="265"/>
        <v>2.7569275957934325</v>
      </c>
      <c r="EN46" s="14">
        <f t="shared" si="266"/>
        <v>2.1763357184841934</v>
      </c>
      <c r="EP46" s="16">
        <f t="shared" si="267"/>
        <v>1.8572034433581992</v>
      </c>
      <c r="EQ46" s="16">
        <f t="shared" si="268"/>
        <v>1.1707801897066262E-2</v>
      </c>
      <c r="ER46" s="16">
        <f t="shared" si="269"/>
        <v>0.3055789188683648</v>
      </c>
      <c r="ES46" s="16">
        <f t="shared" si="270"/>
        <v>1.9050860725341949E-2</v>
      </c>
      <c r="ET46" s="16">
        <f t="shared" si="271"/>
        <v>0.10290585722422607</v>
      </c>
      <c r="EU46" s="16">
        <f t="shared" si="272"/>
        <v>2.839545103848149E-3</v>
      </c>
      <c r="EV46" s="16">
        <f t="shared" si="273"/>
        <v>0.86777048934573153</v>
      </c>
      <c r="EW46" s="16">
        <f t="shared" si="274"/>
        <v>0.75966349415986156</v>
      </c>
      <c r="EX46" s="16">
        <f t="shared" si="275"/>
        <v>8.0532348294038283E-2</v>
      </c>
      <c r="EY46" s="16">
        <f t="shared" si="276"/>
        <v>8.3599531981486461E-5</v>
      </c>
      <c r="EZ46" s="16">
        <f t="shared" si="277"/>
        <v>1.745480352231755E-3</v>
      </c>
      <c r="FB46" s="14">
        <f t="shared" ref="FB46:FB63" si="302">LN(DH46/EW46)</f>
        <v>-6.62019718629998</v>
      </c>
      <c r="FC46" s="4">
        <f t="shared" ref="FC46:FC63" si="303">(-(AH46+273)*FB46-11982+3.61*(AH46+273))/56.2/10</f>
        <v>2.8937988761439106</v>
      </c>
      <c r="FD46" s="4">
        <f t="shared" ref="FD46:FD63" si="304">(-(AH46+273)*FB46-5792-1.25*(AH46+273))/42.5/10</f>
        <v>3.1799818652712779</v>
      </c>
      <c r="FE46" s="4">
        <f t="shared" ref="FE46:FE63" si="305">IF(AH46&gt;(1275.25-273+2.827*FC46*10), FC46, FD46)</f>
        <v>3.1799818652712779</v>
      </c>
      <c r="FG46" s="4">
        <f t="shared" ref="FG46:FG63" si="306">(3.64-2.328*DL46-9525/(AH46+273)-LN(DH46))/0.0334/10</f>
        <v>3.8689055096851099</v>
      </c>
    </row>
    <row r="47" spans="1:163" x14ac:dyDescent="0.2">
      <c r="A47" s="24" t="s">
        <v>162</v>
      </c>
      <c r="B47" s="60" t="s">
        <v>165</v>
      </c>
      <c r="C47" s="138">
        <v>40.535000000000004</v>
      </c>
      <c r="D47" s="98">
        <v>3.3333333333333335E-3</v>
      </c>
      <c r="E47" s="148">
        <f t="shared" si="203"/>
        <v>3.239034127748968E-2</v>
      </c>
      <c r="F47" s="138">
        <v>1.1666666666666667E-2</v>
      </c>
      <c r="G47" s="138">
        <v>12.100000000000001</v>
      </c>
      <c r="H47" s="138">
        <v>0.18166666666666664</v>
      </c>
      <c r="I47" s="138">
        <v>46.941666666666663</v>
      </c>
      <c r="J47" s="150">
        <f t="shared" si="204"/>
        <v>3.8287205253249336E-2</v>
      </c>
      <c r="K47" s="98"/>
      <c r="L47" s="98"/>
      <c r="M47" s="138">
        <v>0.27166666666666667</v>
      </c>
      <c r="N47" s="141">
        <v>171.42784151419775</v>
      </c>
      <c r="O47" s="142">
        <v>273.63707262152525</v>
      </c>
      <c r="P47" s="11"/>
      <c r="Q47" s="140">
        <v>50.717300000000002</v>
      </c>
      <c r="R47" s="140">
        <v>0.50660233333333327</v>
      </c>
      <c r="S47" s="140">
        <v>7.1090600000000004</v>
      </c>
      <c r="T47" s="140">
        <v>0.5972778333333334</v>
      </c>
      <c r="U47" s="140">
        <v>3.9552316666666663</v>
      </c>
      <c r="V47" s="140">
        <v>0.11553600000000001</v>
      </c>
      <c r="W47" s="140">
        <v>16.009316666666667</v>
      </c>
      <c r="X47" s="140">
        <v>19.520883333333334</v>
      </c>
      <c r="Y47" s="140">
        <v>0.98246050000000007</v>
      </c>
      <c r="Z47" s="100">
        <v>2.3145000000000002E-3</v>
      </c>
      <c r="AA47" s="140">
        <v>4.4278166666666667E-2</v>
      </c>
      <c r="AC47" s="139">
        <v>58.792499999999997</v>
      </c>
      <c r="AD47" s="139">
        <v>7.9662499999999996</v>
      </c>
      <c r="AE47" s="11"/>
      <c r="AF47" s="83">
        <f t="shared" si="205"/>
        <v>8.3323169537038902E-2</v>
      </c>
      <c r="AG47" s="22">
        <f t="shared" si="278"/>
        <v>5.5092641540144889E-4</v>
      </c>
      <c r="AH47" s="126">
        <f t="shared" si="206"/>
        <v>1082.0751842904801</v>
      </c>
      <c r="AI47" s="126">
        <f>(10539+79.8*AL47*10)/(15.45-LN(O47))-273</f>
        <v>1081.9249424815403</v>
      </c>
      <c r="AJ47" s="126">
        <f>AH47-AI47</f>
        <v>0.15024180893988159</v>
      </c>
      <c r="AK47" s="12"/>
      <c r="AL47" s="25">
        <f>FE47</f>
        <v>3.4975174730017273</v>
      </c>
      <c r="AN47" s="2">
        <v>15.999000000000001</v>
      </c>
      <c r="AO47" s="2">
        <v>28.085000000000001</v>
      </c>
      <c r="AP47" s="2">
        <v>47.866999999999997</v>
      </c>
      <c r="AQ47" s="2">
        <v>26.9815386</v>
      </c>
      <c r="AR47" s="2">
        <v>51.996099999999998</v>
      </c>
      <c r="AS47" s="2">
        <v>55.844999999999999</v>
      </c>
      <c r="AT47" s="2">
        <v>54.938045000000002</v>
      </c>
      <c r="AU47" s="2">
        <v>24.305</v>
      </c>
      <c r="AV47" s="2">
        <v>40.078000000000003</v>
      </c>
      <c r="AW47" s="2">
        <v>22.989769280000001</v>
      </c>
      <c r="AX47" s="2">
        <v>39.098300000000002</v>
      </c>
      <c r="AY47" s="2">
        <v>58.693399999999997</v>
      </c>
      <c r="BA47" s="2">
        <f t="shared" si="208"/>
        <v>60.082999999999998</v>
      </c>
      <c r="BB47" s="2">
        <f t="shared" si="209"/>
        <v>79.864999999999995</v>
      </c>
      <c r="BC47" s="2">
        <f t="shared" si="210"/>
        <v>101.9600772</v>
      </c>
      <c r="BD47" s="2">
        <f t="shared" si="211"/>
        <v>151.98919999999998</v>
      </c>
      <c r="BE47" s="2">
        <f t="shared" si="212"/>
        <v>71.843999999999994</v>
      </c>
      <c r="BF47" s="2">
        <f t="shared" si="213"/>
        <v>70.937044999999998</v>
      </c>
      <c r="BG47" s="2">
        <f t="shared" si="214"/>
        <v>40.304000000000002</v>
      </c>
      <c r="BH47" s="2">
        <f t="shared" si="215"/>
        <v>56.077000000000005</v>
      </c>
      <c r="BI47" s="2">
        <f t="shared" si="216"/>
        <v>61.978538560000004</v>
      </c>
      <c r="BJ47" s="2">
        <f t="shared" si="217"/>
        <v>94.195599999999999</v>
      </c>
      <c r="BK47" s="2">
        <f t="shared" si="218"/>
        <v>74.692399999999992</v>
      </c>
      <c r="BM47" s="2">
        <f t="shared" si="279"/>
        <v>0.67465006740675404</v>
      </c>
      <c r="BN47" s="2">
        <f t="shared" si="280"/>
        <v>4.1737098019574706E-5</v>
      </c>
      <c r="BO47" s="2">
        <f t="shared" si="281"/>
        <v>3.1767670412758065E-4</v>
      </c>
      <c r="BP47" s="2">
        <f t="shared" si="282"/>
        <v>7.6759839953540574E-5</v>
      </c>
      <c r="BQ47" s="2">
        <f t="shared" si="283"/>
        <v>0.16842046656644957</v>
      </c>
      <c r="BR47" s="2">
        <f t="shared" si="284"/>
        <v>2.5609562206413681E-3</v>
      </c>
      <c r="BS47" s="2">
        <f t="shared" si="285"/>
        <v>1.1646900224956993</v>
      </c>
      <c r="BT47" s="2">
        <f t="shared" si="286"/>
        <v>6.8276129702461491E-4</v>
      </c>
      <c r="BU47" s="2">
        <f t="shared" si="287"/>
        <v>0</v>
      </c>
      <c r="BV47" s="2">
        <f t="shared" si="288"/>
        <v>0</v>
      </c>
      <c r="BW47" s="2">
        <f t="shared" si="289"/>
        <v>3.6371393430478429E-3</v>
      </c>
      <c r="BY47" s="2">
        <f t="shared" si="219"/>
        <v>0.67465006740675404</v>
      </c>
      <c r="BZ47" s="2">
        <f t="shared" si="220"/>
        <v>4.1737098019574706E-5</v>
      </c>
      <c r="CA47" s="2">
        <f t="shared" si="221"/>
        <v>6.353534082551613E-4</v>
      </c>
      <c r="CB47" s="2">
        <f t="shared" si="222"/>
        <v>1.5351967990708115E-4</v>
      </c>
      <c r="CC47" s="2">
        <f t="shared" si="223"/>
        <v>0.16842046656644957</v>
      </c>
      <c r="CD47" s="2">
        <f t="shared" si="224"/>
        <v>2.5609562206413681E-3</v>
      </c>
      <c r="CE47" s="2">
        <f t="shared" si="225"/>
        <v>1.1646900224956993</v>
      </c>
      <c r="CF47" s="2">
        <f t="shared" si="226"/>
        <v>6.8276129702461491E-4</v>
      </c>
      <c r="CG47" s="2">
        <f t="shared" si="227"/>
        <v>0</v>
      </c>
      <c r="CH47" s="2">
        <f t="shared" si="228"/>
        <v>0</v>
      </c>
      <c r="CI47" s="2">
        <f t="shared" si="229"/>
        <v>3.6371393430478429E-3</v>
      </c>
      <c r="CK47" s="2">
        <f t="shared" si="230"/>
        <v>1.3493001348135081</v>
      </c>
      <c r="CL47" s="2">
        <f t="shared" si="231"/>
        <v>8.3474196039149412E-5</v>
      </c>
      <c r="CM47" s="2">
        <f t="shared" si="232"/>
        <v>9.5303011238274189E-4</v>
      </c>
      <c r="CN47" s="2">
        <f t="shared" si="233"/>
        <v>2.3027951986062174E-4</v>
      </c>
      <c r="CO47" s="2">
        <f t="shared" si="234"/>
        <v>0.16842046656644957</v>
      </c>
      <c r="CP47" s="2">
        <f t="shared" si="235"/>
        <v>2.5609562206413681E-3</v>
      </c>
      <c r="CQ47" s="2">
        <f t="shared" si="236"/>
        <v>1.1646900224956993</v>
      </c>
      <c r="CR47" s="2">
        <f t="shared" si="237"/>
        <v>6.8276129702461491E-4</v>
      </c>
      <c r="CS47" s="2">
        <f t="shared" si="238"/>
        <v>0</v>
      </c>
      <c r="CT47" s="2">
        <f t="shared" si="239"/>
        <v>0</v>
      </c>
      <c r="CU47" s="2">
        <f t="shared" si="240"/>
        <v>3.6371393430478429E-3</v>
      </c>
      <c r="CW47" s="14">
        <f t="shared" si="241"/>
        <v>2.6905582645646531</v>
      </c>
      <c r="CY47" s="14">
        <f t="shared" si="242"/>
        <v>1.4866803119192893</v>
      </c>
      <c r="DA47" s="16">
        <f t="shared" si="243"/>
        <v>1.0029889726486427</v>
      </c>
      <c r="DB47" s="16">
        <f t="shared" si="244"/>
        <v>6.2049721902347269E-5</v>
      </c>
      <c r="DC47" s="16">
        <f t="shared" si="245"/>
        <v>9.445674031637668E-4</v>
      </c>
      <c r="DD47" s="16">
        <f t="shared" si="246"/>
        <v>2.2823468561000885E-4</v>
      </c>
      <c r="DE47" s="16">
        <f t="shared" si="247"/>
        <v>0.25038739176860147</v>
      </c>
      <c r="DF47" s="16">
        <f t="shared" si="248"/>
        <v>3.8073231929147532E-3</v>
      </c>
      <c r="DG47" s="16">
        <f t="shared" si="249"/>
        <v>1.7315217259331903</v>
      </c>
      <c r="DH47" s="16">
        <f t="shared" si="250"/>
        <v>1.015047778026973E-3</v>
      </c>
      <c r="DI47" s="16">
        <f t="shared" si="251"/>
        <v>0</v>
      </c>
      <c r="DJ47" s="16">
        <f t="shared" si="252"/>
        <v>0</v>
      </c>
      <c r="DK47" s="16">
        <f t="shared" si="253"/>
        <v>5.4072634530162858E-3</v>
      </c>
      <c r="DL47" s="16">
        <f t="shared" si="290"/>
        <v>0.87366353505707217</v>
      </c>
      <c r="DN47" s="2">
        <f t="shared" si="291"/>
        <v>0.84412063312417829</v>
      </c>
      <c r="DO47" s="2">
        <f t="shared" si="292"/>
        <v>6.3432333729835757E-3</v>
      </c>
      <c r="DP47" s="2">
        <f t="shared" si="293"/>
        <v>6.9723956623289021E-2</v>
      </c>
      <c r="DQ47" s="2">
        <f t="shared" si="294"/>
        <v>3.9297386480969271E-3</v>
      </c>
      <c r="DR47" s="2">
        <f t="shared" si="295"/>
        <v>5.5053054766809564E-2</v>
      </c>
      <c r="DS47" s="2">
        <f t="shared" si="296"/>
        <v>1.628711768301034E-3</v>
      </c>
      <c r="DT47" s="2">
        <f t="shared" si="297"/>
        <v>0.39721408958581444</v>
      </c>
      <c r="DU47" s="2">
        <f t="shared" si="298"/>
        <v>0.34810855312041178</v>
      </c>
      <c r="DV47" s="2">
        <f t="shared" si="299"/>
        <v>1.5851624172275418E-2</v>
      </c>
      <c r="DW47" s="2">
        <f t="shared" si="300"/>
        <v>2.4571211394162787E-5</v>
      </c>
      <c r="DX47" s="2">
        <f t="shared" si="301"/>
        <v>5.9280685406636643E-4</v>
      </c>
      <c r="DZ47" s="2">
        <f t="shared" si="254"/>
        <v>1.6882412662483566</v>
      </c>
      <c r="EA47" s="2">
        <f t="shared" si="255"/>
        <v>1.2686466745967151E-2</v>
      </c>
      <c r="EB47" s="2">
        <f t="shared" si="256"/>
        <v>0.20917186986986708</v>
      </c>
      <c r="EC47" s="2">
        <f t="shared" si="257"/>
        <v>1.1789215944290781E-2</v>
      </c>
      <c r="ED47" s="2">
        <f t="shared" si="258"/>
        <v>5.5053054766809564E-2</v>
      </c>
      <c r="EE47" s="2">
        <f t="shared" si="259"/>
        <v>1.628711768301034E-3</v>
      </c>
      <c r="EF47" s="2">
        <f t="shared" si="260"/>
        <v>0.39721408958581444</v>
      </c>
      <c r="EG47" s="2">
        <f t="shared" si="261"/>
        <v>0.34810855312041178</v>
      </c>
      <c r="EH47" s="2">
        <f t="shared" si="262"/>
        <v>1.5851624172275418E-2</v>
      </c>
      <c r="EI47" s="2">
        <f t="shared" si="263"/>
        <v>2.4571211394162787E-5</v>
      </c>
      <c r="EJ47" s="2">
        <f t="shared" si="264"/>
        <v>5.9280685406636643E-4</v>
      </c>
      <c r="EL47" s="16">
        <f t="shared" si="265"/>
        <v>2.7403622302875541</v>
      </c>
      <c r="EN47" s="14">
        <f t="shared" si="266"/>
        <v>2.1894915692844017</v>
      </c>
      <c r="EP47" s="16">
        <f t="shared" si="267"/>
        <v>1.8481950096843998</v>
      </c>
      <c r="EQ47" s="16">
        <f t="shared" si="268"/>
        <v>1.3888455992150998E-2</v>
      </c>
      <c r="ER47" s="16">
        <f t="shared" si="269"/>
        <v>0.30532003040768524</v>
      </c>
      <c r="ES47" s="16">
        <f t="shared" si="270"/>
        <v>1.7208259278998609E-2</v>
      </c>
      <c r="ET47" s="16">
        <f t="shared" si="271"/>
        <v>0.12053819927528199</v>
      </c>
      <c r="EU47" s="16">
        <f t="shared" si="272"/>
        <v>3.5660506854894038E-3</v>
      </c>
      <c r="EV47" s="16">
        <f t="shared" si="273"/>
        <v>0.86969690034911984</v>
      </c>
      <c r="EW47" s="16">
        <f t="shared" si="274"/>
        <v>0.76218074225293286</v>
      </c>
      <c r="EX47" s="16">
        <f t="shared" si="275"/>
        <v>6.9413994969323725E-2</v>
      </c>
      <c r="EY47" s="16">
        <f t="shared" si="276"/>
        <v>1.075969203892485E-4</v>
      </c>
      <c r="EZ47" s="16">
        <f t="shared" si="277"/>
        <v>1.2979456091923179E-3</v>
      </c>
      <c r="FB47" s="14">
        <f t="shared" si="302"/>
        <v>-6.6212480387844614</v>
      </c>
      <c r="FC47" s="4">
        <f t="shared" si="303"/>
        <v>3.3489507503157783</v>
      </c>
      <c r="FD47" s="4">
        <f t="shared" si="304"/>
        <v>3.4975174730017273</v>
      </c>
      <c r="FE47" s="4">
        <f t="shared" si="305"/>
        <v>3.4975174730017273</v>
      </c>
      <c r="FG47" s="4">
        <f t="shared" si="306"/>
        <v>4.4006006380240006</v>
      </c>
    </row>
    <row r="48" spans="1:163" x14ac:dyDescent="0.2">
      <c r="A48" s="24" t="s">
        <v>163</v>
      </c>
      <c r="B48" s="60" t="s">
        <v>165</v>
      </c>
      <c r="C48" s="138">
        <v>40.340000000000003</v>
      </c>
      <c r="D48" s="98">
        <v>2.5000000000000001E-3</v>
      </c>
      <c r="E48" s="148">
        <f t="shared" si="203"/>
        <v>2.8999413402941918E-2</v>
      </c>
      <c r="F48" s="138">
        <v>2.5000000000000001E-3</v>
      </c>
      <c r="G48" s="138">
        <v>13.34</v>
      </c>
      <c r="H48" s="138">
        <v>0.20874999999999999</v>
      </c>
      <c r="I48" s="138">
        <v>46.136249999999997</v>
      </c>
      <c r="J48" s="150">
        <f t="shared" si="204"/>
        <v>0</v>
      </c>
      <c r="K48" s="98"/>
      <c r="L48" s="98"/>
      <c r="M48" s="138">
        <v>0.28000000000000003</v>
      </c>
      <c r="N48" s="141">
        <v>153.48115051504999</v>
      </c>
      <c r="O48" s="142"/>
      <c r="P48" s="11"/>
      <c r="Q48" s="140"/>
      <c r="R48" s="140"/>
      <c r="S48" s="140"/>
      <c r="T48" s="140"/>
      <c r="U48" s="140"/>
      <c r="V48" s="140"/>
      <c r="W48" s="140"/>
      <c r="X48" s="140"/>
      <c r="Y48" s="140"/>
      <c r="Z48" s="100"/>
      <c r="AA48" s="140"/>
      <c r="AC48" s="139">
        <v>58.440000000000005</v>
      </c>
      <c r="AD48" s="139">
        <v>5.3185714285714285</v>
      </c>
      <c r="AE48" s="11"/>
      <c r="AF48" s="83">
        <f t="shared" si="205"/>
        <v>5.7539423358176765E-2</v>
      </c>
      <c r="AG48" s="22">
        <f t="shared" si="278"/>
        <v>4.9622541757258587E-4</v>
      </c>
      <c r="AH48" s="126">
        <f t="shared" si="206"/>
        <v>1069.1608781365599</v>
      </c>
      <c r="AI48" s="126"/>
      <c r="AJ48" s="126"/>
      <c r="AK48" s="12"/>
      <c r="AL48" s="25"/>
      <c r="AN48" s="2">
        <v>15.999000000000001</v>
      </c>
      <c r="AO48" s="2">
        <v>28.085000000000001</v>
      </c>
      <c r="AP48" s="2">
        <v>47.866999999999997</v>
      </c>
      <c r="AQ48" s="2">
        <v>26.9815386</v>
      </c>
      <c r="AR48" s="2">
        <v>51.996099999999998</v>
      </c>
      <c r="AS48" s="2">
        <v>55.844999999999999</v>
      </c>
      <c r="AT48" s="2">
        <v>54.938045000000002</v>
      </c>
      <c r="AU48" s="2">
        <v>24.305</v>
      </c>
      <c r="AV48" s="2">
        <v>40.078000000000003</v>
      </c>
      <c r="AW48" s="2">
        <v>22.989769280000001</v>
      </c>
      <c r="AX48" s="2">
        <v>39.098300000000002</v>
      </c>
      <c r="AY48" s="2">
        <v>58.693399999999997</v>
      </c>
      <c r="BA48" s="2">
        <f t="shared" si="208"/>
        <v>60.082999999999998</v>
      </c>
      <c r="BB48" s="2">
        <f t="shared" si="209"/>
        <v>79.864999999999995</v>
      </c>
      <c r="BC48" s="2">
        <f t="shared" si="210"/>
        <v>101.9600772</v>
      </c>
      <c r="BD48" s="2">
        <f t="shared" si="211"/>
        <v>151.98919999999998</v>
      </c>
      <c r="BE48" s="2">
        <f t="shared" si="212"/>
        <v>71.843999999999994</v>
      </c>
      <c r="BF48" s="2">
        <f t="shared" si="213"/>
        <v>70.937044999999998</v>
      </c>
      <c r="BG48" s="2">
        <f t="shared" si="214"/>
        <v>40.304000000000002</v>
      </c>
      <c r="BH48" s="2">
        <f t="shared" si="215"/>
        <v>56.077000000000005</v>
      </c>
      <c r="BI48" s="2">
        <f t="shared" si="216"/>
        <v>61.978538560000004</v>
      </c>
      <c r="BJ48" s="2">
        <f t="shared" si="217"/>
        <v>94.195599999999999</v>
      </c>
      <c r="BK48" s="2">
        <f t="shared" si="218"/>
        <v>74.692399999999992</v>
      </c>
      <c r="BM48" s="2">
        <f t="shared" si="279"/>
        <v>0.67140455702944268</v>
      </c>
      <c r="BN48" s="2">
        <f t="shared" si="280"/>
        <v>3.1302823514681028E-5</v>
      </c>
      <c r="BO48" s="2">
        <f t="shared" si="281"/>
        <v>2.8441929625119898E-4</v>
      </c>
      <c r="BP48" s="2">
        <f t="shared" si="282"/>
        <v>1.6448537132901551E-5</v>
      </c>
      <c r="BQ48" s="2">
        <f t="shared" si="283"/>
        <v>0.18568008462780469</v>
      </c>
      <c r="BR48" s="2">
        <f t="shared" si="284"/>
        <v>2.9427501526177189E-3</v>
      </c>
      <c r="BS48" s="2">
        <f t="shared" si="285"/>
        <v>1.1447064807463279</v>
      </c>
      <c r="BT48" s="2">
        <f t="shared" si="286"/>
        <v>0</v>
      </c>
      <c r="BU48" s="2">
        <f t="shared" si="287"/>
        <v>0</v>
      </c>
      <c r="BV48" s="2">
        <f t="shared" si="288"/>
        <v>0</v>
      </c>
      <c r="BW48" s="2">
        <f t="shared" si="289"/>
        <v>3.7487080345523782E-3</v>
      </c>
      <c r="BY48" s="2">
        <f t="shared" si="219"/>
        <v>0.67140455702944268</v>
      </c>
      <c r="BZ48" s="2">
        <f t="shared" si="220"/>
        <v>3.1302823514681028E-5</v>
      </c>
      <c r="CA48" s="2">
        <f t="shared" si="221"/>
        <v>5.6883859250239795E-4</v>
      </c>
      <c r="CB48" s="2">
        <f t="shared" si="222"/>
        <v>3.2897074265803102E-5</v>
      </c>
      <c r="CC48" s="2">
        <f t="shared" si="223"/>
        <v>0.18568008462780469</v>
      </c>
      <c r="CD48" s="2">
        <f t="shared" si="224"/>
        <v>2.9427501526177189E-3</v>
      </c>
      <c r="CE48" s="2">
        <f t="shared" si="225"/>
        <v>1.1447064807463279</v>
      </c>
      <c r="CF48" s="2">
        <f t="shared" si="226"/>
        <v>0</v>
      </c>
      <c r="CG48" s="2">
        <f t="shared" si="227"/>
        <v>0</v>
      </c>
      <c r="CH48" s="2">
        <f t="shared" si="228"/>
        <v>0</v>
      </c>
      <c r="CI48" s="2">
        <f t="shared" si="229"/>
        <v>3.7487080345523782E-3</v>
      </c>
      <c r="CK48" s="2">
        <f t="shared" si="230"/>
        <v>1.3428091140588854</v>
      </c>
      <c r="CL48" s="2">
        <f t="shared" si="231"/>
        <v>6.2605647029362056E-5</v>
      </c>
      <c r="CM48" s="2">
        <f t="shared" si="232"/>
        <v>8.5325788875359693E-4</v>
      </c>
      <c r="CN48" s="2">
        <f t="shared" si="233"/>
        <v>4.934561139870465E-5</v>
      </c>
      <c r="CO48" s="2">
        <f t="shared" si="234"/>
        <v>0.18568008462780469</v>
      </c>
      <c r="CP48" s="2">
        <f t="shared" si="235"/>
        <v>2.9427501526177189E-3</v>
      </c>
      <c r="CQ48" s="2">
        <f t="shared" si="236"/>
        <v>1.1447064807463279</v>
      </c>
      <c r="CR48" s="2">
        <f t="shared" si="237"/>
        <v>0</v>
      </c>
      <c r="CS48" s="2">
        <f t="shared" si="238"/>
        <v>0</v>
      </c>
      <c r="CT48" s="2">
        <f t="shared" si="239"/>
        <v>0</v>
      </c>
      <c r="CU48" s="2">
        <f t="shared" si="240"/>
        <v>3.7487080345523782E-3</v>
      </c>
      <c r="CW48" s="14">
        <f t="shared" si="241"/>
        <v>2.6808523467673697</v>
      </c>
      <c r="CY48" s="14">
        <f t="shared" si="242"/>
        <v>1.4920627780277744</v>
      </c>
      <c r="DA48" s="16">
        <f t="shared" si="243"/>
        <v>1.0017777485418575</v>
      </c>
      <c r="DB48" s="16">
        <f t="shared" si="244"/>
        <v>4.6705777813428114E-5</v>
      </c>
      <c r="DC48" s="16">
        <f t="shared" si="245"/>
        <v>8.4874289057853701E-4</v>
      </c>
      <c r="DD48" s="16">
        <f t="shared" si="246"/>
        <v>4.9084500018020186E-5</v>
      </c>
      <c r="DE48" s="16">
        <f t="shared" si="247"/>
        <v>0.2770463428941945</v>
      </c>
      <c r="DF48" s="16">
        <f t="shared" si="248"/>
        <v>4.3907679677564508E-3</v>
      </c>
      <c r="DG48" s="16">
        <f t="shared" si="249"/>
        <v>1.707973931688763</v>
      </c>
      <c r="DH48" s="16">
        <f t="shared" si="250"/>
        <v>0</v>
      </c>
      <c r="DI48" s="16">
        <f t="shared" si="251"/>
        <v>0</v>
      </c>
      <c r="DJ48" s="16">
        <f t="shared" si="252"/>
        <v>0</v>
      </c>
      <c r="DK48" s="16">
        <f t="shared" si="253"/>
        <v>5.5933077240492594E-3</v>
      </c>
      <c r="DL48" s="16">
        <f t="shared" si="290"/>
        <v>0.8604314794958956</v>
      </c>
      <c r="DN48" s="2">
        <f t="shared" si="291"/>
        <v>0</v>
      </c>
      <c r="DO48" s="2">
        <f t="shared" si="292"/>
        <v>0</v>
      </c>
      <c r="DP48" s="2">
        <f t="shared" si="293"/>
        <v>0</v>
      </c>
      <c r="DQ48" s="2">
        <f t="shared" si="294"/>
        <v>0</v>
      </c>
      <c r="DR48" s="2">
        <f t="shared" si="295"/>
        <v>0</v>
      </c>
      <c r="DS48" s="2">
        <f t="shared" si="296"/>
        <v>0</v>
      </c>
      <c r="DT48" s="2">
        <f t="shared" si="297"/>
        <v>0</v>
      </c>
      <c r="DU48" s="2">
        <f t="shared" si="298"/>
        <v>0</v>
      </c>
      <c r="DV48" s="2">
        <f t="shared" si="299"/>
        <v>0</v>
      </c>
      <c r="DW48" s="2">
        <f t="shared" si="300"/>
        <v>0</v>
      </c>
      <c r="DX48" s="2">
        <f t="shared" si="301"/>
        <v>0</v>
      </c>
      <c r="DZ48" s="2">
        <f t="shared" si="254"/>
        <v>0</v>
      </c>
      <c r="EA48" s="2">
        <f t="shared" si="255"/>
        <v>0</v>
      </c>
      <c r="EB48" s="2">
        <f t="shared" si="256"/>
        <v>0</v>
      </c>
      <c r="EC48" s="2">
        <f t="shared" si="257"/>
        <v>0</v>
      </c>
      <c r="ED48" s="2">
        <f t="shared" si="258"/>
        <v>0</v>
      </c>
      <c r="EE48" s="2">
        <f t="shared" si="259"/>
        <v>0</v>
      </c>
      <c r="EF48" s="2">
        <f t="shared" si="260"/>
        <v>0</v>
      </c>
      <c r="EG48" s="2">
        <f t="shared" si="261"/>
        <v>0</v>
      </c>
      <c r="EH48" s="2">
        <f t="shared" si="262"/>
        <v>0</v>
      </c>
      <c r="EI48" s="2">
        <f t="shared" si="263"/>
        <v>0</v>
      </c>
      <c r="EJ48" s="2">
        <f t="shared" si="264"/>
        <v>0</v>
      </c>
      <c r="EL48" s="16">
        <f t="shared" si="265"/>
        <v>0</v>
      </c>
      <c r="EN48" s="14" t="e">
        <f t="shared" si="266"/>
        <v>#DIV/0!</v>
      </c>
      <c r="EP48" s="16" t="e">
        <f t="shared" si="267"/>
        <v>#DIV/0!</v>
      </c>
      <c r="EQ48" s="16" t="e">
        <f t="shared" si="268"/>
        <v>#DIV/0!</v>
      </c>
      <c r="ER48" s="16" t="e">
        <f t="shared" si="269"/>
        <v>#DIV/0!</v>
      </c>
      <c r="ES48" s="16" t="e">
        <f t="shared" si="270"/>
        <v>#DIV/0!</v>
      </c>
      <c r="ET48" s="16" t="e">
        <f t="shared" si="271"/>
        <v>#DIV/0!</v>
      </c>
      <c r="EU48" s="16" t="e">
        <f t="shared" si="272"/>
        <v>#DIV/0!</v>
      </c>
      <c r="EV48" s="16" t="e">
        <f t="shared" si="273"/>
        <v>#DIV/0!</v>
      </c>
      <c r="EW48" s="16" t="e">
        <f t="shared" si="274"/>
        <v>#DIV/0!</v>
      </c>
      <c r="EX48" s="16" t="e">
        <f t="shared" si="275"/>
        <v>#DIV/0!</v>
      </c>
      <c r="EY48" s="16" t="e">
        <f t="shared" si="276"/>
        <v>#DIV/0!</v>
      </c>
      <c r="EZ48" s="16" t="e">
        <f t="shared" si="277"/>
        <v>#DIV/0!</v>
      </c>
      <c r="FB48" s="14" t="e">
        <f t="shared" si="302"/>
        <v>#DIV/0!</v>
      </c>
      <c r="FC48" s="4" t="e">
        <f t="shared" si="303"/>
        <v>#DIV/0!</v>
      </c>
      <c r="FD48" s="4" t="e">
        <f t="shared" si="304"/>
        <v>#DIV/0!</v>
      </c>
      <c r="FE48" s="4" t="e">
        <f t="shared" si="305"/>
        <v>#DIV/0!</v>
      </c>
      <c r="FG48" s="4" t="e">
        <f t="shared" si="306"/>
        <v>#NUM!</v>
      </c>
    </row>
    <row r="49" spans="1:163" x14ac:dyDescent="0.2">
      <c r="A49" s="24" t="s">
        <v>164</v>
      </c>
      <c r="B49" s="60" t="s">
        <v>165</v>
      </c>
      <c r="C49" s="138">
        <v>40.686363636363637</v>
      </c>
      <c r="D49" s="98">
        <v>3.6363636363636364E-3</v>
      </c>
      <c r="E49" s="148">
        <f t="shared" si="203"/>
        <v>2.9477775983035363E-2</v>
      </c>
      <c r="F49" s="138">
        <v>1.3636363636363636E-2</v>
      </c>
      <c r="G49" s="138">
        <v>11.185454545454546</v>
      </c>
      <c r="H49" s="138">
        <v>0.16818181818181815</v>
      </c>
      <c r="I49" s="138">
        <v>47.07</v>
      </c>
      <c r="J49" s="150">
        <f t="shared" si="204"/>
        <v>3.8869630540744347E-2</v>
      </c>
      <c r="K49" s="98"/>
      <c r="L49" s="98"/>
      <c r="M49" s="138">
        <v>0.31272727272727269</v>
      </c>
      <c r="N49" s="141">
        <v>156.01291342128314</v>
      </c>
      <c r="O49" s="142">
        <v>277.79964206572254</v>
      </c>
      <c r="P49" s="11"/>
      <c r="Q49" s="140">
        <v>51.761333333333333</v>
      </c>
      <c r="R49" s="140">
        <v>0.55376124999999998</v>
      </c>
      <c r="S49" s="140">
        <v>5.8467499999999992</v>
      </c>
      <c r="T49" s="140">
        <v>0.80953991666666669</v>
      </c>
      <c r="U49" s="140">
        <v>3.6596233333333337</v>
      </c>
      <c r="V49" s="140">
        <v>0.11471491666666667</v>
      </c>
      <c r="W49" s="140">
        <v>16.680683333333334</v>
      </c>
      <c r="X49" s="140">
        <v>19.846799999999998</v>
      </c>
      <c r="Y49" s="140">
        <v>0.87040875000000018</v>
      </c>
      <c r="Z49" s="100">
        <v>5.0165833333333338E-3</v>
      </c>
      <c r="AA49" s="140">
        <v>4.3829666666666676E-2</v>
      </c>
      <c r="AC49" s="139">
        <v>54.167500000000004</v>
      </c>
      <c r="AD49" s="139">
        <v>11.462499999999999</v>
      </c>
      <c r="AE49" s="11"/>
      <c r="AF49" s="83">
        <f t="shared" si="205"/>
        <v>0.12431060261209677</v>
      </c>
      <c r="AG49" s="22">
        <f t="shared" si="278"/>
        <v>5.4419672281414799E-4</v>
      </c>
      <c r="AH49" s="126">
        <f t="shared" si="206"/>
        <v>1073.452855472291</v>
      </c>
      <c r="AI49" s="126">
        <f t="shared" ref="AI49:AI63" si="307">(10539+79.8*AL49*10)/(15.45-LN(O49))-273</f>
        <v>1073.3022912059259</v>
      </c>
      <c r="AJ49" s="126">
        <f t="shared" ref="AJ49:AJ63" si="308">AH49-AI49</f>
        <v>0.15056426636510878</v>
      </c>
      <c r="AK49" s="12"/>
      <c r="AL49" s="25">
        <f>FE49</f>
        <v>3.3657416613530189</v>
      </c>
      <c r="AN49" s="2">
        <v>15.999000000000001</v>
      </c>
      <c r="AO49" s="2">
        <v>28.085000000000001</v>
      </c>
      <c r="AP49" s="2">
        <v>47.866999999999997</v>
      </c>
      <c r="AQ49" s="2">
        <v>26.9815386</v>
      </c>
      <c r="AR49" s="2">
        <v>51.996099999999998</v>
      </c>
      <c r="AS49" s="2">
        <v>55.844999999999999</v>
      </c>
      <c r="AT49" s="2">
        <v>54.938045000000002</v>
      </c>
      <c r="AU49" s="2">
        <v>24.305</v>
      </c>
      <c r="AV49" s="2">
        <v>40.078000000000003</v>
      </c>
      <c r="AW49" s="2">
        <v>22.989769280000001</v>
      </c>
      <c r="AX49" s="2">
        <v>39.098300000000002</v>
      </c>
      <c r="AY49" s="2">
        <v>58.693399999999997</v>
      </c>
      <c r="BA49" s="2">
        <f t="shared" si="208"/>
        <v>60.082999999999998</v>
      </c>
      <c r="BB49" s="2">
        <f t="shared" si="209"/>
        <v>79.864999999999995</v>
      </c>
      <c r="BC49" s="2">
        <f t="shared" si="210"/>
        <v>101.9600772</v>
      </c>
      <c r="BD49" s="2">
        <f t="shared" si="211"/>
        <v>151.98919999999998</v>
      </c>
      <c r="BE49" s="2">
        <f t="shared" si="212"/>
        <v>71.843999999999994</v>
      </c>
      <c r="BF49" s="2">
        <f t="shared" si="213"/>
        <v>70.937044999999998</v>
      </c>
      <c r="BG49" s="2">
        <f t="shared" si="214"/>
        <v>40.304000000000002</v>
      </c>
      <c r="BH49" s="2">
        <f t="shared" si="215"/>
        <v>56.077000000000005</v>
      </c>
      <c r="BI49" s="2">
        <f t="shared" si="216"/>
        <v>61.978538560000004</v>
      </c>
      <c r="BJ49" s="2">
        <f t="shared" si="217"/>
        <v>94.195599999999999</v>
      </c>
      <c r="BK49" s="2">
        <f t="shared" si="218"/>
        <v>74.692399999999992</v>
      </c>
      <c r="BM49" s="2">
        <f t="shared" si="279"/>
        <v>0.67716930972760414</v>
      </c>
      <c r="BN49" s="2">
        <f t="shared" si="280"/>
        <v>4.5531379657717856E-5</v>
      </c>
      <c r="BO49" s="2">
        <f t="shared" si="281"/>
        <v>2.8911096178569159E-4</v>
      </c>
      <c r="BP49" s="2">
        <f t="shared" si="282"/>
        <v>8.9719293452190268E-5</v>
      </c>
      <c r="BQ49" s="2">
        <f t="shared" si="283"/>
        <v>0.15569086556225359</v>
      </c>
      <c r="BR49" s="2">
        <f t="shared" si="284"/>
        <v>2.3708602209440519E-3</v>
      </c>
      <c r="BS49" s="2">
        <f t="shared" si="285"/>
        <v>1.1678741564112742</v>
      </c>
      <c r="BT49" s="2">
        <f t="shared" si="286"/>
        <v>6.9314746760248134E-4</v>
      </c>
      <c r="BU49" s="2">
        <f t="shared" si="287"/>
        <v>0</v>
      </c>
      <c r="BV49" s="2">
        <f t="shared" si="288"/>
        <v>0</v>
      </c>
      <c r="BW49" s="2">
        <f t="shared" si="289"/>
        <v>4.1868687139156426E-3</v>
      </c>
      <c r="BY49" s="2">
        <f t="shared" si="219"/>
        <v>0.67716930972760414</v>
      </c>
      <c r="BZ49" s="2">
        <f t="shared" si="220"/>
        <v>4.5531379657717856E-5</v>
      </c>
      <c r="CA49" s="2">
        <f t="shared" si="221"/>
        <v>5.7822192357138318E-4</v>
      </c>
      <c r="CB49" s="2">
        <f t="shared" si="222"/>
        <v>1.7943858690438054E-4</v>
      </c>
      <c r="CC49" s="2">
        <f t="shared" si="223"/>
        <v>0.15569086556225359</v>
      </c>
      <c r="CD49" s="2">
        <f t="shared" si="224"/>
        <v>2.3708602209440519E-3</v>
      </c>
      <c r="CE49" s="2">
        <f t="shared" si="225"/>
        <v>1.1678741564112742</v>
      </c>
      <c r="CF49" s="2">
        <f t="shared" si="226"/>
        <v>6.9314746760248134E-4</v>
      </c>
      <c r="CG49" s="2">
        <f t="shared" si="227"/>
        <v>0</v>
      </c>
      <c r="CH49" s="2">
        <f t="shared" si="228"/>
        <v>0</v>
      </c>
      <c r="CI49" s="2">
        <f t="shared" si="229"/>
        <v>4.1868687139156426E-3</v>
      </c>
      <c r="CK49" s="2">
        <f t="shared" si="230"/>
        <v>1.3543386194552083</v>
      </c>
      <c r="CL49" s="2">
        <f t="shared" si="231"/>
        <v>9.1062759315435713E-5</v>
      </c>
      <c r="CM49" s="2">
        <f t="shared" si="232"/>
        <v>8.6733288535707472E-4</v>
      </c>
      <c r="CN49" s="2">
        <f t="shared" si="233"/>
        <v>2.691578803565708E-4</v>
      </c>
      <c r="CO49" s="2">
        <f t="shared" si="234"/>
        <v>0.15569086556225359</v>
      </c>
      <c r="CP49" s="2">
        <f t="shared" si="235"/>
        <v>2.3708602209440519E-3</v>
      </c>
      <c r="CQ49" s="2">
        <f t="shared" si="236"/>
        <v>1.1678741564112742</v>
      </c>
      <c r="CR49" s="2">
        <f t="shared" si="237"/>
        <v>6.9314746760248134E-4</v>
      </c>
      <c r="CS49" s="2">
        <f t="shared" si="238"/>
        <v>0</v>
      </c>
      <c r="CT49" s="2">
        <f t="shared" si="239"/>
        <v>0</v>
      </c>
      <c r="CU49" s="2">
        <f t="shared" si="240"/>
        <v>4.1868687139156426E-3</v>
      </c>
      <c r="CW49" s="14">
        <f t="shared" si="241"/>
        <v>2.6863820713562276</v>
      </c>
      <c r="CY49" s="14">
        <f t="shared" si="242"/>
        <v>1.488991473941973</v>
      </c>
      <c r="DA49" s="16">
        <f t="shared" si="243"/>
        <v>1.0082993285995736</v>
      </c>
      <c r="DB49" s="16">
        <f t="shared" si="244"/>
        <v>6.7795836107156868E-5</v>
      </c>
      <c r="DC49" s="16">
        <f t="shared" si="245"/>
        <v>8.6096751424411672E-4</v>
      </c>
      <c r="DD49" s="16">
        <f t="shared" si="246"/>
        <v>2.671825259968184E-4</v>
      </c>
      <c r="DE49" s="16">
        <f t="shared" si="247"/>
        <v>0.23182237139284154</v>
      </c>
      <c r="DF49" s="16">
        <f t="shared" si="248"/>
        <v>3.5301906548938756E-3</v>
      </c>
      <c r="DG49" s="16">
        <f t="shared" si="249"/>
        <v>1.7389546615335614</v>
      </c>
      <c r="DH49" s="16">
        <f t="shared" si="250"/>
        <v>1.0320906694445647E-3</v>
      </c>
      <c r="DI49" s="16">
        <f t="shared" si="251"/>
        <v>0</v>
      </c>
      <c r="DJ49" s="16">
        <f t="shared" si="252"/>
        <v>0</v>
      </c>
      <c r="DK49" s="16">
        <f t="shared" si="253"/>
        <v>6.2342118175347854E-3</v>
      </c>
      <c r="DL49" s="16">
        <f t="shared" si="290"/>
        <v>0.8823700664663171</v>
      </c>
      <c r="DN49" s="2">
        <f t="shared" si="291"/>
        <v>0.86149715116311332</v>
      </c>
      <c r="DO49" s="2">
        <f t="shared" si="292"/>
        <v>6.9337162712076635E-3</v>
      </c>
      <c r="DP49" s="2">
        <f t="shared" si="293"/>
        <v>5.73435226861519E-2</v>
      </c>
      <c r="DQ49" s="2">
        <f t="shared" si="294"/>
        <v>5.3262989519430775E-3</v>
      </c>
      <c r="DR49" s="2">
        <f t="shared" si="295"/>
        <v>5.093846853367482E-2</v>
      </c>
      <c r="DS49" s="2">
        <f t="shared" si="296"/>
        <v>1.6171369510340706E-3</v>
      </c>
      <c r="DT49" s="2">
        <f t="shared" si="297"/>
        <v>0.4138716587270081</v>
      </c>
      <c r="DU49" s="2">
        <f t="shared" si="298"/>
        <v>0.35392050216666365</v>
      </c>
      <c r="DV49" s="2">
        <f t="shared" si="299"/>
        <v>1.4043712069095941E-2</v>
      </c>
      <c r="DW49" s="2">
        <f t="shared" si="300"/>
        <v>5.3257087733751194E-5</v>
      </c>
      <c r="DX49" s="2">
        <f t="shared" si="301"/>
        <v>5.8680222708959256E-4</v>
      </c>
      <c r="DZ49" s="2">
        <f t="shared" si="254"/>
        <v>1.7229943023262266</v>
      </c>
      <c r="EA49" s="2">
        <f t="shared" si="255"/>
        <v>1.3867432542415327E-2</v>
      </c>
      <c r="EB49" s="2">
        <f t="shared" si="256"/>
        <v>0.17203056805845571</v>
      </c>
      <c r="EC49" s="2">
        <f t="shared" si="257"/>
        <v>1.5978896855829233E-2</v>
      </c>
      <c r="ED49" s="2">
        <f t="shared" si="258"/>
        <v>5.093846853367482E-2</v>
      </c>
      <c r="EE49" s="2">
        <f t="shared" si="259"/>
        <v>1.6171369510340706E-3</v>
      </c>
      <c r="EF49" s="2">
        <f t="shared" si="260"/>
        <v>0.4138716587270081</v>
      </c>
      <c r="EG49" s="2">
        <f t="shared" si="261"/>
        <v>0.35392050216666365</v>
      </c>
      <c r="EH49" s="2">
        <f t="shared" si="262"/>
        <v>1.4043712069095941E-2</v>
      </c>
      <c r="EI49" s="2">
        <f t="shared" si="263"/>
        <v>5.3257087733751194E-5</v>
      </c>
      <c r="EJ49" s="2">
        <f t="shared" si="264"/>
        <v>5.8680222708959256E-4</v>
      </c>
      <c r="EL49" s="16">
        <f t="shared" si="265"/>
        <v>2.759902737545227</v>
      </c>
      <c r="EN49" s="14">
        <f t="shared" si="266"/>
        <v>2.1739896549168436</v>
      </c>
      <c r="EP49" s="16">
        <f t="shared" si="267"/>
        <v>1.8728858943689406</v>
      </c>
      <c r="EQ49" s="16">
        <f t="shared" si="268"/>
        <v>1.5073827443734051E-2</v>
      </c>
      <c r="ER49" s="16">
        <f t="shared" si="269"/>
        <v>0.24932845019236713</v>
      </c>
      <c r="ES49" s="16">
        <f t="shared" si="270"/>
        <v>2.3158637641037354E-2</v>
      </c>
      <c r="ET49" s="16">
        <f t="shared" si="271"/>
        <v>0.11073970362951621</v>
      </c>
      <c r="EU49" s="16">
        <f t="shared" si="272"/>
        <v>3.515639002131836E-3</v>
      </c>
      <c r="EV49" s="16">
        <f t="shared" si="273"/>
        <v>0.89975270453579004</v>
      </c>
      <c r="EW49" s="16">
        <f t="shared" si="274"/>
        <v>0.76941951037330114</v>
      </c>
      <c r="EX49" s="16">
        <f t="shared" si="275"/>
        <v>6.1061769509690791E-2</v>
      </c>
      <c r="EY49" s="16">
        <f t="shared" si="276"/>
        <v>2.3156071556834764E-4</v>
      </c>
      <c r="EZ49" s="16">
        <f t="shared" si="277"/>
        <v>1.2757019711749386E-3</v>
      </c>
      <c r="FB49" s="14">
        <f t="shared" si="302"/>
        <v>-6.6140498267142371</v>
      </c>
      <c r="FC49" s="4">
        <f t="shared" si="303"/>
        <v>3.1747350243244972</v>
      </c>
      <c r="FD49" s="4">
        <f t="shared" si="304"/>
        <v>3.3657416613530189</v>
      </c>
      <c r="FE49" s="4">
        <f t="shared" si="305"/>
        <v>3.3657416613530189</v>
      </c>
      <c r="FG49" s="4">
        <f t="shared" si="306"/>
        <v>4.1552942351105084</v>
      </c>
    </row>
    <row r="50" spans="1:163" x14ac:dyDescent="0.2">
      <c r="A50" s="24" t="s">
        <v>167</v>
      </c>
      <c r="B50" s="60" t="s">
        <v>181</v>
      </c>
      <c r="C50" s="138">
        <v>40.891999999999996</v>
      </c>
      <c r="D50" s="98"/>
      <c r="E50" s="148">
        <f t="shared" si="203"/>
        <v>1.3273022054542302E-2</v>
      </c>
      <c r="F50" s="138">
        <v>0</v>
      </c>
      <c r="G50" s="138">
        <v>10.022</v>
      </c>
      <c r="H50" s="138">
        <v>0.13600000000000001</v>
      </c>
      <c r="I50" s="138">
        <v>49.275999999999996</v>
      </c>
      <c r="J50" s="150">
        <f t="shared" si="204"/>
        <v>4.0673135103637716E-2</v>
      </c>
      <c r="K50" s="98"/>
      <c r="L50" s="98"/>
      <c r="M50" s="138">
        <v>0.376</v>
      </c>
      <c r="N50" s="141">
        <v>70.248272523199404</v>
      </c>
      <c r="O50" s="142">
        <v>290.68921459485927</v>
      </c>
      <c r="P50" s="11"/>
      <c r="Q50" s="140">
        <v>51.718333333333334</v>
      </c>
      <c r="R50" s="140">
        <v>0.39999999999999997</v>
      </c>
      <c r="S50" s="140">
        <v>6.7416666666666671</v>
      </c>
      <c r="T50" s="140">
        <v>0.83000000000000007</v>
      </c>
      <c r="U50" s="140">
        <v>2.7233333333333332</v>
      </c>
      <c r="V50" s="140">
        <v>9.3333333333333324E-2</v>
      </c>
      <c r="W50" s="140">
        <v>14.878333333333336</v>
      </c>
      <c r="X50" s="140">
        <v>20.044999999999998</v>
      </c>
      <c r="Y50" s="140">
        <v>1.5883333333333336</v>
      </c>
      <c r="Z50" s="100"/>
      <c r="AA50" s="140">
        <v>2.6666666666666668E-2</v>
      </c>
      <c r="AC50" s="139">
        <v>56.947499999999998</v>
      </c>
      <c r="AD50" s="139">
        <v>9.9275000000000002</v>
      </c>
      <c r="AE50" s="11"/>
      <c r="AF50" s="83">
        <f t="shared" si="205"/>
        <v>0.10470100558776096</v>
      </c>
      <c r="AG50" s="22">
        <f t="shared" si="278"/>
        <v>2.3307471011971205E-4</v>
      </c>
      <c r="AH50" s="126">
        <f t="shared" si="206"/>
        <v>950.96030647964653</v>
      </c>
      <c r="AI50" s="126">
        <f t="shared" si="307"/>
        <v>950.80949913367022</v>
      </c>
      <c r="AJ50" s="126">
        <f t="shared" si="308"/>
        <v>0.15080734597631817</v>
      </c>
      <c r="AK50" s="12"/>
      <c r="AL50" s="25">
        <f>FE50</f>
        <v>1.7883428216364572</v>
      </c>
      <c r="AN50" s="2">
        <v>15.999000000000001</v>
      </c>
      <c r="AO50" s="2">
        <v>28.085000000000001</v>
      </c>
      <c r="AP50" s="2">
        <v>47.866999999999997</v>
      </c>
      <c r="AQ50" s="2">
        <v>26.9815386</v>
      </c>
      <c r="AR50" s="2">
        <v>51.996099999999998</v>
      </c>
      <c r="AS50" s="2">
        <v>55.844999999999999</v>
      </c>
      <c r="AT50" s="2">
        <v>54.938045000000002</v>
      </c>
      <c r="AU50" s="2">
        <v>24.305</v>
      </c>
      <c r="AV50" s="2">
        <v>40.078000000000003</v>
      </c>
      <c r="AW50" s="2">
        <v>22.989769280000001</v>
      </c>
      <c r="AX50" s="2">
        <v>39.098300000000002</v>
      </c>
      <c r="AY50" s="2">
        <v>58.693399999999997</v>
      </c>
      <c r="BA50" s="2">
        <f t="shared" si="208"/>
        <v>60.082999999999998</v>
      </c>
      <c r="BB50" s="2">
        <f t="shared" si="209"/>
        <v>79.864999999999995</v>
      </c>
      <c r="BC50" s="2">
        <f t="shared" si="210"/>
        <v>101.9600772</v>
      </c>
      <c r="BD50" s="2">
        <f t="shared" si="211"/>
        <v>151.98919999999998</v>
      </c>
      <c r="BE50" s="2">
        <f t="shared" si="212"/>
        <v>71.843999999999994</v>
      </c>
      <c r="BF50" s="2">
        <f t="shared" si="213"/>
        <v>70.937044999999998</v>
      </c>
      <c r="BG50" s="2">
        <f t="shared" si="214"/>
        <v>40.304000000000002</v>
      </c>
      <c r="BH50" s="2">
        <f t="shared" si="215"/>
        <v>56.077000000000005</v>
      </c>
      <c r="BI50" s="2">
        <f t="shared" si="216"/>
        <v>61.978538560000004</v>
      </c>
      <c r="BJ50" s="2">
        <f t="shared" si="217"/>
        <v>94.195599999999999</v>
      </c>
      <c r="BK50" s="2">
        <f t="shared" si="218"/>
        <v>74.692399999999992</v>
      </c>
      <c r="BM50" s="2">
        <f t="shared" si="279"/>
        <v>0.68059184794367789</v>
      </c>
      <c r="BN50" s="2">
        <f t="shared" si="280"/>
        <v>0</v>
      </c>
      <c r="BO50" s="2">
        <f t="shared" si="281"/>
        <v>1.3017861911291591E-4</v>
      </c>
      <c r="BP50" s="2">
        <f t="shared" si="282"/>
        <v>0</v>
      </c>
      <c r="BQ50" s="2">
        <f t="shared" si="283"/>
        <v>0.13949668726685599</v>
      </c>
      <c r="BR50" s="2">
        <f t="shared" si="284"/>
        <v>1.9171929138012446E-3</v>
      </c>
      <c r="BS50" s="2">
        <f t="shared" si="285"/>
        <v>1.2226081778483524</v>
      </c>
      <c r="BT50" s="2">
        <f t="shared" si="286"/>
        <v>7.2530868455227123E-4</v>
      </c>
      <c r="BU50" s="2">
        <f t="shared" si="287"/>
        <v>0</v>
      </c>
      <c r="BV50" s="2">
        <f t="shared" si="288"/>
        <v>0</v>
      </c>
      <c r="BW50" s="2">
        <f t="shared" si="289"/>
        <v>5.033979360684622E-3</v>
      </c>
      <c r="BY50" s="2">
        <f t="shared" si="219"/>
        <v>0.68059184794367789</v>
      </c>
      <c r="BZ50" s="2">
        <f t="shared" si="220"/>
        <v>0</v>
      </c>
      <c r="CA50" s="2">
        <f t="shared" si="221"/>
        <v>2.6035723822583182E-4</v>
      </c>
      <c r="CB50" s="2">
        <f t="shared" si="222"/>
        <v>0</v>
      </c>
      <c r="CC50" s="2">
        <f t="shared" si="223"/>
        <v>0.13949668726685599</v>
      </c>
      <c r="CD50" s="2">
        <f t="shared" si="224"/>
        <v>1.9171929138012446E-3</v>
      </c>
      <c r="CE50" s="2">
        <f t="shared" si="225"/>
        <v>1.2226081778483524</v>
      </c>
      <c r="CF50" s="2">
        <f t="shared" si="226"/>
        <v>7.2530868455227123E-4</v>
      </c>
      <c r="CG50" s="2">
        <f t="shared" si="227"/>
        <v>0</v>
      </c>
      <c r="CH50" s="2">
        <f t="shared" si="228"/>
        <v>0</v>
      </c>
      <c r="CI50" s="2">
        <f t="shared" si="229"/>
        <v>5.033979360684622E-3</v>
      </c>
      <c r="CK50" s="2">
        <f t="shared" si="230"/>
        <v>1.3611836958873558</v>
      </c>
      <c r="CL50" s="2">
        <f t="shared" si="231"/>
        <v>0</v>
      </c>
      <c r="CM50" s="2">
        <f t="shared" si="232"/>
        <v>3.9053585733874775E-4</v>
      </c>
      <c r="CN50" s="2">
        <f t="shared" si="233"/>
        <v>0</v>
      </c>
      <c r="CO50" s="2">
        <f t="shared" si="234"/>
        <v>0.13949668726685599</v>
      </c>
      <c r="CP50" s="2">
        <f t="shared" si="235"/>
        <v>1.9171929138012446E-3</v>
      </c>
      <c r="CQ50" s="2">
        <f t="shared" si="236"/>
        <v>1.2226081778483524</v>
      </c>
      <c r="CR50" s="2">
        <f t="shared" si="237"/>
        <v>7.2530868455227123E-4</v>
      </c>
      <c r="CS50" s="2">
        <f t="shared" si="238"/>
        <v>0</v>
      </c>
      <c r="CT50" s="2">
        <f t="shared" si="239"/>
        <v>0</v>
      </c>
      <c r="CU50" s="2">
        <f t="shared" si="240"/>
        <v>5.033979360684622E-3</v>
      </c>
      <c r="CW50" s="14">
        <f t="shared" si="241"/>
        <v>2.7313555778189409</v>
      </c>
      <c r="CY50" s="14">
        <f t="shared" si="242"/>
        <v>1.4644742824711621</v>
      </c>
      <c r="DA50" s="16">
        <f t="shared" si="243"/>
        <v>0.9967092581730399</v>
      </c>
      <c r="DB50" s="16">
        <f t="shared" si="244"/>
        <v>0</v>
      </c>
      <c r="DC50" s="16">
        <f t="shared" si="245"/>
        <v>3.8128647963694848E-4</v>
      </c>
      <c r="DD50" s="16">
        <f t="shared" si="246"/>
        <v>0</v>
      </c>
      <c r="DE50" s="16">
        <f t="shared" si="247"/>
        <v>0.20428931099223302</v>
      </c>
      <c r="DF50" s="16">
        <f t="shared" si="248"/>
        <v>2.8076797167978741E-3</v>
      </c>
      <c r="DG50" s="16">
        <f t="shared" si="249"/>
        <v>1.7904782339978409</v>
      </c>
      <c r="DH50" s="16">
        <f t="shared" si="250"/>
        <v>1.0621959153797899E-3</v>
      </c>
      <c r="DI50" s="16">
        <f t="shared" si="251"/>
        <v>0</v>
      </c>
      <c r="DJ50" s="16">
        <f t="shared" si="252"/>
        <v>0</v>
      </c>
      <c r="DK50" s="16">
        <f t="shared" si="253"/>
        <v>7.3721333122132512E-3</v>
      </c>
      <c r="DL50" s="16">
        <f t="shared" si="290"/>
        <v>0.89758740986872754</v>
      </c>
      <c r="DN50" s="2">
        <f t="shared" si="291"/>
        <v>0.86078147451580866</v>
      </c>
      <c r="DO50" s="2">
        <f t="shared" si="292"/>
        <v>5.008451762348964E-3</v>
      </c>
      <c r="DP50" s="2">
        <f t="shared" si="293"/>
        <v>6.6120650864578467E-2</v>
      </c>
      <c r="DQ50" s="2">
        <f t="shared" si="294"/>
        <v>5.4609143281233148E-3</v>
      </c>
      <c r="DR50" s="2">
        <f t="shared" si="295"/>
        <v>3.7906204183137539E-2</v>
      </c>
      <c r="DS50" s="2">
        <f t="shared" si="296"/>
        <v>1.315720627118501E-3</v>
      </c>
      <c r="DT50" s="2">
        <f t="shared" si="297"/>
        <v>0.36915277226412602</v>
      </c>
      <c r="DU50" s="2">
        <f t="shared" si="298"/>
        <v>0.3574549280453661</v>
      </c>
      <c r="DV50" s="2">
        <f t="shared" si="299"/>
        <v>2.5627150465894005E-2</v>
      </c>
      <c r="DW50" s="2">
        <f t="shared" si="300"/>
        <v>0</v>
      </c>
      <c r="DX50" s="2">
        <f t="shared" si="301"/>
        <v>3.5701981281451218E-4</v>
      </c>
      <c r="DZ50" s="2">
        <f t="shared" si="254"/>
        <v>1.7215629490316173</v>
      </c>
      <c r="EA50" s="2">
        <f t="shared" si="255"/>
        <v>1.0016903524697928E-2</v>
      </c>
      <c r="EB50" s="2">
        <f t="shared" si="256"/>
        <v>0.1983619525937354</v>
      </c>
      <c r="EC50" s="2">
        <f t="shared" si="257"/>
        <v>1.6382742984369945E-2</v>
      </c>
      <c r="ED50" s="2">
        <f t="shared" si="258"/>
        <v>3.7906204183137539E-2</v>
      </c>
      <c r="EE50" s="2">
        <f t="shared" si="259"/>
        <v>1.315720627118501E-3</v>
      </c>
      <c r="EF50" s="2">
        <f t="shared" si="260"/>
        <v>0.36915277226412602</v>
      </c>
      <c r="EG50" s="2">
        <f t="shared" si="261"/>
        <v>0.3574549280453661</v>
      </c>
      <c r="EH50" s="2">
        <f t="shared" si="262"/>
        <v>2.5627150465894005E-2</v>
      </c>
      <c r="EI50" s="2">
        <f t="shared" si="263"/>
        <v>0</v>
      </c>
      <c r="EJ50" s="2">
        <f t="shared" si="264"/>
        <v>3.5701981281451218E-4</v>
      </c>
      <c r="EL50" s="16">
        <f t="shared" si="265"/>
        <v>2.7381383435328774</v>
      </c>
      <c r="EN50" s="14">
        <f t="shared" si="266"/>
        <v>2.191269850981493</v>
      </c>
      <c r="EP50" s="16">
        <f t="shared" si="267"/>
        <v>1.8862044933898858</v>
      </c>
      <c r="EQ50" s="16">
        <f t="shared" si="268"/>
        <v>1.097486934693041E-2</v>
      </c>
      <c r="ER50" s="16">
        <f t="shared" si="269"/>
        <v>0.28977637753364838</v>
      </c>
      <c r="ES50" s="16">
        <f t="shared" si="270"/>
        <v>2.3932673852018953E-2</v>
      </c>
      <c r="ET50" s="16">
        <f t="shared" si="271"/>
        <v>8.3062722391657837E-2</v>
      </c>
      <c r="EU50" s="16">
        <f t="shared" si="272"/>
        <v>2.8830989425192343E-3</v>
      </c>
      <c r="EV50" s="16">
        <f t="shared" si="273"/>
        <v>0.80891334026861639</v>
      </c>
      <c r="EW50" s="16">
        <f t="shared" si="274"/>
        <v>0.78328020691056965</v>
      </c>
      <c r="EX50" s="16">
        <f t="shared" si="275"/>
        <v>0.11231200436495971</v>
      </c>
      <c r="EY50" s="16">
        <f t="shared" si="276"/>
        <v>0</v>
      </c>
      <c r="EZ50" s="16">
        <f t="shared" si="277"/>
        <v>7.8232675202349661E-4</v>
      </c>
      <c r="FB50" s="14">
        <f t="shared" si="302"/>
        <v>-6.6031521116403535</v>
      </c>
      <c r="FC50" s="4">
        <f t="shared" si="303"/>
        <v>0.92258503325013552</v>
      </c>
      <c r="FD50" s="4">
        <f t="shared" si="304"/>
        <v>1.7883428216364572</v>
      </c>
      <c r="FE50" s="4">
        <f t="shared" si="305"/>
        <v>1.7883428216364572</v>
      </c>
      <c r="FG50" s="4">
        <f t="shared" si="306"/>
        <v>1.8434679378326067</v>
      </c>
    </row>
    <row r="51" spans="1:163" x14ac:dyDescent="0.2">
      <c r="A51" s="24" t="s">
        <v>168</v>
      </c>
      <c r="B51" s="60" t="s">
        <v>181</v>
      </c>
      <c r="C51" s="138">
        <v>41.447860000000006</v>
      </c>
      <c r="D51" s="98">
        <v>1.0919999999999999E-2</v>
      </c>
      <c r="E51" s="148">
        <f t="shared" si="203"/>
        <v>7.8491092682963504E-3</v>
      </c>
      <c r="F51" s="138">
        <v>3.7400000000000003E-3</v>
      </c>
      <c r="G51" s="138">
        <v>8.5817000000000014</v>
      </c>
      <c r="H51" s="138">
        <v>0.11308</v>
      </c>
      <c r="I51" s="138">
        <v>50.73798</v>
      </c>
      <c r="J51" s="150">
        <f t="shared" si="204"/>
        <v>5.0545924288492854E-2</v>
      </c>
      <c r="K51" s="98"/>
      <c r="L51" s="98"/>
      <c r="M51" s="138">
        <v>0.30972</v>
      </c>
      <c r="N51" s="141">
        <v>41.54188584015472</v>
      </c>
      <c r="O51" s="142">
        <v>361.24963062114892</v>
      </c>
      <c r="P51" s="11"/>
      <c r="Q51" s="140">
        <v>53.26276</v>
      </c>
      <c r="R51" s="140">
        <v>2.298E-2</v>
      </c>
      <c r="S51" s="140">
        <v>2.8071000000000002</v>
      </c>
      <c r="T51" s="140">
        <v>1.10226</v>
      </c>
      <c r="U51" s="140">
        <v>2.0373800000000002</v>
      </c>
      <c r="V51" s="140">
        <v>7.4639999999999998E-2</v>
      </c>
      <c r="W51" s="140">
        <v>17.342760000000002</v>
      </c>
      <c r="X51" s="140">
        <v>22.032779999999999</v>
      </c>
      <c r="Y51" s="140">
        <v>0.61348000000000003</v>
      </c>
      <c r="Z51" s="100"/>
      <c r="AA51" s="140">
        <v>3.6159999999999998E-2</v>
      </c>
      <c r="AC51" s="139">
        <v>31.820240000000002</v>
      </c>
      <c r="AD51" s="139">
        <v>36.326679999999996</v>
      </c>
      <c r="AE51" s="11"/>
      <c r="AF51" s="83">
        <f t="shared" si="205"/>
        <v>0.43369825844314475</v>
      </c>
      <c r="AG51" s="22">
        <f t="shared" si="278"/>
        <v>2.4667033524248562E-4</v>
      </c>
      <c r="AH51" s="126">
        <f t="shared" si="206"/>
        <v>916.0353491129224</v>
      </c>
      <c r="AI51" s="126">
        <f t="shared" si="307"/>
        <v>915.88537069115978</v>
      </c>
      <c r="AJ51" s="126">
        <f t="shared" si="308"/>
        <v>0.14997842176262566</v>
      </c>
      <c r="AK51" s="12"/>
      <c r="AL51" s="25">
        <f>FE51</f>
        <v>1.0366620244415492</v>
      </c>
      <c r="AN51" s="2">
        <v>15.999000000000001</v>
      </c>
      <c r="AO51" s="2">
        <v>28.085000000000001</v>
      </c>
      <c r="AP51" s="2">
        <v>47.866999999999997</v>
      </c>
      <c r="AQ51" s="2">
        <v>26.9815386</v>
      </c>
      <c r="AR51" s="2">
        <v>51.996099999999998</v>
      </c>
      <c r="AS51" s="2">
        <v>55.844999999999999</v>
      </c>
      <c r="AT51" s="2">
        <v>54.938045000000002</v>
      </c>
      <c r="AU51" s="2">
        <v>24.305</v>
      </c>
      <c r="AV51" s="2">
        <v>40.078000000000003</v>
      </c>
      <c r="AW51" s="2">
        <v>22.989769280000001</v>
      </c>
      <c r="AX51" s="2">
        <v>39.098300000000002</v>
      </c>
      <c r="AY51" s="2">
        <v>58.693399999999997</v>
      </c>
      <c r="BA51" s="2">
        <f t="shared" si="208"/>
        <v>60.082999999999998</v>
      </c>
      <c r="BB51" s="2">
        <f t="shared" si="209"/>
        <v>79.864999999999995</v>
      </c>
      <c r="BC51" s="2">
        <f t="shared" si="210"/>
        <v>101.9600772</v>
      </c>
      <c r="BD51" s="2">
        <f t="shared" si="211"/>
        <v>151.98919999999998</v>
      </c>
      <c r="BE51" s="2">
        <f t="shared" si="212"/>
        <v>71.843999999999994</v>
      </c>
      <c r="BF51" s="2">
        <f t="shared" si="213"/>
        <v>70.937044999999998</v>
      </c>
      <c r="BG51" s="2">
        <f t="shared" si="214"/>
        <v>40.304000000000002</v>
      </c>
      <c r="BH51" s="2">
        <f t="shared" si="215"/>
        <v>56.077000000000005</v>
      </c>
      <c r="BI51" s="2">
        <f t="shared" si="216"/>
        <v>61.978538560000004</v>
      </c>
      <c r="BJ51" s="2">
        <f t="shared" si="217"/>
        <v>94.195599999999999</v>
      </c>
      <c r="BK51" s="2">
        <f t="shared" si="218"/>
        <v>74.692399999999992</v>
      </c>
      <c r="BM51" s="2">
        <f t="shared" si="279"/>
        <v>0.68984338331974115</v>
      </c>
      <c r="BN51" s="2">
        <f t="shared" si="280"/>
        <v>1.3673073311212672E-4</v>
      </c>
      <c r="BO51" s="2">
        <f t="shared" si="281"/>
        <v>7.6982182476185396E-5</v>
      </c>
      <c r="BP51" s="2">
        <f t="shared" si="282"/>
        <v>2.4607011550820721E-5</v>
      </c>
      <c r="BQ51" s="2">
        <f t="shared" si="283"/>
        <v>0.11944908412671904</v>
      </c>
      <c r="BR51" s="2">
        <f t="shared" si="284"/>
        <v>1.5940895197988584E-3</v>
      </c>
      <c r="BS51" s="2">
        <f t="shared" si="285"/>
        <v>1.2588819968241365</v>
      </c>
      <c r="BT51" s="2">
        <f t="shared" si="286"/>
        <v>9.0136641204937586E-4</v>
      </c>
      <c r="BU51" s="2">
        <f t="shared" si="287"/>
        <v>0</v>
      </c>
      <c r="BV51" s="2">
        <f t="shared" si="288"/>
        <v>0</v>
      </c>
      <c r="BW51" s="2">
        <f t="shared" si="289"/>
        <v>4.1466066159341515E-3</v>
      </c>
      <c r="BY51" s="2">
        <f t="shared" si="219"/>
        <v>0.68984338331974115</v>
      </c>
      <c r="BZ51" s="2">
        <f t="shared" si="220"/>
        <v>1.3673073311212672E-4</v>
      </c>
      <c r="CA51" s="2">
        <f t="shared" si="221"/>
        <v>1.5396436495237079E-4</v>
      </c>
      <c r="CB51" s="2">
        <f t="shared" si="222"/>
        <v>4.9214023101641443E-5</v>
      </c>
      <c r="CC51" s="2">
        <f t="shared" si="223"/>
        <v>0.11944908412671904</v>
      </c>
      <c r="CD51" s="2">
        <f t="shared" si="224"/>
        <v>1.5940895197988584E-3</v>
      </c>
      <c r="CE51" s="2">
        <f t="shared" si="225"/>
        <v>1.2588819968241365</v>
      </c>
      <c r="CF51" s="2">
        <f t="shared" si="226"/>
        <v>9.0136641204937586E-4</v>
      </c>
      <c r="CG51" s="2">
        <f t="shared" si="227"/>
        <v>0</v>
      </c>
      <c r="CH51" s="2">
        <f t="shared" si="228"/>
        <v>0</v>
      </c>
      <c r="CI51" s="2">
        <f t="shared" si="229"/>
        <v>4.1466066159341515E-3</v>
      </c>
      <c r="CK51" s="2">
        <f t="shared" si="230"/>
        <v>1.3796867666394823</v>
      </c>
      <c r="CL51" s="2">
        <f t="shared" si="231"/>
        <v>2.7346146622425345E-4</v>
      </c>
      <c r="CM51" s="2">
        <f t="shared" si="232"/>
        <v>2.309465474285562E-4</v>
      </c>
      <c r="CN51" s="2">
        <f t="shared" si="233"/>
        <v>7.3821034652462171E-5</v>
      </c>
      <c r="CO51" s="2">
        <f t="shared" si="234"/>
        <v>0.11944908412671904</v>
      </c>
      <c r="CP51" s="2">
        <f t="shared" si="235"/>
        <v>1.5940895197988584E-3</v>
      </c>
      <c r="CQ51" s="2">
        <f t="shared" si="236"/>
        <v>1.2588819968241365</v>
      </c>
      <c r="CR51" s="2">
        <f t="shared" si="237"/>
        <v>9.0136641204937586E-4</v>
      </c>
      <c r="CS51" s="2">
        <f t="shared" si="238"/>
        <v>0</v>
      </c>
      <c r="CT51" s="2">
        <f t="shared" si="239"/>
        <v>0</v>
      </c>
      <c r="CU51" s="2">
        <f t="shared" si="240"/>
        <v>4.1466066159341515E-3</v>
      </c>
      <c r="CW51" s="14">
        <f t="shared" si="241"/>
        <v>2.765238139186426</v>
      </c>
      <c r="CY51" s="14">
        <f t="shared" si="242"/>
        <v>1.446530026949816</v>
      </c>
      <c r="DA51" s="16">
        <f t="shared" si="243"/>
        <v>0.99787916786465747</v>
      </c>
      <c r="DB51" s="16">
        <f t="shared" si="244"/>
        <v>1.9778511105355277E-4</v>
      </c>
      <c r="DC51" s="16">
        <f t="shared" si="245"/>
        <v>2.2271407698386424E-4</v>
      </c>
      <c r="DD51" s="16">
        <f t="shared" si="246"/>
        <v>7.1189562163526259E-5</v>
      </c>
      <c r="DE51" s="16">
        <f t="shared" si="247"/>
        <v>0.17278668688095372</v>
      </c>
      <c r="DF51" s="16">
        <f t="shared" si="248"/>
        <v>2.3058983560350619E-3</v>
      </c>
      <c r="DG51" s="16">
        <f t="shared" si="249"/>
        <v>1.8210106087926563</v>
      </c>
      <c r="DH51" s="16">
        <f t="shared" si="250"/>
        <v>1.3038535803134427E-3</v>
      </c>
      <c r="DI51" s="16">
        <f t="shared" si="251"/>
        <v>0</v>
      </c>
      <c r="DJ51" s="16">
        <f t="shared" si="252"/>
        <v>0</v>
      </c>
      <c r="DK51" s="16">
        <f t="shared" si="253"/>
        <v>5.9981909798975134E-3</v>
      </c>
      <c r="DL51" s="16">
        <f t="shared" si="290"/>
        <v>0.91333788682736816</v>
      </c>
      <c r="DN51" s="2">
        <f t="shared" si="291"/>
        <v>0.88648636053459384</v>
      </c>
      <c r="DO51" s="2">
        <f t="shared" si="292"/>
        <v>2.8773555374694799E-4</v>
      </c>
      <c r="DP51" s="2">
        <f t="shared" si="293"/>
        <v>2.753136401116809E-2</v>
      </c>
      <c r="DQ51" s="2">
        <f t="shared" si="294"/>
        <v>7.2522258160448248E-3</v>
      </c>
      <c r="DR51" s="2">
        <f t="shared" si="295"/>
        <v>2.835838761761595E-2</v>
      </c>
      <c r="DS51" s="2">
        <f t="shared" si="296"/>
        <v>1.0522005815156242E-3</v>
      </c>
      <c r="DT51" s="2">
        <f t="shared" si="297"/>
        <v>0.4302987296546249</v>
      </c>
      <c r="DU51" s="2">
        <f t="shared" si="298"/>
        <v>0.39290225939333412</v>
      </c>
      <c r="DV51" s="2">
        <f t="shared" si="299"/>
        <v>9.8982650164637885E-3</v>
      </c>
      <c r="DW51" s="2">
        <f t="shared" si="300"/>
        <v>0</v>
      </c>
      <c r="DX51" s="2">
        <f t="shared" si="301"/>
        <v>4.8411886617647849E-4</v>
      </c>
      <c r="DZ51" s="2">
        <f t="shared" si="254"/>
        <v>1.7729727210691877</v>
      </c>
      <c r="EA51" s="2">
        <f t="shared" si="255"/>
        <v>5.7547110749389598E-4</v>
      </c>
      <c r="EB51" s="2">
        <f t="shared" si="256"/>
        <v>8.2594092033504263E-2</v>
      </c>
      <c r="EC51" s="2">
        <f t="shared" si="257"/>
        <v>2.1756677448134476E-2</v>
      </c>
      <c r="ED51" s="2">
        <f t="shared" si="258"/>
        <v>2.835838761761595E-2</v>
      </c>
      <c r="EE51" s="2">
        <f t="shared" si="259"/>
        <v>1.0522005815156242E-3</v>
      </c>
      <c r="EF51" s="2">
        <f t="shared" si="260"/>
        <v>0.4302987296546249</v>
      </c>
      <c r="EG51" s="2">
        <f t="shared" si="261"/>
        <v>0.39290225939333412</v>
      </c>
      <c r="EH51" s="2">
        <f t="shared" si="262"/>
        <v>9.8982650164637885E-3</v>
      </c>
      <c r="EI51" s="2">
        <f t="shared" si="263"/>
        <v>0</v>
      </c>
      <c r="EJ51" s="2">
        <f t="shared" si="264"/>
        <v>4.8411886617647849E-4</v>
      </c>
      <c r="EL51" s="16">
        <f t="shared" si="265"/>
        <v>2.740892922788051</v>
      </c>
      <c r="EN51" s="14">
        <f t="shared" si="266"/>
        <v>2.1890676392774835</v>
      </c>
      <c r="EP51" s="16">
        <f t="shared" si="267"/>
        <v>1.9405786045071514</v>
      </c>
      <c r="EQ51" s="16">
        <f t="shared" si="268"/>
        <v>6.2987258937703087E-4</v>
      </c>
      <c r="ER51" s="16">
        <f t="shared" si="269"/>
        <v>0.1205360360440336</v>
      </c>
      <c r="ES51" s="16">
        <f t="shared" si="270"/>
        <v>3.1751225693272933E-2</v>
      </c>
      <c r="ET51" s="16">
        <f t="shared" si="271"/>
        <v>6.2078428635810368E-2</v>
      </c>
      <c r="EU51" s="16">
        <f t="shared" si="272"/>
        <v>2.3033382430248028E-3</v>
      </c>
      <c r="EV51" s="16">
        <f t="shared" si="273"/>
        <v>0.94195302430914984</v>
      </c>
      <c r="EW51" s="16">
        <f t="shared" si="274"/>
        <v>0.86008962143695533</v>
      </c>
      <c r="EX51" s="16">
        <f t="shared" si="275"/>
        <v>4.3335943265066575E-2</v>
      </c>
      <c r="EY51" s="16">
        <f t="shared" si="276"/>
        <v>0</v>
      </c>
      <c r="EZ51" s="16">
        <f t="shared" si="277"/>
        <v>1.0597689435106357E-3</v>
      </c>
      <c r="FB51" s="14">
        <f t="shared" si="302"/>
        <v>-6.4917124226268497</v>
      </c>
      <c r="FC51" s="4">
        <f t="shared" si="303"/>
        <v>5.2123055296194452E-2</v>
      </c>
      <c r="FD51" s="4">
        <f t="shared" si="304"/>
        <v>1.0366620244415492</v>
      </c>
      <c r="FE51" s="4">
        <f t="shared" si="305"/>
        <v>1.0366620244415492</v>
      </c>
      <c r="FG51" s="4">
        <f t="shared" si="306"/>
        <v>0.43558415451911492</v>
      </c>
    </row>
    <row r="52" spans="1:163" x14ac:dyDescent="0.2">
      <c r="A52" s="24" t="s">
        <v>169</v>
      </c>
      <c r="B52" s="60" t="s">
        <v>181</v>
      </c>
      <c r="C52" s="138">
        <v>41.227080000000001</v>
      </c>
      <c r="D52" s="98">
        <v>9.5599999999999991E-3</v>
      </c>
      <c r="E52" s="148">
        <f t="shared" si="45"/>
        <v>1.1018582760413771E-2</v>
      </c>
      <c r="F52" s="138">
        <v>2.2740000000000003E-2</v>
      </c>
      <c r="G52" s="138">
        <v>10.264720000000001</v>
      </c>
      <c r="H52" s="138">
        <v>0.11683999999999999</v>
      </c>
      <c r="I52" s="138">
        <v>49.419959999999996</v>
      </c>
      <c r="J52" s="150">
        <f t="shared" si="46"/>
        <v>3.7994732008972139E-2</v>
      </c>
      <c r="K52" s="98"/>
      <c r="L52" s="98"/>
      <c r="M52" s="138">
        <v>0.29818</v>
      </c>
      <c r="N52" s="141">
        <v>58.316516117599761</v>
      </c>
      <c r="O52" s="142">
        <v>271.5467784395716</v>
      </c>
      <c r="P52" s="11"/>
      <c r="Q52" s="140">
        <v>51.966539999999995</v>
      </c>
      <c r="R52" s="140">
        <v>0.48629999999999995</v>
      </c>
      <c r="S52" s="140">
        <v>7.0949799999999996</v>
      </c>
      <c r="T52" s="140">
        <v>0.8924200000000001</v>
      </c>
      <c r="U52" s="140">
        <v>2.8369</v>
      </c>
      <c r="V52" s="140">
        <v>0.10132000000000001</v>
      </c>
      <c r="W52" s="140">
        <v>14.814519999999998</v>
      </c>
      <c r="X52" s="140">
        <v>19.479480000000002</v>
      </c>
      <c r="Y52" s="140">
        <v>1.9312400000000001</v>
      </c>
      <c r="Z52" s="100"/>
      <c r="AA52" s="140">
        <v>4.4040000000000003E-2</v>
      </c>
      <c r="AC52" s="139">
        <v>57.169000000000004</v>
      </c>
      <c r="AD52" s="139">
        <v>10.1477</v>
      </c>
      <c r="AE52" s="11"/>
      <c r="AF52" s="83">
        <f t="shared" si="50"/>
        <v>0.10640570971065386</v>
      </c>
      <c r="AG52" s="22">
        <f t="shared" si="278"/>
        <v>1.9273702112007854E-4</v>
      </c>
      <c r="AH52" s="126">
        <f t="shared" si="47"/>
        <v>925.72950152970907</v>
      </c>
      <c r="AI52" s="126">
        <f t="shared" si="307"/>
        <v>925.57949463484033</v>
      </c>
      <c r="AJ52" s="126">
        <f t="shared" si="308"/>
        <v>0.15000689486873853</v>
      </c>
      <c r="AK52" s="12"/>
      <c r="AL52" s="25">
        <f t="shared" si="48"/>
        <v>1.5815195365249008</v>
      </c>
      <c r="AN52" s="2">
        <v>15.999000000000001</v>
      </c>
      <c r="AO52" s="2">
        <v>28.085000000000001</v>
      </c>
      <c r="AP52" s="2">
        <v>47.866999999999997</v>
      </c>
      <c r="AQ52" s="2">
        <v>26.9815386</v>
      </c>
      <c r="AR52" s="2">
        <v>51.996099999999998</v>
      </c>
      <c r="AS52" s="2">
        <v>55.844999999999999</v>
      </c>
      <c r="AT52" s="2">
        <v>54.938045000000002</v>
      </c>
      <c r="AU52" s="2">
        <v>24.305</v>
      </c>
      <c r="AV52" s="2">
        <v>40.078000000000003</v>
      </c>
      <c r="AW52" s="2">
        <v>22.989769280000001</v>
      </c>
      <c r="AX52" s="2">
        <v>39.098300000000002</v>
      </c>
      <c r="AY52" s="2">
        <v>58.693399999999997</v>
      </c>
      <c r="BA52" s="2">
        <f>AN52*2+AO52</f>
        <v>60.082999999999998</v>
      </c>
      <c r="BB52" s="2">
        <f>AN52*2+AP52</f>
        <v>79.864999999999995</v>
      </c>
      <c r="BC52" s="2">
        <f>AQ52*2+AN52*3</f>
        <v>101.9600772</v>
      </c>
      <c r="BD52" s="2">
        <f>AR52*2+AN52*3</f>
        <v>151.98919999999998</v>
      </c>
      <c r="BE52" s="2">
        <f>AS52+AN52</f>
        <v>71.843999999999994</v>
      </c>
      <c r="BF52" s="2">
        <f>AT52+AN52</f>
        <v>70.937044999999998</v>
      </c>
      <c r="BG52" s="2">
        <f>AU52+AN52</f>
        <v>40.304000000000002</v>
      </c>
      <c r="BH52" s="2">
        <f>AV52+AN52</f>
        <v>56.077000000000005</v>
      </c>
      <c r="BI52" s="2">
        <f>AW52*2+AN52</f>
        <v>61.978538560000004</v>
      </c>
      <c r="BJ52" s="2">
        <f>AX52*2+AN52</f>
        <v>94.195599999999999</v>
      </c>
      <c r="BK52" s="2">
        <f>AY52+AN52</f>
        <v>74.692399999999992</v>
      </c>
      <c r="BM52" s="2">
        <f t="shared" si="279"/>
        <v>0.68616879982690615</v>
      </c>
      <c r="BN52" s="2">
        <f t="shared" si="280"/>
        <v>1.1970199712014024E-4</v>
      </c>
      <c r="BO52" s="2">
        <f t="shared" si="281"/>
        <v>1.0806761884654371E-4</v>
      </c>
      <c r="BP52" s="2">
        <f t="shared" si="282"/>
        <v>1.4961589376087252E-4</v>
      </c>
      <c r="BQ52" s="2">
        <f t="shared" si="283"/>
        <v>0.14287511831189803</v>
      </c>
      <c r="BR52" s="2">
        <f t="shared" si="284"/>
        <v>1.6470942650627749E-3</v>
      </c>
      <c r="BS52" s="2">
        <f t="shared" si="285"/>
        <v>1.2261800317586342</v>
      </c>
      <c r="BT52" s="2">
        <f t="shared" si="286"/>
        <v>6.7754573192168157E-4</v>
      </c>
      <c r="BU52" s="2">
        <f t="shared" si="287"/>
        <v>0</v>
      </c>
      <c r="BV52" s="2">
        <f t="shared" si="288"/>
        <v>0</v>
      </c>
      <c r="BW52" s="2">
        <f t="shared" si="289"/>
        <v>3.9921062919386716E-3</v>
      </c>
      <c r="BY52" s="2">
        <f t="shared" si="14"/>
        <v>0.68616879982690615</v>
      </c>
      <c r="BZ52" s="2">
        <f t="shared" si="14"/>
        <v>1.1970199712014024E-4</v>
      </c>
      <c r="CA52" s="2">
        <f t="shared" si="15"/>
        <v>2.1613523769308741E-4</v>
      </c>
      <c r="CB52" s="2">
        <f t="shared" si="15"/>
        <v>2.9923178752174504E-4</v>
      </c>
      <c r="CC52" s="2">
        <f t="shared" si="16"/>
        <v>0.14287511831189803</v>
      </c>
      <c r="CD52" s="2">
        <f t="shared" si="16"/>
        <v>1.6470942650627749E-3</v>
      </c>
      <c r="CE52" s="2">
        <f t="shared" si="16"/>
        <v>1.2261800317586342</v>
      </c>
      <c r="CF52" s="2">
        <f t="shared" si="16"/>
        <v>6.7754573192168157E-4</v>
      </c>
      <c r="CG52" s="2">
        <f t="shared" si="17"/>
        <v>0</v>
      </c>
      <c r="CH52" s="2">
        <f t="shared" si="17"/>
        <v>0</v>
      </c>
      <c r="CI52" s="2">
        <f>BW52</f>
        <v>3.9921062919386716E-3</v>
      </c>
      <c r="CK52" s="2">
        <f t="shared" si="18"/>
        <v>1.3723375996538123</v>
      </c>
      <c r="CL52" s="2">
        <f t="shared" si="18"/>
        <v>2.3940399424028048E-4</v>
      </c>
      <c r="CM52" s="2">
        <f t="shared" si="19"/>
        <v>3.242028565396311E-4</v>
      </c>
      <c r="CN52" s="2">
        <f t="shared" si="19"/>
        <v>4.4884768128261755E-4</v>
      </c>
      <c r="CO52" s="2">
        <f t="shared" si="20"/>
        <v>0.14287511831189803</v>
      </c>
      <c r="CP52" s="2">
        <f t="shared" si="20"/>
        <v>1.6470942650627749E-3</v>
      </c>
      <c r="CQ52" s="2">
        <f t="shared" si="20"/>
        <v>1.2261800317586342</v>
      </c>
      <c r="CR52" s="2">
        <f t="shared" si="20"/>
        <v>6.7754573192168157E-4</v>
      </c>
      <c r="CS52" s="2">
        <f t="shared" si="20"/>
        <v>0</v>
      </c>
      <c r="CT52" s="2">
        <f t="shared" si="20"/>
        <v>0</v>
      </c>
      <c r="CU52" s="2">
        <f t="shared" si="20"/>
        <v>3.9921062919386716E-3</v>
      </c>
      <c r="CW52" s="14">
        <f>SUM(CK52:CU52)</f>
        <v>2.7487219505453298</v>
      </c>
      <c r="CY52" s="14">
        <f>4/CW52</f>
        <v>1.4552217619561063</v>
      </c>
      <c r="DA52" s="16">
        <f t="shared" si="243"/>
        <v>0.99852776988341718</v>
      </c>
      <c r="DB52" s="16">
        <f t="shared" si="244"/>
        <v>1.7419295115883525E-4</v>
      </c>
      <c r="DC52" s="16">
        <f t="shared" si="245"/>
        <v>3.1452470141653651E-4</v>
      </c>
      <c r="DD52" s="16">
        <f t="shared" si="246"/>
        <v>4.3544860907066902E-4</v>
      </c>
      <c r="DE52" s="16">
        <f t="shared" si="247"/>
        <v>0.20791498140952741</v>
      </c>
      <c r="DF52" s="16">
        <f t="shared" si="248"/>
        <v>2.3968874185124494E-3</v>
      </c>
      <c r="DG52" s="16">
        <f t="shared" si="249"/>
        <v>1.784363866291194</v>
      </c>
      <c r="DH52" s="16">
        <f t="shared" si="250"/>
        <v>9.8597929381290901E-4</v>
      </c>
      <c r="DI52" s="16">
        <f t="shared" si="251"/>
        <v>0</v>
      </c>
      <c r="DJ52" s="16">
        <f t="shared" si="252"/>
        <v>0</v>
      </c>
      <c r="DK52" s="16">
        <f t="shared" si="253"/>
        <v>5.809399952071052E-3</v>
      </c>
      <c r="DL52" s="16">
        <f t="shared" si="290"/>
        <v>0.89563961809388226</v>
      </c>
      <c r="DN52" s="2">
        <f t="shared" si="291"/>
        <v>0.8649125376562421</v>
      </c>
      <c r="DO52" s="2">
        <f t="shared" si="292"/>
        <v>6.0890252300757524E-3</v>
      </c>
      <c r="DP52" s="2">
        <f t="shared" si="293"/>
        <v>6.9585863357898667E-2</v>
      </c>
      <c r="DQ52" s="2">
        <f t="shared" si="294"/>
        <v>5.8716014032576015E-3</v>
      </c>
      <c r="DR52" s="2">
        <f t="shared" si="295"/>
        <v>3.9486943934079394E-2</v>
      </c>
      <c r="DS52" s="2">
        <f t="shared" si="296"/>
        <v>1.4283087207819273E-3</v>
      </c>
      <c r="DT52" s="2">
        <f t="shared" si="297"/>
        <v>0.3675694720127034</v>
      </c>
      <c r="DU52" s="2">
        <f t="shared" si="298"/>
        <v>0.34737022308611376</v>
      </c>
      <c r="DV52" s="2">
        <f t="shared" si="299"/>
        <v>3.1159818299529778E-2</v>
      </c>
      <c r="DW52" s="2">
        <f t="shared" si="300"/>
        <v>0</v>
      </c>
      <c r="DX52" s="2">
        <f t="shared" si="301"/>
        <v>5.8961822086316693E-4</v>
      </c>
      <c r="DZ52" s="2">
        <f t="shared" si="49"/>
        <v>1.7298250753124842</v>
      </c>
      <c r="EA52" s="2">
        <f t="shared" si="49"/>
        <v>1.2178050460151505E-2</v>
      </c>
      <c r="EB52" s="2">
        <f t="shared" si="34"/>
        <v>0.20875759007369599</v>
      </c>
      <c r="EC52" s="2">
        <f t="shared" si="34"/>
        <v>1.7614804209772805E-2</v>
      </c>
      <c r="ED52" s="2">
        <f t="shared" si="35"/>
        <v>3.9486943934079394E-2</v>
      </c>
      <c r="EE52" s="2">
        <f t="shared" si="35"/>
        <v>1.4283087207819273E-3</v>
      </c>
      <c r="EF52" s="2">
        <f t="shared" si="35"/>
        <v>0.3675694720127034</v>
      </c>
      <c r="EG52" s="2">
        <f t="shared" si="35"/>
        <v>0.34737022308611376</v>
      </c>
      <c r="EH52" s="2">
        <f t="shared" si="35"/>
        <v>3.1159818299529778E-2</v>
      </c>
      <c r="EI52" s="2">
        <f t="shared" si="35"/>
        <v>0</v>
      </c>
      <c r="EJ52" s="2">
        <f t="shared" si="35"/>
        <v>5.8961822086316693E-4</v>
      </c>
      <c r="EL52" s="16">
        <f>SUM(DZ52:EJ52)</f>
        <v>2.755979904330176</v>
      </c>
      <c r="EN52" s="14">
        <f>6/EL52</f>
        <v>2.1770840892463847</v>
      </c>
      <c r="EP52" s="16">
        <f t="shared" si="267"/>
        <v>1.8829873243211193</v>
      </c>
      <c r="EQ52" s="16">
        <f t="shared" si="268"/>
        <v>1.3256319947417728E-2</v>
      </c>
      <c r="ER52" s="16">
        <f t="shared" si="269"/>
        <v>0.3029885519059084</v>
      </c>
      <c r="ES52" s="16">
        <f t="shared" si="270"/>
        <v>2.5565939986857741E-2</v>
      </c>
      <c r="ET52" s="16">
        <f t="shared" si="271"/>
        <v>8.5966397371848288E-2</v>
      </c>
      <c r="EU52" s="16">
        <f t="shared" si="272"/>
        <v>3.109548190546191E-3</v>
      </c>
      <c r="EV52" s="16">
        <f t="shared" si="273"/>
        <v>0.80022964921155093</v>
      </c>
      <c r="EW52" s="16">
        <f t="shared" si="274"/>
        <v>0.75625418575874548</v>
      </c>
      <c r="EX52" s="16">
        <f t="shared" si="275"/>
        <v>0.13567508928742925</v>
      </c>
      <c r="EY52" s="16">
        <f t="shared" si="276"/>
        <v>0</v>
      </c>
      <c r="EZ52" s="16">
        <f t="shared" si="277"/>
        <v>1.2836484473709615E-3</v>
      </c>
      <c r="FB52" s="14">
        <f t="shared" si="302"/>
        <v>-6.642497469007087</v>
      </c>
      <c r="FC52" s="4">
        <f t="shared" si="303"/>
        <v>0.54799142430154624</v>
      </c>
      <c r="FD52" s="4">
        <f t="shared" si="304"/>
        <v>1.5815195365249008</v>
      </c>
      <c r="FE52" s="4">
        <f t="shared" si="305"/>
        <v>1.5815195365249008</v>
      </c>
      <c r="FG52" s="4">
        <f t="shared" si="306"/>
        <v>1.5895612212002632</v>
      </c>
    </row>
    <row r="53" spans="1:163" x14ac:dyDescent="0.2">
      <c r="A53" s="24" t="s">
        <v>170</v>
      </c>
      <c r="B53" s="60" t="s">
        <v>181</v>
      </c>
      <c r="C53" s="138">
        <v>41.570779999999999</v>
      </c>
      <c r="D53" s="98">
        <v>4.3200000000000001E-3</v>
      </c>
      <c r="E53" s="148">
        <f t="shared" si="45"/>
        <v>1.3395476507374682E-2</v>
      </c>
      <c r="F53" s="138">
        <v>2.3219999999999998E-2</v>
      </c>
      <c r="G53" s="138">
        <v>9.1105799999999988</v>
      </c>
      <c r="H53" s="138">
        <v>0.13709999999999997</v>
      </c>
      <c r="I53" s="138">
        <v>50.143419999999999</v>
      </c>
      <c r="J53" s="150">
        <f t="shared" si="46"/>
        <v>4.1178497930654964E-2</v>
      </c>
      <c r="K53" s="98"/>
      <c r="L53" s="98"/>
      <c r="M53" s="138">
        <v>0.32921999999999996</v>
      </c>
      <c r="N53" s="141">
        <v>70.896370125908078</v>
      </c>
      <c r="O53" s="142">
        <v>294.30102182085164</v>
      </c>
      <c r="P53" s="11"/>
      <c r="Q53" s="140">
        <v>52.298360000000002</v>
      </c>
      <c r="R53" s="140">
        <v>0.41493999999999998</v>
      </c>
      <c r="S53" s="140">
        <v>5.3708200000000001</v>
      </c>
      <c r="T53" s="140">
        <v>1.4206400000000001</v>
      </c>
      <c r="U53" s="140">
        <v>2.5951200000000001</v>
      </c>
      <c r="V53" s="140">
        <v>9.35E-2</v>
      </c>
      <c r="W53" s="140">
        <v>15.514939999999999</v>
      </c>
      <c r="X53" s="140">
        <v>19.983000000000001</v>
      </c>
      <c r="Y53" s="140">
        <v>1.6542000000000001</v>
      </c>
      <c r="Z53" s="100"/>
      <c r="AA53" s="140">
        <v>3.0640000000000001E-2</v>
      </c>
      <c r="AC53" s="139">
        <v>46.825139999999998</v>
      </c>
      <c r="AD53" s="139">
        <v>20.335000000000001</v>
      </c>
      <c r="AE53" s="11"/>
      <c r="AF53" s="83">
        <f t="shared" si="50"/>
        <v>0.22560356611030166</v>
      </c>
      <c r="AG53" s="22">
        <f t="shared" si="278"/>
        <v>2.8607445716926169E-4</v>
      </c>
      <c r="AH53" s="126">
        <f t="shared" si="47"/>
        <v>962.59170729644779</v>
      </c>
      <c r="AI53" s="126">
        <f t="shared" si="307"/>
        <v>962.93899278498952</v>
      </c>
      <c r="AJ53" s="126">
        <f t="shared" si="308"/>
        <v>-0.34728548854172914</v>
      </c>
      <c r="AK53" s="12"/>
      <c r="AL53" s="25">
        <f t="shared" si="48"/>
        <v>1.917838063941834</v>
      </c>
      <c r="AN53" s="2">
        <v>15.999000000000001</v>
      </c>
      <c r="AO53" s="2">
        <v>28.085000000000001</v>
      </c>
      <c r="AP53" s="2">
        <v>47.866999999999997</v>
      </c>
      <c r="AQ53" s="2">
        <v>26.9815386</v>
      </c>
      <c r="AR53" s="2">
        <v>51.996099999999998</v>
      </c>
      <c r="AS53" s="2">
        <v>55.844999999999999</v>
      </c>
      <c r="AT53" s="2">
        <v>54.938045000000002</v>
      </c>
      <c r="AU53" s="2">
        <v>24.305</v>
      </c>
      <c r="AV53" s="2">
        <v>40.078000000000003</v>
      </c>
      <c r="AW53" s="2">
        <v>22.989769280000001</v>
      </c>
      <c r="AX53" s="2">
        <v>39.098300000000002</v>
      </c>
      <c r="AY53" s="2">
        <v>58.693399999999997</v>
      </c>
      <c r="BA53" s="2">
        <f t="shared" ref="BA53" si="309">AN53*2+AO53</f>
        <v>60.082999999999998</v>
      </c>
      <c r="BB53" s="2">
        <f t="shared" ref="BB53" si="310">AN53*2+AP53</f>
        <v>79.864999999999995</v>
      </c>
      <c r="BC53" s="2">
        <f t="shared" ref="BC53" si="311">AQ53*2+AN53*3</f>
        <v>101.9600772</v>
      </c>
      <c r="BD53" s="2">
        <f t="shared" ref="BD53" si="312">AR53*2+AN53*3</f>
        <v>151.98919999999998</v>
      </c>
      <c r="BE53" s="2">
        <f t="shared" ref="BE53" si="313">AS53+AN53</f>
        <v>71.843999999999994</v>
      </c>
      <c r="BF53" s="2">
        <f t="shared" ref="BF53" si="314">AT53+AN53</f>
        <v>70.937044999999998</v>
      </c>
      <c r="BG53" s="2">
        <f t="shared" ref="BG53" si="315">AU53+AN53</f>
        <v>40.304000000000002</v>
      </c>
      <c r="BH53" s="2">
        <f t="shared" ref="BH53" si="316">AV53+AN53</f>
        <v>56.077000000000005</v>
      </c>
      <c r="BI53" s="2">
        <f t="shared" ref="BI53" si="317">AW53*2+AN53</f>
        <v>61.978538560000004</v>
      </c>
      <c r="BJ53" s="2">
        <f t="shared" ref="BJ53" si="318">AX53*2+AN53</f>
        <v>94.195599999999999</v>
      </c>
      <c r="BK53" s="2">
        <f t="shared" ref="BK53" si="319">AY53+AN53</f>
        <v>74.692399999999992</v>
      </c>
      <c r="BM53" s="2">
        <f t="shared" si="279"/>
        <v>0.69188921991245445</v>
      </c>
      <c r="BN53" s="2">
        <f t="shared" si="280"/>
        <v>5.4091279033368813E-5</v>
      </c>
      <c r="BO53" s="2">
        <f t="shared" si="281"/>
        <v>1.3137962303714969E-4</v>
      </c>
      <c r="BP53" s="2">
        <f t="shared" si="282"/>
        <v>1.5277401289038957E-4</v>
      </c>
      <c r="BQ53" s="2">
        <f t="shared" si="283"/>
        <v>0.12681058961082345</v>
      </c>
      <c r="BR53" s="2">
        <f t="shared" si="284"/>
        <v>1.9326996211922836E-3</v>
      </c>
      <c r="BS53" s="2">
        <f t="shared" si="285"/>
        <v>1.2441301111552203</v>
      </c>
      <c r="BT53" s="2">
        <f t="shared" si="286"/>
        <v>7.3432062932494535E-4</v>
      </c>
      <c r="BU53" s="2">
        <f t="shared" si="287"/>
        <v>0</v>
      </c>
      <c r="BV53" s="2">
        <f t="shared" si="288"/>
        <v>0</v>
      </c>
      <c r="BW53" s="2">
        <f t="shared" si="289"/>
        <v>4.4076773540547634E-3</v>
      </c>
      <c r="BY53" s="2">
        <f t="shared" si="14"/>
        <v>0.69188921991245445</v>
      </c>
      <c r="BZ53" s="2">
        <f t="shared" si="14"/>
        <v>5.4091279033368813E-5</v>
      </c>
      <c r="CA53" s="2">
        <f t="shared" si="15"/>
        <v>2.6275924607429939E-4</v>
      </c>
      <c r="CB53" s="2">
        <f t="shared" si="15"/>
        <v>3.0554802578077915E-4</v>
      </c>
      <c r="CC53" s="2">
        <f t="shared" si="16"/>
        <v>0.12681058961082345</v>
      </c>
      <c r="CD53" s="2">
        <f t="shared" si="16"/>
        <v>1.9326996211922836E-3</v>
      </c>
      <c r="CE53" s="2">
        <f t="shared" si="16"/>
        <v>1.2441301111552203</v>
      </c>
      <c r="CF53" s="2">
        <f t="shared" si="16"/>
        <v>7.3432062932494535E-4</v>
      </c>
      <c r="CG53" s="2">
        <f t="shared" si="17"/>
        <v>0</v>
      </c>
      <c r="CH53" s="2">
        <f t="shared" si="17"/>
        <v>0</v>
      </c>
      <c r="CI53" s="2">
        <f t="shared" ref="CI53" si="320">BW53</f>
        <v>4.4076773540547634E-3</v>
      </c>
      <c r="CK53" s="2">
        <f t="shared" si="18"/>
        <v>1.3837784398249089</v>
      </c>
      <c r="CL53" s="2">
        <f t="shared" si="18"/>
        <v>1.0818255806673763E-4</v>
      </c>
      <c r="CM53" s="2">
        <f t="shared" si="19"/>
        <v>3.9413886911144908E-4</v>
      </c>
      <c r="CN53" s="2">
        <f t="shared" si="19"/>
        <v>4.5832203867116875E-4</v>
      </c>
      <c r="CO53" s="2">
        <f t="shared" si="20"/>
        <v>0.12681058961082345</v>
      </c>
      <c r="CP53" s="2">
        <f t="shared" si="20"/>
        <v>1.9326996211922836E-3</v>
      </c>
      <c r="CQ53" s="2">
        <f t="shared" si="20"/>
        <v>1.2441301111552203</v>
      </c>
      <c r="CR53" s="2">
        <f t="shared" si="20"/>
        <v>7.3432062932494535E-4</v>
      </c>
      <c r="CS53" s="2">
        <f t="shared" si="20"/>
        <v>0</v>
      </c>
      <c r="CT53" s="2">
        <f t="shared" si="20"/>
        <v>0</v>
      </c>
      <c r="CU53" s="2">
        <f t="shared" si="20"/>
        <v>4.4076773540547634E-3</v>
      </c>
      <c r="CW53" s="14">
        <f t="shared" ref="CW53" si="321">SUM(CK53:CU53)</f>
        <v>2.7627544816613741</v>
      </c>
      <c r="CY53" s="14">
        <f t="shared" ref="CY53" si="322">4/CW53</f>
        <v>1.4478304266814952</v>
      </c>
      <c r="DA53" s="16">
        <f t="shared" si="243"/>
        <v>1.0017382644821757</v>
      </c>
      <c r="DB53" s="16">
        <f t="shared" si="244"/>
        <v>7.8314999602630185E-5</v>
      </c>
      <c r="DC53" s="16">
        <f t="shared" si="245"/>
        <v>3.8043083135826089E-4</v>
      </c>
      <c r="DD53" s="16">
        <f t="shared" si="246"/>
        <v>4.4238172853787395E-4</v>
      </c>
      <c r="DE53" s="16">
        <f t="shared" si="247"/>
        <v>0.1836002300639705</v>
      </c>
      <c r="DF53" s="16">
        <f t="shared" si="248"/>
        <v>2.798221317197988E-3</v>
      </c>
      <c r="DG53" s="16">
        <f t="shared" si="249"/>
        <v>1.8012894296811588</v>
      </c>
      <c r="DH53" s="16">
        <f t="shared" si="250"/>
        <v>1.0631717500765598E-3</v>
      </c>
      <c r="DI53" s="16">
        <f t="shared" si="251"/>
        <v>0</v>
      </c>
      <c r="DJ53" s="16">
        <f t="shared" si="252"/>
        <v>0</v>
      </c>
      <c r="DK53" s="16">
        <f t="shared" si="253"/>
        <v>6.3815693841954716E-3</v>
      </c>
      <c r="DL53" s="16">
        <f t="shared" si="290"/>
        <v>0.90750103958547212</v>
      </c>
      <c r="DN53" s="2">
        <f t="shared" si="291"/>
        <v>0.87043523126341904</v>
      </c>
      <c r="DO53" s="2">
        <f t="shared" si="292"/>
        <v>5.1955174356726978E-3</v>
      </c>
      <c r="DP53" s="2">
        <f t="shared" si="293"/>
        <v>5.2675715314189658E-2</v>
      </c>
      <c r="DQ53" s="2">
        <f t="shared" si="294"/>
        <v>9.346979916994104E-3</v>
      </c>
      <c r="DR53" s="2">
        <f t="shared" si="295"/>
        <v>3.6121596793051616E-2</v>
      </c>
      <c r="DS53" s="2">
        <f t="shared" si="296"/>
        <v>1.3180701282383557E-3</v>
      </c>
      <c r="DT53" s="2">
        <f t="shared" si="297"/>
        <v>0.38494789599047236</v>
      </c>
      <c r="DU53" s="2">
        <f t="shared" si="298"/>
        <v>0.35634930541933413</v>
      </c>
      <c r="DV53" s="2">
        <f t="shared" si="299"/>
        <v>2.6689883924878401E-2</v>
      </c>
      <c r="DW53" s="2">
        <f t="shared" si="300"/>
        <v>0</v>
      </c>
      <c r="DX53" s="2">
        <f t="shared" si="301"/>
        <v>4.1021576492387453E-4</v>
      </c>
      <c r="DZ53" s="2">
        <f t="shared" si="49"/>
        <v>1.7408704625268381</v>
      </c>
      <c r="EA53" s="2">
        <f t="shared" si="49"/>
        <v>1.0391034871345396E-2</v>
      </c>
      <c r="EB53" s="2">
        <f t="shared" si="34"/>
        <v>0.15802714594256898</v>
      </c>
      <c r="EC53" s="2">
        <f t="shared" si="34"/>
        <v>2.8040939750982312E-2</v>
      </c>
      <c r="ED53" s="2">
        <f t="shared" si="35"/>
        <v>3.6121596793051616E-2</v>
      </c>
      <c r="EE53" s="2">
        <f t="shared" si="35"/>
        <v>1.3180701282383557E-3</v>
      </c>
      <c r="EF53" s="2">
        <f t="shared" si="35"/>
        <v>0.38494789599047236</v>
      </c>
      <c r="EG53" s="2">
        <f t="shared" si="35"/>
        <v>0.35634930541933413</v>
      </c>
      <c r="EH53" s="2">
        <f t="shared" si="35"/>
        <v>2.6689883924878401E-2</v>
      </c>
      <c r="EI53" s="2">
        <f t="shared" si="35"/>
        <v>0</v>
      </c>
      <c r="EJ53" s="2">
        <f t="shared" si="35"/>
        <v>4.1021576492387453E-4</v>
      </c>
      <c r="EL53" s="16">
        <f t="shared" ref="EL53" si="323">SUM(DZ53:EJ53)</f>
        <v>2.7431665511126333</v>
      </c>
      <c r="EN53" s="14">
        <f t="shared" ref="EN53" si="324">6/EL53</f>
        <v>2.1872532666915134</v>
      </c>
      <c r="EP53" s="16">
        <f t="shared" si="267"/>
        <v>1.9038623030242963</v>
      </c>
      <c r="EQ53" s="16">
        <f t="shared" si="268"/>
        <v>1.1363912483327823E-2</v>
      </c>
      <c r="ER53" s="16">
        <f t="shared" si="269"/>
        <v>0.23043026079254703</v>
      </c>
      <c r="ES53" s="16">
        <f t="shared" si="270"/>
        <v>4.0888424714290647E-2</v>
      </c>
      <c r="ET53" s="16">
        <f t="shared" si="271"/>
        <v>7.9007080583715847E-2</v>
      </c>
      <c r="EU53" s="16">
        <f t="shared" si="272"/>
        <v>2.8829531937178453E-3</v>
      </c>
      <c r="EV53" s="16">
        <f t="shared" si="273"/>
        <v>0.84197854301118558</v>
      </c>
      <c r="EW53" s="16">
        <f t="shared" si="274"/>
        <v>0.77942618236169037</v>
      </c>
      <c r="EX53" s="16">
        <f t="shared" si="275"/>
        <v>0.11675507160461519</v>
      </c>
      <c r="EY53" s="16">
        <f t="shared" si="276"/>
        <v>0</v>
      </c>
      <c r="EZ53" s="16">
        <f t="shared" si="277"/>
        <v>8.9724577187810252E-4</v>
      </c>
      <c r="FB53" s="14">
        <f t="shared" si="302"/>
        <v>-6.597301327905468</v>
      </c>
      <c r="FC53" s="4">
        <f t="shared" si="303"/>
        <v>1.1210976417010958</v>
      </c>
      <c r="FD53" s="4">
        <f t="shared" si="304"/>
        <v>1.917838063941834</v>
      </c>
      <c r="FE53" s="4">
        <f t="shared" si="305"/>
        <v>1.917838063941834</v>
      </c>
      <c r="FG53" s="4">
        <f t="shared" si="306"/>
        <v>1.9909551644735526</v>
      </c>
    </row>
    <row r="54" spans="1:163" x14ac:dyDescent="0.2">
      <c r="A54" s="24" t="s">
        <v>171</v>
      </c>
      <c r="B54" s="60" t="s">
        <v>181</v>
      </c>
      <c r="C54" s="138">
        <v>40.85</v>
      </c>
      <c r="D54" s="98"/>
      <c r="E54" s="148">
        <f t="shared" si="45"/>
        <v>1.2898147544692665E-2</v>
      </c>
      <c r="F54" s="138">
        <v>0</v>
      </c>
      <c r="G54" s="138">
        <v>10.127500000000001</v>
      </c>
      <c r="H54" s="138">
        <v>0.14750000000000002</v>
      </c>
      <c r="I54" s="138">
        <v>49.42</v>
      </c>
      <c r="J54" s="150">
        <f t="shared" si="46"/>
        <v>3.7243944995933261E-2</v>
      </c>
      <c r="K54" s="98"/>
      <c r="L54" s="98"/>
      <c r="M54" s="138">
        <v>0.39999999999999997</v>
      </c>
      <c r="N54" s="141">
        <v>68.264226491956194</v>
      </c>
      <c r="O54" s="142">
        <v>266.18093470531829</v>
      </c>
      <c r="P54" s="11"/>
      <c r="Q54" s="140">
        <v>51.653333333333336</v>
      </c>
      <c r="R54" s="140">
        <v>0.45833333333333331</v>
      </c>
      <c r="S54" s="140">
        <v>7.3316666666666661</v>
      </c>
      <c r="T54" s="140">
        <v>0.94</v>
      </c>
      <c r="U54" s="140">
        <v>2.7749999999999999</v>
      </c>
      <c r="V54" s="140">
        <v>0.10333333333333333</v>
      </c>
      <c r="W54" s="140">
        <v>14.813333333333334</v>
      </c>
      <c r="X54" s="140">
        <v>19.215</v>
      </c>
      <c r="Y54" s="140">
        <v>1.8666666666666669</v>
      </c>
      <c r="Z54" s="100"/>
      <c r="AA54" s="140">
        <v>3.0000000000000002E-2</v>
      </c>
      <c r="AC54" s="139">
        <v>35.921666666666667</v>
      </c>
      <c r="AD54" s="139">
        <v>33.648333333333333</v>
      </c>
      <c r="AE54" s="11"/>
      <c r="AF54" s="83">
        <f t="shared" si="50"/>
        <v>0.38589395486822531</v>
      </c>
      <c r="AG54" s="22">
        <f t="shared" si="278"/>
        <v>3.5906317110451441E-4</v>
      </c>
      <c r="AH54" s="126">
        <f t="shared" si="47"/>
        <v>972.15243197212817</v>
      </c>
      <c r="AI54" s="126">
        <f t="shared" si="307"/>
        <v>972.00202288734999</v>
      </c>
      <c r="AJ54" s="126">
        <f t="shared" si="308"/>
        <v>0.15040908477817538</v>
      </c>
      <c r="AK54" s="12"/>
      <c r="AL54" s="25">
        <f t="shared" si="48"/>
        <v>2.185426672755395</v>
      </c>
      <c r="AN54" s="2">
        <v>15.999000000000001</v>
      </c>
      <c r="AO54" s="2">
        <v>28.085000000000001</v>
      </c>
      <c r="AP54" s="2">
        <v>47.866999999999997</v>
      </c>
      <c r="AQ54" s="2">
        <v>26.9815386</v>
      </c>
      <c r="AR54" s="2">
        <v>51.996099999999998</v>
      </c>
      <c r="AS54" s="2">
        <v>55.844999999999999</v>
      </c>
      <c r="AT54" s="2">
        <v>54.938045000000002</v>
      </c>
      <c r="AU54" s="2">
        <v>24.305</v>
      </c>
      <c r="AV54" s="2">
        <v>40.078000000000003</v>
      </c>
      <c r="AW54" s="2">
        <v>22.989769280000001</v>
      </c>
      <c r="AX54" s="2">
        <v>39.098300000000002</v>
      </c>
      <c r="AY54" s="2">
        <v>58.693399999999997</v>
      </c>
      <c r="BA54" s="2">
        <f>AN54*2+AO54</f>
        <v>60.082999999999998</v>
      </c>
      <c r="BB54" s="2">
        <f>AN54*2+AP54</f>
        <v>79.864999999999995</v>
      </c>
      <c r="BC54" s="2">
        <f>AQ54*2+AN54*3</f>
        <v>101.9600772</v>
      </c>
      <c r="BD54" s="2">
        <f>AR54*2+AN54*3</f>
        <v>151.98919999999998</v>
      </c>
      <c r="BE54" s="2">
        <f>AS54+AN54</f>
        <v>71.843999999999994</v>
      </c>
      <c r="BF54" s="2">
        <f>AT54+AN54</f>
        <v>70.937044999999998</v>
      </c>
      <c r="BG54" s="2">
        <f>AU54+AN54</f>
        <v>40.304000000000002</v>
      </c>
      <c r="BH54" s="2">
        <f>AV54+AN54</f>
        <v>56.077000000000005</v>
      </c>
      <c r="BI54" s="2">
        <f>AW54*2+AN54</f>
        <v>61.978538560000004</v>
      </c>
      <c r="BJ54" s="2">
        <f>AX54*2+AN54</f>
        <v>94.195599999999999</v>
      </c>
      <c r="BK54" s="2">
        <f>AY54+AN54</f>
        <v>74.692399999999992</v>
      </c>
      <c r="BM54" s="2">
        <f t="shared" si="279"/>
        <v>0.67989281493933396</v>
      </c>
      <c r="BN54" s="2">
        <f t="shared" si="280"/>
        <v>0</v>
      </c>
      <c r="BO54" s="2">
        <f t="shared" si="281"/>
        <v>1.2650193976797679E-4</v>
      </c>
      <c r="BP54" s="2">
        <f t="shared" si="282"/>
        <v>0</v>
      </c>
      <c r="BQ54" s="2">
        <f t="shared" si="283"/>
        <v>0.14096514670675356</v>
      </c>
      <c r="BR54" s="2">
        <f t="shared" si="284"/>
        <v>2.079308491071203E-3</v>
      </c>
      <c r="BS54" s="2">
        <f t="shared" si="285"/>
        <v>1.2261810242159588</v>
      </c>
      <c r="BT54" s="2">
        <f t="shared" si="286"/>
        <v>6.641572301644749E-4</v>
      </c>
      <c r="BU54" s="2">
        <f t="shared" si="287"/>
        <v>0</v>
      </c>
      <c r="BV54" s="2">
        <f t="shared" si="288"/>
        <v>0</v>
      </c>
      <c r="BW54" s="2">
        <f t="shared" si="289"/>
        <v>5.3552971922176821E-3</v>
      </c>
      <c r="BY54" s="2">
        <f t="shared" si="14"/>
        <v>0.67989281493933396</v>
      </c>
      <c r="BZ54" s="2">
        <f t="shared" si="14"/>
        <v>0</v>
      </c>
      <c r="CA54" s="2">
        <f t="shared" si="15"/>
        <v>2.5300387953595358E-4</v>
      </c>
      <c r="CB54" s="2">
        <f t="shared" si="15"/>
        <v>0</v>
      </c>
      <c r="CC54" s="2">
        <f t="shared" si="16"/>
        <v>0.14096514670675356</v>
      </c>
      <c r="CD54" s="2">
        <f t="shared" si="16"/>
        <v>2.079308491071203E-3</v>
      </c>
      <c r="CE54" s="2">
        <f t="shared" si="16"/>
        <v>1.2261810242159588</v>
      </c>
      <c r="CF54" s="2">
        <f t="shared" si="16"/>
        <v>6.641572301644749E-4</v>
      </c>
      <c r="CG54" s="2">
        <f t="shared" si="17"/>
        <v>0</v>
      </c>
      <c r="CH54" s="2">
        <f t="shared" si="17"/>
        <v>0</v>
      </c>
      <c r="CI54" s="2">
        <f>BW54</f>
        <v>5.3552971922176821E-3</v>
      </c>
      <c r="CK54" s="2">
        <f t="shared" si="18"/>
        <v>1.3597856298786679</v>
      </c>
      <c r="CL54" s="2">
        <f t="shared" si="18"/>
        <v>0</v>
      </c>
      <c r="CM54" s="2">
        <f t="shared" si="19"/>
        <v>3.795058193039304E-4</v>
      </c>
      <c r="CN54" s="2">
        <f t="shared" si="19"/>
        <v>0</v>
      </c>
      <c r="CO54" s="2">
        <f t="shared" si="20"/>
        <v>0.14096514670675356</v>
      </c>
      <c r="CP54" s="2">
        <f t="shared" si="20"/>
        <v>2.079308491071203E-3</v>
      </c>
      <c r="CQ54" s="2">
        <f t="shared" si="20"/>
        <v>1.2261810242159588</v>
      </c>
      <c r="CR54" s="2">
        <f t="shared" si="20"/>
        <v>6.641572301644749E-4</v>
      </c>
      <c r="CS54" s="2">
        <f t="shared" si="20"/>
        <v>0</v>
      </c>
      <c r="CT54" s="2">
        <f t="shared" si="20"/>
        <v>0</v>
      </c>
      <c r="CU54" s="2">
        <f t="shared" si="20"/>
        <v>5.3552971922176821E-3</v>
      </c>
      <c r="CW54" s="14">
        <f>SUM(CK54:CU54)</f>
        <v>2.7354100695341379</v>
      </c>
      <c r="CY54" s="14">
        <f>4/CW54</f>
        <v>1.46230360286757</v>
      </c>
      <c r="DA54" s="16">
        <f t="shared" si="243"/>
        <v>0.99420971284956206</v>
      </c>
      <c r="DB54" s="16">
        <f t="shared" si="244"/>
        <v>0</v>
      </c>
      <c r="DC54" s="16">
        <f t="shared" si="245"/>
        <v>3.6996848458489758E-4</v>
      </c>
      <c r="DD54" s="16">
        <f t="shared" si="246"/>
        <v>0</v>
      </c>
      <c r="DE54" s="16">
        <f t="shared" si="247"/>
        <v>0.20613384190804129</v>
      </c>
      <c r="DF54" s="16">
        <f t="shared" si="248"/>
        <v>3.0405802979665505E-3</v>
      </c>
      <c r="DG54" s="16">
        <f t="shared" si="249"/>
        <v>1.7930489294788436</v>
      </c>
      <c r="DH54" s="16">
        <f t="shared" si="250"/>
        <v>9.7119951054005756E-4</v>
      </c>
      <c r="DI54" s="16">
        <f t="shared" si="251"/>
        <v>0</v>
      </c>
      <c r="DJ54" s="16">
        <f t="shared" si="252"/>
        <v>0</v>
      </c>
      <c r="DK54" s="16">
        <f t="shared" si="253"/>
        <v>7.8310703786064976E-3</v>
      </c>
      <c r="DL54" s="16">
        <f t="shared" si="290"/>
        <v>0.89689094721187457</v>
      </c>
      <c r="DN54" s="2">
        <f t="shared" si="291"/>
        <v>0.85969963772337166</v>
      </c>
      <c r="DO54" s="2">
        <f t="shared" si="292"/>
        <v>5.7388509776915208E-3</v>
      </c>
      <c r="DP54" s="2">
        <f t="shared" si="293"/>
        <v>7.1907229456929692E-2</v>
      </c>
      <c r="DQ54" s="2">
        <f t="shared" si="294"/>
        <v>6.1846499619709824E-3</v>
      </c>
      <c r="DR54" s="2">
        <f t="shared" si="295"/>
        <v>3.8625354935694009E-2</v>
      </c>
      <c r="DS54" s="2">
        <f t="shared" si="296"/>
        <v>1.456690694309769E-3</v>
      </c>
      <c r="DT54" s="2">
        <f t="shared" si="297"/>
        <v>0.3675400291120815</v>
      </c>
      <c r="DU54" s="2">
        <f t="shared" si="298"/>
        <v>0.34265385095493694</v>
      </c>
      <c r="DV54" s="2">
        <f t="shared" si="299"/>
        <v>3.0117952278910055E-2</v>
      </c>
      <c r="DW54" s="2">
        <f t="shared" si="300"/>
        <v>0</v>
      </c>
      <c r="DX54" s="2">
        <f t="shared" si="301"/>
        <v>4.0164728941632623E-4</v>
      </c>
      <c r="DZ54" s="2">
        <f t="shared" si="49"/>
        <v>1.7193992754467433</v>
      </c>
      <c r="EA54" s="2">
        <f t="shared" si="49"/>
        <v>1.1477701955383042E-2</v>
      </c>
      <c r="EB54" s="2">
        <f t="shared" si="34"/>
        <v>0.21572168837078909</v>
      </c>
      <c r="EC54" s="2">
        <f t="shared" si="34"/>
        <v>1.8553949885912947E-2</v>
      </c>
      <c r="ED54" s="2">
        <f t="shared" si="35"/>
        <v>3.8625354935694009E-2</v>
      </c>
      <c r="EE54" s="2">
        <f t="shared" si="35"/>
        <v>1.456690694309769E-3</v>
      </c>
      <c r="EF54" s="2">
        <f t="shared" si="35"/>
        <v>0.3675400291120815</v>
      </c>
      <c r="EG54" s="2">
        <f t="shared" si="35"/>
        <v>0.34265385095493694</v>
      </c>
      <c r="EH54" s="2">
        <f t="shared" si="35"/>
        <v>3.0117952278910055E-2</v>
      </c>
      <c r="EI54" s="2">
        <f t="shared" si="35"/>
        <v>0</v>
      </c>
      <c r="EJ54" s="2">
        <f t="shared" si="35"/>
        <v>4.0164728941632623E-4</v>
      </c>
      <c r="EL54" s="16">
        <f>SUM(DZ54:EJ54)</f>
        <v>2.7459481409241775</v>
      </c>
      <c r="EN54" s="14">
        <f>6/EL54</f>
        <v>2.1850376234638711</v>
      </c>
      <c r="EP54" s="16">
        <f t="shared" si="267"/>
        <v>1.8784760533038269</v>
      </c>
      <c r="EQ54" s="16">
        <f t="shared" si="268"/>
        <v>1.2539605301708393E-2</v>
      </c>
      <c r="ER54" s="16">
        <f t="shared" si="269"/>
        <v>0.31424000352488185</v>
      </c>
      <c r="ES54" s="16">
        <f t="shared" si="270"/>
        <v>2.7027385709721994E-2</v>
      </c>
      <c r="ET54" s="16">
        <f t="shared" si="271"/>
        <v>8.4397853754137345E-2</v>
      </c>
      <c r="EU54" s="16">
        <f t="shared" si="272"/>
        <v>3.1829239728165541E-3</v>
      </c>
      <c r="EV54" s="16">
        <f t="shared" si="273"/>
        <v>0.80308879173890457</v>
      </c>
      <c r="EW54" s="16">
        <f t="shared" si="274"/>
        <v>0.7487115561613189</v>
      </c>
      <c r="EX54" s="16">
        <f t="shared" si="275"/>
        <v>0.13161771774221581</v>
      </c>
      <c r="EY54" s="16">
        <f t="shared" si="276"/>
        <v>0</v>
      </c>
      <c r="EZ54" s="16">
        <f t="shared" si="277"/>
        <v>8.7761443873695505E-4</v>
      </c>
      <c r="FB54" s="14">
        <f t="shared" si="302"/>
        <v>-6.647577166737995</v>
      </c>
      <c r="FC54" s="4">
        <f t="shared" si="303"/>
        <v>1.4061337283017539</v>
      </c>
      <c r="FD54" s="4">
        <f t="shared" si="304"/>
        <v>2.185426672755395</v>
      </c>
      <c r="FE54" s="4">
        <f t="shared" si="305"/>
        <v>2.185426672755395</v>
      </c>
      <c r="FG54" s="4">
        <f t="shared" si="306"/>
        <v>2.5130260364088888</v>
      </c>
    </row>
    <row r="55" spans="1:163" x14ac:dyDescent="0.2">
      <c r="A55" s="24" t="s">
        <v>172</v>
      </c>
      <c r="B55" s="60" t="s">
        <v>181</v>
      </c>
      <c r="C55" s="138">
        <v>41.562599999999996</v>
      </c>
      <c r="D55" s="98">
        <v>7.8799999999999999E-3</v>
      </c>
      <c r="E55" s="148">
        <f t="shared" ref="E55:E56" si="325">N55/(26.9815*10000)*101.9601/2</f>
        <v>1.0322348588027786E-2</v>
      </c>
      <c r="F55" s="138">
        <v>1.9859999999999999E-2</v>
      </c>
      <c r="G55" s="138">
        <v>10.172319999999999</v>
      </c>
      <c r="H55" s="138">
        <v>0.13801999999999998</v>
      </c>
      <c r="I55" s="138">
        <v>49.427880000000002</v>
      </c>
      <c r="J55" s="150">
        <f t="shared" ref="J55:J56" si="326">O55/40.078*56.077/10000</f>
        <v>3.9303035303291746E-2</v>
      </c>
      <c r="K55" s="98"/>
      <c r="L55" s="98"/>
      <c r="M55" s="138">
        <v>0.31947999999999999</v>
      </c>
      <c r="N55" s="141">
        <v>54.631654623302985</v>
      </c>
      <c r="O55" s="142">
        <v>280.89716798069202</v>
      </c>
      <c r="P55" s="11"/>
      <c r="Q55" s="140">
        <v>51.752480000000006</v>
      </c>
      <c r="R55" s="140">
        <v>0.45629999999999998</v>
      </c>
      <c r="S55" s="140">
        <v>7.0147400000000006</v>
      </c>
      <c r="T55" s="140">
        <v>0.94274000000000002</v>
      </c>
      <c r="U55" s="140">
        <v>2.7913799999999998</v>
      </c>
      <c r="V55" s="140">
        <v>8.4040000000000004E-2</v>
      </c>
      <c r="W55" s="140">
        <v>14.851099999999999</v>
      </c>
      <c r="X55" s="140">
        <v>19.687840000000001</v>
      </c>
      <c r="Y55" s="140">
        <v>1.8767400000000003</v>
      </c>
      <c r="Z55" s="100"/>
      <c r="AA55" s="140">
        <v>3.4600000000000006E-2</v>
      </c>
      <c r="AC55" s="139">
        <v>56.566400000000002</v>
      </c>
      <c r="AD55" s="139">
        <v>10.975479999999999</v>
      </c>
      <c r="AE55" s="11"/>
      <c r="AF55" s="83">
        <f t="shared" ref="AF55:AF56" si="327">AD55/151.9892/(AD55/151.9892+AC55/101.9601)</f>
        <v>0.11517069881955197</v>
      </c>
      <c r="AG55" s="22">
        <f t="shared" si="278"/>
        <v>1.8248197848948821E-4</v>
      </c>
      <c r="AH55" s="126">
        <f t="shared" ref="AH55:AH56" si="328">10000/(0.575+0.884*AF55-0.897*LN(AG55))-273</f>
        <v>917.62394912206946</v>
      </c>
      <c r="AI55" s="126">
        <f t="shared" si="307"/>
        <v>917.47394741336893</v>
      </c>
      <c r="AJ55" s="126">
        <f t="shared" si="308"/>
        <v>0.15000170870052898</v>
      </c>
      <c r="AK55" s="12"/>
      <c r="AL55" s="25">
        <f t="shared" ref="AL55:AL56" si="329">FE55</f>
        <v>1.4310073701581794</v>
      </c>
      <c r="AN55" s="2">
        <v>15.999000000000001</v>
      </c>
      <c r="AO55" s="2">
        <v>28.085000000000001</v>
      </c>
      <c r="AP55" s="2">
        <v>47.866999999999997</v>
      </c>
      <c r="AQ55" s="2">
        <v>26.9815386</v>
      </c>
      <c r="AR55" s="2">
        <v>51.996099999999998</v>
      </c>
      <c r="AS55" s="2">
        <v>55.844999999999999</v>
      </c>
      <c r="AT55" s="2">
        <v>54.938045000000002</v>
      </c>
      <c r="AU55" s="2">
        <v>24.305</v>
      </c>
      <c r="AV55" s="2">
        <v>40.078000000000003</v>
      </c>
      <c r="AW55" s="2">
        <v>22.989769280000001</v>
      </c>
      <c r="AX55" s="2">
        <v>39.098300000000002</v>
      </c>
      <c r="AY55" s="2">
        <v>58.693399999999997</v>
      </c>
      <c r="BA55" s="2">
        <f>AN55*2+AO55</f>
        <v>60.082999999999998</v>
      </c>
      <c r="BB55" s="2">
        <f>AN55*2+AP55</f>
        <v>79.864999999999995</v>
      </c>
      <c r="BC55" s="2">
        <f>AQ55*2+AN55*3</f>
        <v>101.9600772</v>
      </c>
      <c r="BD55" s="2">
        <f>AR55*2+AN55*3</f>
        <v>151.98919999999998</v>
      </c>
      <c r="BE55" s="2">
        <f>AS55+AN55</f>
        <v>71.843999999999994</v>
      </c>
      <c r="BF55" s="2">
        <f>AT55+AN55</f>
        <v>70.937044999999998</v>
      </c>
      <c r="BG55" s="2">
        <f>AU55+AN55</f>
        <v>40.304000000000002</v>
      </c>
      <c r="BH55" s="2">
        <f>AV55+AN55</f>
        <v>56.077000000000005</v>
      </c>
      <c r="BI55" s="2">
        <f>AW55*2+AN55</f>
        <v>61.978538560000004</v>
      </c>
      <c r="BJ55" s="2">
        <f>AX55*2+AN55</f>
        <v>94.195599999999999</v>
      </c>
      <c r="BK55" s="2">
        <f>AY55+AN55</f>
        <v>74.692399999999992</v>
      </c>
      <c r="BM55" s="2">
        <f t="shared" si="279"/>
        <v>0.69175307491303695</v>
      </c>
      <c r="BN55" s="2">
        <f t="shared" si="280"/>
        <v>9.8666499718274593E-5</v>
      </c>
      <c r="BO55" s="2">
        <f t="shared" si="281"/>
        <v>1.0123912095299774E-4</v>
      </c>
      <c r="BP55" s="2">
        <f t="shared" si="282"/>
        <v>1.3066717898376992E-4</v>
      </c>
      <c r="BQ55" s="2">
        <f t="shared" si="283"/>
        <v>0.14158899838539057</v>
      </c>
      <c r="BR55" s="2">
        <f t="shared" si="284"/>
        <v>1.9456688673738804E-3</v>
      </c>
      <c r="BS55" s="2">
        <f t="shared" si="285"/>
        <v>1.2263765383088527</v>
      </c>
      <c r="BT55" s="2">
        <f t="shared" si="286"/>
        <v>7.008762113396177E-4</v>
      </c>
      <c r="BU55" s="2">
        <f t="shared" si="287"/>
        <v>0</v>
      </c>
      <c r="BV55" s="2">
        <f t="shared" si="288"/>
        <v>0</v>
      </c>
      <c r="BW55" s="2">
        <f t="shared" si="289"/>
        <v>4.2772758674242631E-3</v>
      </c>
      <c r="BY55" s="2">
        <f t="shared" ref="BY55:BY56" si="330">BM55</f>
        <v>0.69175307491303695</v>
      </c>
      <c r="BZ55" s="2">
        <f t="shared" ref="BZ55:BZ56" si="331">BN55</f>
        <v>9.8666499718274593E-5</v>
      </c>
      <c r="CA55" s="2">
        <f t="shared" ref="CA55:CA56" si="332">BO55*2</f>
        <v>2.0247824190599547E-4</v>
      </c>
      <c r="CB55" s="2">
        <f t="shared" ref="CB55:CB56" si="333">BP55*2</f>
        <v>2.6133435796753984E-4</v>
      </c>
      <c r="CC55" s="2">
        <f t="shared" ref="CC55:CC56" si="334">BQ55</f>
        <v>0.14158899838539057</v>
      </c>
      <c r="CD55" s="2">
        <f t="shared" ref="CD55:CD56" si="335">BR55</f>
        <v>1.9456688673738804E-3</v>
      </c>
      <c r="CE55" s="2">
        <f t="shared" ref="CE55:CE56" si="336">BS55</f>
        <v>1.2263765383088527</v>
      </c>
      <c r="CF55" s="2">
        <f t="shared" ref="CF55:CF56" si="337">BT55</f>
        <v>7.008762113396177E-4</v>
      </c>
      <c r="CG55" s="2">
        <f t="shared" ref="CG55:CG56" si="338">BU55*2</f>
        <v>0</v>
      </c>
      <c r="CH55" s="2">
        <f t="shared" ref="CH55:CH56" si="339">BV55*2</f>
        <v>0</v>
      </c>
      <c r="CI55" s="2">
        <f>BW55</f>
        <v>4.2772758674242631E-3</v>
      </c>
      <c r="CK55" s="2">
        <f t="shared" ref="CK55:CK56" si="340">BM55*2</f>
        <v>1.3835061498260739</v>
      </c>
      <c r="CL55" s="2">
        <f t="shared" ref="CL55:CL56" si="341">BN55*2</f>
        <v>1.9733299943654919E-4</v>
      </c>
      <c r="CM55" s="2">
        <f t="shared" ref="CM55:CM56" si="342">BO55*3</f>
        <v>3.0371736285899318E-4</v>
      </c>
      <c r="CN55" s="2">
        <f t="shared" ref="CN55:CN56" si="343">BP55*3</f>
        <v>3.9200153695130975E-4</v>
      </c>
      <c r="CO55" s="2">
        <f t="shared" ref="CO55:CO56" si="344">BQ55</f>
        <v>0.14158899838539057</v>
      </c>
      <c r="CP55" s="2">
        <f t="shared" ref="CP55:CP56" si="345">BR55</f>
        <v>1.9456688673738804E-3</v>
      </c>
      <c r="CQ55" s="2">
        <f t="shared" ref="CQ55:CQ56" si="346">BS55</f>
        <v>1.2263765383088527</v>
      </c>
      <c r="CR55" s="2">
        <f t="shared" ref="CR55:CR56" si="347">BT55</f>
        <v>7.008762113396177E-4</v>
      </c>
      <c r="CS55" s="2">
        <f t="shared" ref="CS55:CS56" si="348">BU55</f>
        <v>0</v>
      </c>
      <c r="CT55" s="2">
        <f t="shared" ref="CT55:CT56" si="349">BV55</f>
        <v>0</v>
      </c>
      <c r="CU55" s="2">
        <f t="shared" ref="CU55:CU56" si="350">BW55</f>
        <v>4.2772758674242631E-3</v>
      </c>
      <c r="CW55" s="14">
        <f>SUM(CK55:CU55)</f>
        <v>2.7592885593657015</v>
      </c>
      <c r="CY55" s="14">
        <f>4/CW55</f>
        <v>1.4496490359527712</v>
      </c>
      <c r="DA55" s="16">
        <f t="shared" si="243"/>
        <v>1.0027991781650492</v>
      </c>
      <c r="DB55" s="16">
        <f t="shared" si="244"/>
        <v>1.4303179619743113E-4</v>
      </c>
      <c r="DC55" s="16">
        <f t="shared" si="245"/>
        <v>2.9352238818043831E-4</v>
      </c>
      <c r="DD55" s="16">
        <f t="shared" si="246"/>
        <v>3.7884310008898052E-4</v>
      </c>
      <c r="DE55" s="16">
        <f t="shared" si="247"/>
        <v>0.20525435501089992</v>
      </c>
      <c r="DF55" s="16">
        <f t="shared" si="248"/>
        <v>2.8205369978718661E-3</v>
      </c>
      <c r="DG55" s="16">
        <f t="shared" si="249"/>
        <v>1.7778155664745252</v>
      </c>
      <c r="DH55" s="16">
        <f t="shared" si="250"/>
        <v>1.0160245240907076E-3</v>
      </c>
      <c r="DI55" s="16">
        <f t="shared" si="251"/>
        <v>0</v>
      </c>
      <c r="DJ55" s="16">
        <f t="shared" si="252"/>
        <v>0</v>
      </c>
      <c r="DK55" s="16">
        <f t="shared" si="253"/>
        <v>6.2005488377156357E-3</v>
      </c>
      <c r="DL55" s="16">
        <f t="shared" si="290"/>
        <v>0.89649666268088346</v>
      </c>
      <c r="DN55" s="2">
        <f t="shared" si="291"/>
        <v>0.86134979944410239</v>
      </c>
      <c r="DO55" s="2">
        <f t="shared" si="292"/>
        <v>5.7133913478995806E-3</v>
      </c>
      <c r="DP55" s="2">
        <f t="shared" si="293"/>
        <v>6.8798888669338906E-2</v>
      </c>
      <c r="DQ55" s="2">
        <f t="shared" si="294"/>
        <v>6.2026775586686428E-3</v>
      </c>
      <c r="DR55" s="2">
        <f t="shared" si="295"/>
        <v>3.8853348922665773E-2</v>
      </c>
      <c r="DS55" s="2">
        <f t="shared" si="296"/>
        <v>1.1847124446754162E-3</v>
      </c>
      <c r="DT55" s="2">
        <f t="shared" si="297"/>
        <v>0.36847707423580783</v>
      </c>
      <c r="DU55" s="2">
        <f t="shared" si="298"/>
        <v>0.35108582841450148</v>
      </c>
      <c r="DV55" s="2">
        <f t="shared" si="299"/>
        <v>3.0280481657100889E-2</v>
      </c>
      <c r="DW55" s="2">
        <f t="shared" si="300"/>
        <v>0</v>
      </c>
      <c r="DX55" s="2">
        <f t="shared" si="301"/>
        <v>4.6323320712682965E-4</v>
      </c>
      <c r="DZ55" s="2">
        <f t="shared" ref="DZ55:DZ56" si="351">DN55*2</f>
        <v>1.7226995988882048</v>
      </c>
      <c r="EA55" s="2">
        <f t="shared" ref="EA55:EA56" si="352">DO55*2</f>
        <v>1.1426782695799161E-2</v>
      </c>
      <c r="EB55" s="2">
        <f t="shared" ref="EB55:EB56" si="353">DP55*3</f>
        <v>0.2063966660080167</v>
      </c>
      <c r="EC55" s="2">
        <f t="shared" ref="EC55:EC56" si="354">DQ55*3</f>
        <v>1.8608032676005928E-2</v>
      </c>
      <c r="ED55" s="2">
        <f t="shared" ref="ED55:ED56" si="355">DR55</f>
        <v>3.8853348922665773E-2</v>
      </c>
      <c r="EE55" s="2">
        <f t="shared" ref="EE55:EE56" si="356">DS55</f>
        <v>1.1847124446754162E-3</v>
      </c>
      <c r="EF55" s="2">
        <f t="shared" ref="EF55:EF56" si="357">DT55</f>
        <v>0.36847707423580783</v>
      </c>
      <c r="EG55" s="2">
        <f t="shared" ref="EG55:EG56" si="358">DU55</f>
        <v>0.35108582841450148</v>
      </c>
      <c r="EH55" s="2">
        <f t="shared" ref="EH55:EH56" si="359">DV55</f>
        <v>3.0280481657100889E-2</v>
      </c>
      <c r="EI55" s="2">
        <f t="shared" ref="EI55:EI56" si="360">DW55</f>
        <v>0</v>
      </c>
      <c r="EJ55" s="2">
        <f t="shared" ref="EJ55:EJ56" si="361">DX55</f>
        <v>4.6323320712682965E-4</v>
      </c>
      <c r="EL55" s="16">
        <f>SUM(DZ55:EJ55)</f>
        <v>2.7494757591499042</v>
      </c>
      <c r="EN55" s="14">
        <f>6/EL55</f>
        <v>2.1822341877475249</v>
      </c>
      <c r="EP55" s="16">
        <f t="shared" si="267"/>
        <v>1.8796669799563943</v>
      </c>
      <c r="EQ55" s="16">
        <f t="shared" si="268"/>
        <v>1.2467957927367377E-2</v>
      </c>
      <c r="ER55" s="16">
        <f t="shared" si="269"/>
        <v>0.30027057386653438</v>
      </c>
      <c r="ES55" s="16">
        <f t="shared" si="270"/>
        <v>2.7071390048202134E-2</v>
      </c>
      <c r="ET55" s="16">
        <f t="shared" si="271"/>
        <v>8.4787106327524717E-2</v>
      </c>
      <c r="EU55" s="16">
        <f t="shared" si="272"/>
        <v>2.5853199994206413E-3</v>
      </c>
      <c r="EV55" s="16">
        <f t="shared" si="273"/>
        <v>0.80410326879856253</v>
      </c>
      <c r="EW55" s="16">
        <f t="shared" si="274"/>
        <v>0.76615149759978651</v>
      </c>
      <c r="EX55" s="16">
        <f t="shared" si="275"/>
        <v>0.13215820458717478</v>
      </c>
      <c r="EY55" s="16">
        <f t="shared" si="276"/>
        <v>0</v>
      </c>
      <c r="EZ55" s="16">
        <f t="shared" si="277"/>
        <v>1.010883341492098E-3</v>
      </c>
      <c r="FB55" s="14">
        <f t="shared" si="302"/>
        <v>-6.6254824409810729</v>
      </c>
      <c r="FC55" s="4">
        <f t="shared" si="303"/>
        <v>0.3640756673496145</v>
      </c>
      <c r="FD55" s="4">
        <f t="shared" si="304"/>
        <v>1.4310073701581794</v>
      </c>
      <c r="FE55" s="4">
        <f t="shared" si="305"/>
        <v>1.4310073701581794</v>
      </c>
      <c r="FG55" s="4">
        <f t="shared" si="306"/>
        <v>1.3317559894856634</v>
      </c>
    </row>
    <row r="56" spans="1:163" x14ac:dyDescent="0.2">
      <c r="A56" s="24" t="s">
        <v>173</v>
      </c>
      <c r="B56" s="60" t="s">
        <v>181</v>
      </c>
      <c r="C56" s="138">
        <v>40.9925</v>
      </c>
      <c r="D56" s="98"/>
      <c r="E56" s="148">
        <f t="shared" si="325"/>
        <v>1.7708265313259974E-2</v>
      </c>
      <c r="F56" s="138">
        <v>0.02</v>
      </c>
      <c r="G56" s="138">
        <v>9.7324999999999999</v>
      </c>
      <c r="H56" s="138">
        <v>0.14000000000000001</v>
      </c>
      <c r="I56" s="138">
        <v>49.357500000000002</v>
      </c>
      <c r="J56" s="150">
        <f t="shared" si="326"/>
        <v>3.8990770248141793E-2</v>
      </c>
      <c r="K56" s="98"/>
      <c r="L56" s="98"/>
      <c r="M56" s="138">
        <v>0.38</v>
      </c>
      <c r="N56" s="141">
        <v>93.722065896311207</v>
      </c>
      <c r="O56" s="142">
        <v>278.66542254489843</v>
      </c>
      <c r="P56" s="11"/>
      <c r="Q56" s="140">
        <v>51.834000000000003</v>
      </c>
      <c r="R56" s="140">
        <v>0.48</v>
      </c>
      <c r="S56" s="140">
        <v>6.6079999999999997</v>
      </c>
      <c r="T56" s="140">
        <v>0.88200000000000001</v>
      </c>
      <c r="U56" s="140">
        <v>2.746</v>
      </c>
      <c r="V56" s="140">
        <v>8.7999999999999995E-2</v>
      </c>
      <c r="W56" s="140">
        <v>15.197999999999999</v>
      </c>
      <c r="X56" s="140">
        <v>19.582000000000001</v>
      </c>
      <c r="Y56" s="140">
        <v>1.6819999999999999</v>
      </c>
      <c r="Z56" s="100"/>
      <c r="AA56" s="140">
        <v>6.8000000000000005E-2</v>
      </c>
      <c r="AC56" s="139">
        <v>55.605999999999995</v>
      </c>
      <c r="AD56" s="139">
        <v>11.582000000000001</v>
      </c>
      <c r="AE56" s="11"/>
      <c r="AF56" s="83">
        <f t="shared" si="327"/>
        <v>0.1225966782493927</v>
      </c>
      <c r="AG56" s="22">
        <f t="shared" si="278"/>
        <v>3.1845961430888712E-4</v>
      </c>
      <c r="AH56" s="126">
        <f t="shared" si="328"/>
        <v>991.85687917824339</v>
      </c>
      <c r="AI56" s="126">
        <f t="shared" si="307"/>
        <v>991.70687680977176</v>
      </c>
      <c r="AJ56" s="126">
        <f t="shared" si="308"/>
        <v>0.15000236847163251</v>
      </c>
      <c r="AK56" s="12"/>
      <c r="AL56" s="25">
        <f t="shared" si="329"/>
        <v>2.356399161694239</v>
      </c>
      <c r="AN56" s="2">
        <v>15.999000000000001</v>
      </c>
      <c r="AO56" s="2">
        <v>28.085000000000001</v>
      </c>
      <c r="AP56" s="2">
        <v>47.866999999999997</v>
      </c>
      <c r="AQ56" s="2">
        <v>26.9815386</v>
      </c>
      <c r="AR56" s="2">
        <v>51.996099999999998</v>
      </c>
      <c r="AS56" s="2">
        <v>55.844999999999999</v>
      </c>
      <c r="AT56" s="2">
        <v>54.938045000000002</v>
      </c>
      <c r="AU56" s="2">
        <v>24.305</v>
      </c>
      <c r="AV56" s="2">
        <v>40.078000000000003</v>
      </c>
      <c r="AW56" s="2">
        <v>22.989769280000001</v>
      </c>
      <c r="AX56" s="2">
        <v>39.098300000000002</v>
      </c>
      <c r="AY56" s="2">
        <v>58.693399999999997</v>
      </c>
      <c r="BA56" s="2">
        <f>AN56*2+AO56</f>
        <v>60.082999999999998</v>
      </c>
      <c r="BB56" s="2">
        <f>AN56*2+AP56</f>
        <v>79.864999999999995</v>
      </c>
      <c r="BC56" s="2">
        <f>AQ56*2+AN56*3</f>
        <v>101.9600772</v>
      </c>
      <c r="BD56" s="2">
        <f>AR56*2+AN56*3</f>
        <v>151.98919999999998</v>
      </c>
      <c r="BE56" s="2">
        <f>AS56+AN56</f>
        <v>71.843999999999994</v>
      </c>
      <c r="BF56" s="2">
        <f>AT56+AN56</f>
        <v>70.937044999999998</v>
      </c>
      <c r="BG56" s="2">
        <f>AU56+AN56</f>
        <v>40.304000000000002</v>
      </c>
      <c r="BH56" s="2">
        <f>AV56+AN56</f>
        <v>56.077000000000005</v>
      </c>
      <c r="BI56" s="2">
        <f>AW56*2+AN56</f>
        <v>61.978538560000004</v>
      </c>
      <c r="BJ56" s="2">
        <f>AX56*2+AN56</f>
        <v>94.195599999999999</v>
      </c>
      <c r="BK56" s="2">
        <f>AY56+AN56</f>
        <v>74.692399999999992</v>
      </c>
      <c r="BM56" s="2">
        <f t="shared" si="279"/>
        <v>0.68226453406121534</v>
      </c>
      <c r="BN56" s="2">
        <f t="shared" si="280"/>
        <v>0</v>
      </c>
      <c r="BO56" s="2">
        <f t="shared" si="281"/>
        <v>1.7367842198201056E-4</v>
      </c>
      <c r="BP56" s="2">
        <f t="shared" si="282"/>
        <v>1.3158829706321241E-4</v>
      </c>
      <c r="BQ56" s="2">
        <f t="shared" si="283"/>
        <v>0.1354671232114025</v>
      </c>
      <c r="BR56" s="2">
        <f t="shared" si="284"/>
        <v>1.9735809406777518E-3</v>
      </c>
      <c r="BS56" s="2">
        <f t="shared" si="285"/>
        <v>1.2246303096466851</v>
      </c>
      <c r="BT56" s="2">
        <f t="shared" si="286"/>
        <v>6.9530770633489285E-4</v>
      </c>
      <c r="BU56" s="2">
        <f t="shared" si="287"/>
        <v>0</v>
      </c>
      <c r="BV56" s="2">
        <f t="shared" si="288"/>
        <v>0</v>
      </c>
      <c r="BW56" s="2">
        <f t="shared" si="289"/>
        <v>5.0875323326067985E-3</v>
      </c>
      <c r="BY56" s="2">
        <f t="shared" si="330"/>
        <v>0.68226453406121534</v>
      </c>
      <c r="BZ56" s="2">
        <f t="shared" si="331"/>
        <v>0</v>
      </c>
      <c r="CA56" s="2">
        <f t="shared" si="332"/>
        <v>3.4735684396402112E-4</v>
      </c>
      <c r="CB56" s="2">
        <f t="shared" si="333"/>
        <v>2.6317659412642482E-4</v>
      </c>
      <c r="CC56" s="2">
        <f t="shared" si="334"/>
        <v>0.1354671232114025</v>
      </c>
      <c r="CD56" s="2">
        <f t="shared" si="335"/>
        <v>1.9735809406777518E-3</v>
      </c>
      <c r="CE56" s="2">
        <f t="shared" si="336"/>
        <v>1.2246303096466851</v>
      </c>
      <c r="CF56" s="2">
        <f t="shared" si="337"/>
        <v>6.9530770633489285E-4</v>
      </c>
      <c r="CG56" s="2">
        <f t="shared" si="338"/>
        <v>0</v>
      </c>
      <c r="CH56" s="2">
        <f t="shared" si="339"/>
        <v>0</v>
      </c>
      <c r="CI56" s="2">
        <f>BW56</f>
        <v>5.0875323326067985E-3</v>
      </c>
      <c r="CK56" s="2">
        <f t="shared" si="340"/>
        <v>1.3645290681224307</v>
      </c>
      <c r="CL56" s="2">
        <f t="shared" si="341"/>
        <v>0</v>
      </c>
      <c r="CM56" s="2">
        <f t="shared" si="342"/>
        <v>5.2103526594603168E-4</v>
      </c>
      <c r="CN56" s="2">
        <f t="shared" si="343"/>
        <v>3.947648911896372E-4</v>
      </c>
      <c r="CO56" s="2">
        <f t="shared" si="344"/>
        <v>0.1354671232114025</v>
      </c>
      <c r="CP56" s="2">
        <f t="shared" si="345"/>
        <v>1.9735809406777518E-3</v>
      </c>
      <c r="CQ56" s="2">
        <f t="shared" si="346"/>
        <v>1.2246303096466851</v>
      </c>
      <c r="CR56" s="2">
        <f t="shared" si="347"/>
        <v>6.9530770633489285E-4</v>
      </c>
      <c r="CS56" s="2">
        <f t="shared" si="348"/>
        <v>0</v>
      </c>
      <c r="CT56" s="2">
        <f t="shared" si="349"/>
        <v>0</v>
      </c>
      <c r="CU56" s="2">
        <f t="shared" si="350"/>
        <v>5.0875323326067985E-3</v>
      </c>
      <c r="CW56" s="14">
        <f>SUM(CK56:CU56)</f>
        <v>2.7332987221172735</v>
      </c>
      <c r="CY56" s="14">
        <f>4/CW56</f>
        <v>1.4634331650737069</v>
      </c>
      <c r="DA56" s="16">
        <f t="shared" si="243"/>
        <v>0.99844854649874226</v>
      </c>
      <c r="DB56" s="16">
        <f t="shared" si="244"/>
        <v>0</v>
      </c>
      <c r="DC56" s="16">
        <f t="shared" si="245"/>
        <v>5.0833352557228114E-4</v>
      </c>
      <c r="DD56" s="16">
        <f t="shared" si="246"/>
        <v>3.8514135611575221E-4</v>
      </c>
      <c r="DE56" s="16">
        <f t="shared" si="247"/>
        <v>0.19824708088469259</v>
      </c>
      <c r="DF56" s="16">
        <f t="shared" si="248"/>
        <v>2.8882038025451859E-3</v>
      </c>
      <c r="DG56" s="16">
        <f t="shared" si="249"/>
        <v>1.7921646100914421</v>
      </c>
      <c r="DH56" s="16">
        <f t="shared" si="250"/>
        <v>1.0175363573818117E-3</v>
      </c>
      <c r="DI56" s="16">
        <f t="shared" si="251"/>
        <v>0</v>
      </c>
      <c r="DJ56" s="16">
        <f t="shared" si="252"/>
        <v>0</v>
      </c>
      <c r="DK56" s="16">
        <f t="shared" si="253"/>
        <v>7.4452635439215863E-3</v>
      </c>
      <c r="DL56" s="16">
        <f t="shared" si="290"/>
        <v>0.90039895676684434</v>
      </c>
      <c r="DN56" s="2">
        <f t="shared" si="291"/>
        <v>0.86270658921824817</v>
      </c>
      <c r="DO56" s="2">
        <f t="shared" si="292"/>
        <v>6.0101421148187565E-3</v>
      </c>
      <c r="DP56" s="2">
        <f t="shared" si="293"/>
        <v>6.4809680234333908E-2</v>
      </c>
      <c r="DQ56" s="2">
        <f t="shared" si="294"/>
        <v>5.803043900487667E-3</v>
      </c>
      <c r="DR56" s="2">
        <f t="shared" si="295"/>
        <v>3.8221702577807472E-2</v>
      </c>
      <c r="DS56" s="2">
        <f t="shared" si="296"/>
        <v>1.2405365912831581E-3</v>
      </c>
      <c r="DT56" s="2">
        <f t="shared" si="297"/>
        <v>0.37708416038110354</v>
      </c>
      <c r="DU56" s="2">
        <f t="shared" si="298"/>
        <v>0.34919842359612674</v>
      </c>
      <c r="DV56" s="2">
        <f t="shared" si="299"/>
        <v>2.7138426285603593E-2</v>
      </c>
      <c r="DW56" s="2">
        <f t="shared" si="300"/>
        <v>0</v>
      </c>
      <c r="DX56" s="2">
        <f t="shared" si="301"/>
        <v>9.1040052267700607E-4</v>
      </c>
      <c r="DZ56" s="2">
        <f t="shared" si="351"/>
        <v>1.7254131784364963</v>
      </c>
      <c r="EA56" s="2">
        <f t="shared" si="352"/>
        <v>1.2020284229637513E-2</v>
      </c>
      <c r="EB56" s="2">
        <f t="shared" si="353"/>
        <v>0.19442904070300171</v>
      </c>
      <c r="EC56" s="2">
        <f t="shared" si="354"/>
        <v>1.7409131701463E-2</v>
      </c>
      <c r="ED56" s="2">
        <f t="shared" si="355"/>
        <v>3.8221702577807472E-2</v>
      </c>
      <c r="EE56" s="2">
        <f t="shared" si="356"/>
        <v>1.2405365912831581E-3</v>
      </c>
      <c r="EF56" s="2">
        <f t="shared" si="357"/>
        <v>0.37708416038110354</v>
      </c>
      <c r="EG56" s="2">
        <f t="shared" si="358"/>
        <v>0.34919842359612674</v>
      </c>
      <c r="EH56" s="2">
        <f t="shared" si="359"/>
        <v>2.7138426285603593E-2</v>
      </c>
      <c r="EI56" s="2">
        <f t="shared" si="360"/>
        <v>0</v>
      </c>
      <c r="EJ56" s="2">
        <f t="shared" si="361"/>
        <v>9.1040052267700607E-4</v>
      </c>
      <c r="EL56" s="16">
        <f>SUM(DZ56:EJ56)</f>
        <v>2.7430652850252004</v>
      </c>
      <c r="EN56" s="14">
        <f>6/EL56</f>
        <v>2.1873340137964958</v>
      </c>
      <c r="EP56" s="16">
        <f t="shared" si="267"/>
        <v>1.8870274665234354</v>
      </c>
      <c r="EQ56" s="16">
        <f t="shared" si="268"/>
        <v>1.314618827549387E-2</v>
      </c>
      <c r="ER56" s="16">
        <f t="shared" si="269"/>
        <v>0.28352083599966599</v>
      </c>
      <c r="ES56" s="16">
        <f t="shared" si="270"/>
        <v>2.5386390614181922E-2</v>
      </c>
      <c r="ET56" s="16">
        <f t="shared" si="271"/>
        <v>8.3603630113651489E-2</v>
      </c>
      <c r="EU56" s="16">
        <f t="shared" si="272"/>
        <v>2.7134678814728129E-3</v>
      </c>
      <c r="EV56" s="16">
        <f t="shared" si="273"/>
        <v>0.8248090100654808</v>
      </c>
      <c r="EW56" s="16">
        <f t="shared" si="274"/>
        <v>0.76381358949592493</v>
      </c>
      <c r="EX56" s="16">
        <f t="shared" si="275"/>
        <v>0.11872160579081927</v>
      </c>
      <c r="EY56" s="16">
        <f t="shared" si="276"/>
        <v>0</v>
      </c>
      <c r="EZ56" s="16">
        <f t="shared" si="277"/>
        <v>1.9913500294295233E-3</v>
      </c>
      <c r="FB56" s="14">
        <f t="shared" si="302"/>
        <v>-6.6209393968222372</v>
      </c>
      <c r="FC56" s="4">
        <f t="shared" si="303"/>
        <v>1.7058257589436205</v>
      </c>
      <c r="FD56" s="4">
        <f t="shared" si="304"/>
        <v>2.356399161694239</v>
      </c>
      <c r="FE56" s="4">
        <f t="shared" si="305"/>
        <v>2.356399161694239</v>
      </c>
      <c r="FG56" s="4">
        <f t="shared" si="306"/>
        <v>2.7058259770949453</v>
      </c>
    </row>
    <row r="57" spans="1:163" x14ac:dyDescent="0.2">
      <c r="A57" s="24" t="s">
        <v>174</v>
      </c>
      <c r="B57" s="60" t="s">
        <v>181</v>
      </c>
      <c r="C57" s="138">
        <v>41.532539999999997</v>
      </c>
      <c r="D57" s="98">
        <v>1.1460000000000001E-2</v>
      </c>
      <c r="E57" s="148">
        <f t="shared" si="45"/>
        <v>1.5495706688035122E-2</v>
      </c>
      <c r="F57" s="138">
        <v>8.2799999999999992E-3</v>
      </c>
      <c r="G57" s="138">
        <v>9.8499400000000001</v>
      </c>
      <c r="H57" s="138">
        <v>0.13916000000000001</v>
      </c>
      <c r="I57" s="138">
        <v>49.52816</v>
      </c>
      <c r="J57" s="150">
        <f t="shared" si="46"/>
        <v>3.8024098820012536E-2</v>
      </c>
      <c r="K57" s="98"/>
      <c r="L57" s="98"/>
      <c r="M57" s="138">
        <v>0.31180000000000002</v>
      </c>
      <c r="N57" s="141">
        <v>82.011965465553615</v>
      </c>
      <c r="O57" s="142">
        <v>271.75666182364654</v>
      </c>
      <c r="P57" s="11"/>
      <c r="Q57" s="140">
        <v>51.732939999999999</v>
      </c>
      <c r="R57" s="140">
        <v>0.45734000000000002</v>
      </c>
      <c r="S57" s="140">
        <v>6.6476999999999986</v>
      </c>
      <c r="T57" s="140">
        <v>0.85938000000000003</v>
      </c>
      <c r="U57" s="140">
        <v>2.8406800000000003</v>
      </c>
      <c r="V57" s="140">
        <v>9.6199999999999994E-2</v>
      </c>
      <c r="W57" s="140">
        <v>15.240260000000001</v>
      </c>
      <c r="X57" s="140">
        <v>19.188099999999999</v>
      </c>
      <c r="Y57" s="140">
        <v>1.7727799999999998</v>
      </c>
      <c r="Z57" s="100"/>
      <c r="AA57" s="140">
        <v>3.4079999999999999E-2</v>
      </c>
      <c r="AC57" s="139">
        <v>56.021660000000011</v>
      </c>
      <c r="AD57" s="139">
        <v>11.4191</v>
      </c>
      <c r="AE57" s="11"/>
      <c r="AF57" s="83">
        <f t="shared" si="50"/>
        <v>0.12029083583928457</v>
      </c>
      <c r="AG57" s="22">
        <f t="shared" si="278"/>
        <v>2.7660206227439742E-4</v>
      </c>
      <c r="AH57" s="126">
        <f t="shared" si="47"/>
        <v>972.26861412017047</v>
      </c>
      <c r="AI57" s="126">
        <f t="shared" si="307"/>
        <v>972.11847299965643</v>
      </c>
      <c r="AJ57" s="126">
        <f t="shared" si="308"/>
        <v>0.15014112051403572</v>
      </c>
      <c r="AK57" s="12"/>
      <c r="AL57" s="25">
        <f t="shared" si="48"/>
        <v>2.154520191236712</v>
      </c>
      <c r="AN57" s="2">
        <v>15.999000000000001</v>
      </c>
      <c r="AO57" s="2">
        <v>28.085000000000001</v>
      </c>
      <c r="AP57" s="2">
        <v>47.866999999999997</v>
      </c>
      <c r="AQ57" s="2">
        <v>26.9815386</v>
      </c>
      <c r="AR57" s="2">
        <v>51.996099999999998</v>
      </c>
      <c r="AS57" s="2">
        <v>55.844999999999999</v>
      </c>
      <c r="AT57" s="2">
        <v>54.938045000000002</v>
      </c>
      <c r="AU57" s="2">
        <v>24.305</v>
      </c>
      <c r="AV57" s="2">
        <v>40.078000000000003</v>
      </c>
      <c r="AW57" s="2">
        <v>22.989769280000001</v>
      </c>
      <c r="AX57" s="2">
        <v>39.098300000000002</v>
      </c>
      <c r="AY57" s="2">
        <v>58.693399999999997</v>
      </c>
      <c r="BA57" s="2">
        <f t="shared" ref="BA57:BA59" si="362">AN57*2+AO57</f>
        <v>60.082999999999998</v>
      </c>
      <c r="BB57" s="2">
        <f t="shared" ref="BB57:BB59" si="363">AN57*2+AP57</f>
        <v>79.864999999999995</v>
      </c>
      <c r="BC57" s="2">
        <f t="shared" ref="BC57:BC59" si="364">AQ57*2+AN57*3</f>
        <v>101.9600772</v>
      </c>
      <c r="BD57" s="2">
        <f t="shared" ref="BD57:BD59" si="365">AR57*2+AN57*3</f>
        <v>151.98919999999998</v>
      </c>
      <c r="BE57" s="2">
        <f t="shared" ref="BE57:BE59" si="366">AS57+AN57</f>
        <v>71.843999999999994</v>
      </c>
      <c r="BF57" s="2">
        <f t="shared" ref="BF57:BF59" si="367">AT57+AN57</f>
        <v>70.937044999999998</v>
      </c>
      <c r="BG57" s="2">
        <f t="shared" ref="BG57:BG59" si="368">AU57+AN57</f>
        <v>40.304000000000002</v>
      </c>
      <c r="BH57" s="2">
        <f t="shared" ref="BH57:BH59" si="369">AV57+AN57</f>
        <v>56.077000000000005</v>
      </c>
      <c r="BI57" s="2">
        <f t="shared" ref="BI57:BI59" si="370">AW57*2+AN57</f>
        <v>61.978538560000004</v>
      </c>
      <c r="BJ57" s="2">
        <f t="shared" ref="BJ57:BJ59" si="371">AX57*2+AN57</f>
        <v>94.195599999999999</v>
      </c>
      <c r="BK57" s="2">
        <f t="shared" ref="BK57:BK59" si="372">AY57+AN57</f>
        <v>74.692399999999992</v>
      </c>
      <c r="BM57" s="2">
        <f t="shared" si="279"/>
        <v>0.6912527670056422</v>
      </c>
      <c r="BN57" s="2">
        <f t="shared" si="280"/>
        <v>1.4349214299129784E-4</v>
      </c>
      <c r="BO57" s="2">
        <f t="shared" si="281"/>
        <v>1.51978177278539E-4</v>
      </c>
      <c r="BP57" s="2">
        <f t="shared" si="282"/>
        <v>5.4477554984169929E-5</v>
      </c>
      <c r="BQ57" s="2">
        <f t="shared" si="283"/>
        <v>0.13710177607037471</v>
      </c>
      <c r="BR57" s="2">
        <f t="shared" si="284"/>
        <v>1.9617394550336853E-3</v>
      </c>
      <c r="BS57" s="2">
        <f t="shared" si="285"/>
        <v>1.2288646288209606</v>
      </c>
      <c r="BT57" s="2">
        <f t="shared" si="286"/>
        <v>6.7806941919169232E-4</v>
      </c>
      <c r="BU57" s="2">
        <f t="shared" si="287"/>
        <v>0</v>
      </c>
      <c r="BV57" s="2">
        <f t="shared" si="288"/>
        <v>0</v>
      </c>
      <c r="BW57" s="2">
        <f t="shared" si="289"/>
        <v>4.1744541613336836E-3</v>
      </c>
      <c r="BY57" s="2">
        <f t="shared" si="14"/>
        <v>0.6912527670056422</v>
      </c>
      <c r="BZ57" s="2">
        <f t="shared" si="14"/>
        <v>1.4349214299129784E-4</v>
      </c>
      <c r="CA57" s="2">
        <f t="shared" si="15"/>
        <v>3.0395635455707801E-4</v>
      </c>
      <c r="CB57" s="2">
        <f t="shared" si="15"/>
        <v>1.0895510996833986E-4</v>
      </c>
      <c r="CC57" s="2">
        <f t="shared" si="16"/>
        <v>0.13710177607037471</v>
      </c>
      <c r="CD57" s="2">
        <f t="shared" si="16"/>
        <v>1.9617394550336853E-3</v>
      </c>
      <c r="CE57" s="2">
        <f t="shared" si="16"/>
        <v>1.2288646288209606</v>
      </c>
      <c r="CF57" s="2">
        <f t="shared" si="16"/>
        <v>6.7806941919169232E-4</v>
      </c>
      <c r="CG57" s="2">
        <f t="shared" si="17"/>
        <v>0</v>
      </c>
      <c r="CH57" s="2">
        <f t="shared" si="17"/>
        <v>0</v>
      </c>
      <c r="CI57" s="2">
        <f t="shared" ref="CI57:CI59" si="373">BW57</f>
        <v>4.1744541613336836E-3</v>
      </c>
      <c r="CK57" s="2">
        <f t="shared" si="18"/>
        <v>1.3825055340112844</v>
      </c>
      <c r="CL57" s="2">
        <f t="shared" si="18"/>
        <v>2.8698428598259568E-4</v>
      </c>
      <c r="CM57" s="2">
        <f t="shared" si="19"/>
        <v>4.5593453183561701E-4</v>
      </c>
      <c r="CN57" s="2">
        <f t="shared" si="19"/>
        <v>1.6343266495250978E-4</v>
      </c>
      <c r="CO57" s="2">
        <f t="shared" si="20"/>
        <v>0.13710177607037471</v>
      </c>
      <c r="CP57" s="2">
        <f t="shared" si="20"/>
        <v>1.9617394550336853E-3</v>
      </c>
      <c r="CQ57" s="2">
        <f t="shared" si="20"/>
        <v>1.2288646288209606</v>
      </c>
      <c r="CR57" s="2">
        <f t="shared" si="20"/>
        <v>6.7806941919169232E-4</v>
      </c>
      <c r="CS57" s="2">
        <f t="shared" si="20"/>
        <v>0</v>
      </c>
      <c r="CT57" s="2">
        <f t="shared" si="20"/>
        <v>0</v>
      </c>
      <c r="CU57" s="2">
        <f t="shared" si="20"/>
        <v>4.1744541613336836E-3</v>
      </c>
      <c r="CW57" s="14">
        <f t="shared" ref="CW57:CW59" si="374">SUM(CK57:CU57)</f>
        <v>2.7561925534209499</v>
      </c>
      <c r="CY57" s="14">
        <f t="shared" ref="CY57:CY59" si="375">4/CW57</f>
        <v>1.4512774134866784</v>
      </c>
      <c r="DA57" s="16">
        <f t="shared" si="243"/>
        <v>1.003199527765458</v>
      </c>
      <c r="DB57" s="16">
        <f t="shared" si="244"/>
        <v>2.0824690613607133E-4</v>
      </c>
      <c r="DC57" s="16">
        <f t="shared" si="245"/>
        <v>4.4112499205443593E-4</v>
      </c>
      <c r="DD57" s="16">
        <f t="shared" si="246"/>
        <v>1.5812409018100887E-4</v>
      </c>
      <c r="DE57" s="16">
        <f t="shared" si="247"/>
        <v>0.1989727109598432</v>
      </c>
      <c r="DF57" s="16">
        <f t="shared" si="248"/>
        <v>2.8470281622360529E-3</v>
      </c>
      <c r="DG57" s="16">
        <f t="shared" si="249"/>
        <v>1.7834234800405508</v>
      </c>
      <c r="DH57" s="16">
        <f t="shared" si="250"/>
        <v>9.840668328489335E-4</v>
      </c>
      <c r="DI57" s="16">
        <f t="shared" si="251"/>
        <v>0</v>
      </c>
      <c r="DJ57" s="16">
        <f t="shared" si="252"/>
        <v>0</v>
      </c>
      <c r="DK57" s="16">
        <f t="shared" si="253"/>
        <v>6.0582910379790491E-3</v>
      </c>
      <c r="DL57" s="16">
        <f t="shared" si="290"/>
        <v>0.89963019911805131</v>
      </c>
      <c r="DN57" s="2">
        <f t="shared" si="291"/>
        <v>0.86102458266065274</v>
      </c>
      <c r="DO57" s="2">
        <f t="shared" si="292"/>
        <v>5.7264133224816886E-3</v>
      </c>
      <c r="DP57" s="2">
        <f t="shared" si="293"/>
        <v>6.5199048319276851E-2</v>
      </c>
      <c r="DQ57" s="2">
        <f t="shared" si="294"/>
        <v>5.6542175365091735E-3</v>
      </c>
      <c r="DR57" s="2">
        <f t="shared" si="295"/>
        <v>3.9539557931072888E-2</v>
      </c>
      <c r="DS57" s="2">
        <f t="shared" si="296"/>
        <v>1.3561320463799978E-3</v>
      </c>
      <c r="DT57" s="2">
        <f t="shared" si="297"/>
        <v>0.3781326915442636</v>
      </c>
      <c r="DU57" s="2">
        <f t="shared" si="298"/>
        <v>0.34217415339622298</v>
      </c>
      <c r="DV57" s="2">
        <f t="shared" si="299"/>
        <v>2.8603126843396155E-2</v>
      </c>
      <c r="DW57" s="2">
        <f t="shared" si="300"/>
        <v>0</v>
      </c>
      <c r="DX57" s="2">
        <f t="shared" si="301"/>
        <v>4.5627132077694657E-4</v>
      </c>
      <c r="DZ57" s="2">
        <f t="shared" si="49"/>
        <v>1.7220491653213055</v>
      </c>
      <c r="EA57" s="2">
        <f t="shared" si="49"/>
        <v>1.1452826644963377E-2</v>
      </c>
      <c r="EB57" s="2">
        <f t="shared" si="34"/>
        <v>0.19559714495783054</v>
      </c>
      <c r="EC57" s="2">
        <f t="shared" si="34"/>
        <v>1.696265260952752E-2</v>
      </c>
      <c r="ED57" s="2">
        <f t="shared" si="35"/>
        <v>3.9539557931072888E-2</v>
      </c>
      <c r="EE57" s="2">
        <f t="shared" si="35"/>
        <v>1.3561320463799978E-3</v>
      </c>
      <c r="EF57" s="2">
        <f t="shared" si="35"/>
        <v>0.3781326915442636</v>
      </c>
      <c r="EG57" s="2">
        <f t="shared" si="35"/>
        <v>0.34217415339622298</v>
      </c>
      <c r="EH57" s="2">
        <f t="shared" si="35"/>
        <v>2.8603126843396155E-2</v>
      </c>
      <c r="EI57" s="2">
        <f t="shared" si="35"/>
        <v>0</v>
      </c>
      <c r="EJ57" s="2">
        <f t="shared" si="35"/>
        <v>4.5627132077694657E-4</v>
      </c>
      <c r="EL57" s="16">
        <f t="shared" ref="EL57:EL59" si="376">SUM(DZ57:EJ57)</f>
        <v>2.7363237226157393</v>
      </c>
      <c r="EN57" s="14">
        <f t="shared" ref="EN57:EN59" si="377">6/EL57</f>
        <v>2.1927230138780538</v>
      </c>
      <c r="EP57" s="16">
        <f t="shared" si="267"/>
        <v>1.8879884179147599</v>
      </c>
      <c r="EQ57" s="16">
        <f t="shared" si="268"/>
        <v>1.2556438279183488E-2</v>
      </c>
      <c r="ER57" s="16">
        <f t="shared" si="269"/>
        <v>0.28592690746525118</v>
      </c>
      <c r="ES57" s="16">
        <f t="shared" si="270"/>
        <v>2.4796265835553079E-2</v>
      </c>
      <c r="ET57" s="16">
        <f t="shared" si="271"/>
        <v>8.6699298634028046E-2</v>
      </c>
      <c r="EU57" s="16">
        <f t="shared" si="272"/>
        <v>2.9736219479549616E-3</v>
      </c>
      <c r="EV57" s="16">
        <f t="shared" si="273"/>
        <v>0.8291402550487581</v>
      </c>
      <c r="EW57" s="16">
        <f t="shared" si="274"/>
        <v>0.75029314090613752</v>
      </c>
      <c r="EX57" s="16">
        <f t="shared" si="275"/>
        <v>0.12543746899677577</v>
      </c>
      <c r="EY57" s="16">
        <f t="shared" si="276"/>
        <v>0</v>
      </c>
      <c r="EZ57" s="16">
        <f t="shared" ref="EZ57:EZ59" si="378">DX57*$EN57</f>
        <v>1.0004766256401466E-3</v>
      </c>
      <c r="FB57" s="14">
        <f t="shared" si="302"/>
        <v>-6.6365254493825221</v>
      </c>
      <c r="FC57" s="4">
        <f t="shared" si="303"/>
        <v>1.3837660959068159</v>
      </c>
      <c r="FD57" s="4">
        <f t="shared" si="304"/>
        <v>2.154520191236712</v>
      </c>
      <c r="FE57" s="4">
        <f t="shared" si="305"/>
        <v>2.154520191236712</v>
      </c>
      <c r="FG57" s="4">
        <f t="shared" si="306"/>
        <v>2.4566632481524584</v>
      </c>
    </row>
    <row r="58" spans="1:163" x14ac:dyDescent="0.2">
      <c r="A58" s="24" t="s">
        <v>175</v>
      </c>
      <c r="B58" s="60" t="s">
        <v>181</v>
      </c>
      <c r="C58" s="138">
        <v>41.417380000000001</v>
      </c>
      <c r="D58" s="98">
        <v>9.0400000000000012E-3</v>
      </c>
      <c r="E58" s="148">
        <f t="shared" si="45"/>
        <v>1.5003969345524894E-2</v>
      </c>
      <c r="F58" s="138">
        <v>0</v>
      </c>
      <c r="G58" s="138">
        <v>9.9100200000000012</v>
      </c>
      <c r="H58" s="138">
        <v>0.14876</v>
      </c>
      <c r="I58" s="138">
        <v>49.560919999999996</v>
      </c>
      <c r="J58" s="150">
        <f t="shared" si="46"/>
        <v>3.799712971177955E-2</v>
      </c>
      <c r="K58" s="98"/>
      <c r="L58" s="98"/>
      <c r="M58" s="138">
        <v>0.31364000000000003</v>
      </c>
      <c r="N58" s="141">
        <v>79.409415819772633</v>
      </c>
      <c r="O58" s="142">
        <v>271.56391472238187</v>
      </c>
      <c r="P58" s="11"/>
      <c r="Q58" s="140">
        <v>51.625980000000006</v>
      </c>
      <c r="R58" s="140">
        <v>0.45621999999999996</v>
      </c>
      <c r="S58" s="140">
        <v>6.6475999999999997</v>
      </c>
      <c r="T58" s="140">
        <v>0.89982000000000006</v>
      </c>
      <c r="U58" s="140">
        <v>2.8425400000000001</v>
      </c>
      <c r="V58" s="140">
        <v>8.8440000000000005E-2</v>
      </c>
      <c r="W58" s="140">
        <v>15.1919</v>
      </c>
      <c r="X58" s="140">
        <v>19.172260000000001</v>
      </c>
      <c r="Y58" s="140">
        <v>1.7360400000000002</v>
      </c>
      <c r="Z58" s="100"/>
      <c r="AA58" s="140">
        <v>2.9359999999999997E-2</v>
      </c>
      <c r="AC58" s="139">
        <v>56.088300000000004</v>
      </c>
      <c r="AD58" s="139">
        <v>11.320440000000001</v>
      </c>
      <c r="AE58" s="11"/>
      <c r="AF58" s="83">
        <f t="shared" si="50"/>
        <v>0.11925068150580655</v>
      </c>
      <c r="AG58" s="22">
        <f t="shared" si="278"/>
        <v>2.6750622403468982E-4</v>
      </c>
      <c r="AH58" s="126">
        <f t="shared" si="47"/>
        <v>967.77646306799102</v>
      </c>
      <c r="AI58" s="126">
        <f t="shared" si="307"/>
        <v>967.62638719245706</v>
      </c>
      <c r="AJ58" s="126">
        <f t="shared" si="308"/>
        <v>0.15007587553395751</v>
      </c>
      <c r="AK58" s="12"/>
      <c r="AL58" s="25">
        <f t="shared" si="48"/>
        <v>2.1002034505720513</v>
      </c>
      <c r="AN58" s="2">
        <v>15.999000000000001</v>
      </c>
      <c r="AO58" s="2">
        <v>28.085000000000001</v>
      </c>
      <c r="AP58" s="2">
        <v>47.866999999999997</v>
      </c>
      <c r="AQ58" s="2">
        <v>26.9815386</v>
      </c>
      <c r="AR58" s="2">
        <v>51.996099999999998</v>
      </c>
      <c r="AS58" s="2">
        <v>55.844999999999999</v>
      </c>
      <c r="AT58" s="2">
        <v>54.938045000000002</v>
      </c>
      <c r="AU58" s="2">
        <v>24.305</v>
      </c>
      <c r="AV58" s="2">
        <v>40.078000000000003</v>
      </c>
      <c r="AW58" s="2">
        <v>22.989769280000001</v>
      </c>
      <c r="AX58" s="2">
        <v>39.098300000000002</v>
      </c>
      <c r="AY58" s="2">
        <v>58.693399999999997</v>
      </c>
      <c r="BA58" s="2">
        <f t="shared" si="362"/>
        <v>60.082999999999998</v>
      </c>
      <c r="BB58" s="2">
        <f t="shared" si="363"/>
        <v>79.864999999999995</v>
      </c>
      <c r="BC58" s="2">
        <f t="shared" si="364"/>
        <v>101.9600772</v>
      </c>
      <c r="BD58" s="2">
        <f t="shared" si="365"/>
        <v>151.98919999999998</v>
      </c>
      <c r="BE58" s="2">
        <f t="shared" si="366"/>
        <v>71.843999999999994</v>
      </c>
      <c r="BF58" s="2">
        <f t="shared" si="367"/>
        <v>70.937044999999998</v>
      </c>
      <c r="BG58" s="2">
        <f t="shared" si="368"/>
        <v>40.304000000000002</v>
      </c>
      <c r="BH58" s="2">
        <f t="shared" si="369"/>
        <v>56.077000000000005</v>
      </c>
      <c r="BI58" s="2">
        <f t="shared" si="370"/>
        <v>61.978538560000004</v>
      </c>
      <c r="BJ58" s="2">
        <f t="shared" si="371"/>
        <v>94.195599999999999</v>
      </c>
      <c r="BK58" s="2">
        <f t="shared" si="372"/>
        <v>74.692399999999992</v>
      </c>
      <c r="BM58" s="2">
        <f t="shared" si="279"/>
        <v>0.68933608508230282</v>
      </c>
      <c r="BN58" s="2">
        <f t="shared" si="280"/>
        <v>1.1319100982908661E-4</v>
      </c>
      <c r="BO58" s="2">
        <f t="shared" si="281"/>
        <v>1.4715533527984514E-4</v>
      </c>
      <c r="BP58" s="2">
        <f t="shared" si="282"/>
        <v>0</v>
      </c>
      <c r="BQ58" s="2">
        <f t="shared" si="283"/>
        <v>0.13793803240354102</v>
      </c>
      <c r="BR58" s="2">
        <f t="shared" si="284"/>
        <v>2.0970707195373025E-3</v>
      </c>
      <c r="BS58" s="2">
        <f t="shared" si="285"/>
        <v>1.2296774513695909</v>
      </c>
      <c r="BT58" s="2">
        <f t="shared" si="286"/>
        <v>6.7758848925191342E-4</v>
      </c>
      <c r="BU58" s="2">
        <f t="shared" si="287"/>
        <v>0</v>
      </c>
      <c r="BV58" s="2">
        <f t="shared" si="288"/>
        <v>0</v>
      </c>
      <c r="BW58" s="2">
        <f t="shared" si="289"/>
        <v>4.1990885284178851E-3</v>
      </c>
      <c r="BY58" s="2">
        <f t="shared" si="14"/>
        <v>0.68933608508230282</v>
      </c>
      <c r="BZ58" s="2">
        <f t="shared" si="14"/>
        <v>1.1319100982908661E-4</v>
      </c>
      <c r="CA58" s="2">
        <f t="shared" si="15"/>
        <v>2.9431067055969029E-4</v>
      </c>
      <c r="CB58" s="2">
        <f t="shared" si="15"/>
        <v>0</v>
      </c>
      <c r="CC58" s="2">
        <f t="shared" si="16"/>
        <v>0.13793803240354102</v>
      </c>
      <c r="CD58" s="2">
        <f t="shared" si="16"/>
        <v>2.0970707195373025E-3</v>
      </c>
      <c r="CE58" s="2">
        <f t="shared" si="16"/>
        <v>1.2296774513695909</v>
      </c>
      <c r="CF58" s="2">
        <f t="shared" si="16"/>
        <v>6.7758848925191342E-4</v>
      </c>
      <c r="CG58" s="2">
        <f t="shared" si="17"/>
        <v>0</v>
      </c>
      <c r="CH58" s="2">
        <f t="shared" si="17"/>
        <v>0</v>
      </c>
      <c r="CI58" s="2">
        <f t="shared" si="373"/>
        <v>4.1990885284178851E-3</v>
      </c>
      <c r="CK58" s="2">
        <f t="shared" si="18"/>
        <v>1.3786721701646056</v>
      </c>
      <c r="CL58" s="2">
        <f t="shared" si="18"/>
        <v>2.2638201965817322E-4</v>
      </c>
      <c r="CM58" s="2">
        <f t="shared" si="19"/>
        <v>4.414660058395354E-4</v>
      </c>
      <c r="CN58" s="2">
        <f t="shared" si="19"/>
        <v>0</v>
      </c>
      <c r="CO58" s="2">
        <f t="shared" si="20"/>
        <v>0.13793803240354102</v>
      </c>
      <c r="CP58" s="2">
        <f t="shared" si="20"/>
        <v>2.0970707195373025E-3</v>
      </c>
      <c r="CQ58" s="2">
        <f t="shared" si="20"/>
        <v>1.2296774513695909</v>
      </c>
      <c r="CR58" s="2">
        <f t="shared" si="20"/>
        <v>6.7758848925191342E-4</v>
      </c>
      <c r="CS58" s="2">
        <f t="shared" si="20"/>
        <v>0</v>
      </c>
      <c r="CT58" s="2">
        <f t="shared" si="20"/>
        <v>0</v>
      </c>
      <c r="CU58" s="2">
        <f t="shared" si="20"/>
        <v>4.1990885284178851E-3</v>
      </c>
      <c r="CW58" s="14">
        <f t="shared" si="374"/>
        <v>2.7539292497004428</v>
      </c>
      <c r="CY58" s="14">
        <f t="shared" si="375"/>
        <v>1.4524701389605772</v>
      </c>
      <c r="DA58" s="16">
        <f t="shared" si="243"/>
        <v>1.0012400792900327</v>
      </c>
      <c r="DB58" s="16">
        <f t="shared" si="244"/>
        <v>1.6440656177554147E-4</v>
      </c>
      <c r="DC58" s="16">
        <f t="shared" si="245"/>
        <v>4.2747746056541399E-4</v>
      </c>
      <c r="DD58" s="16">
        <f t="shared" si="246"/>
        <v>0</v>
      </c>
      <c r="DE58" s="16">
        <f t="shared" si="247"/>
        <v>0.20035087309311983</v>
      </c>
      <c r="DF58" s="16">
        <f t="shared" si="248"/>
        <v>3.0459325994165033E-3</v>
      </c>
      <c r="DG58" s="16">
        <f t="shared" si="249"/>
        <v>1.7860697786674782</v>
      </c>
      <c r="DH58" s="16">
        <f t="shared" si="250"/>
        <v>9.8417704714181425E-4</v>
      </c>
      <c r="DI58" s="16">
        <f t="shared" si="251"/>
        <v>0</v>
      </c>
      <c r="DJ58" s="16">
        <f t="shared" si="252"/>
        <v>0</v>
      </c>
      <c r="DK58" s="16">
        <f t="shared" si="253"/>
        <v>6.0990506983788911E-3</v>
      </c>
      <c r="DL58" s="16">
        <f t="shared" si="290"/>
        <v>0.89913975526002232</v>
      </c>
      <c r="DN58" s="2">
        <f t="shared" si="291"/>
        <v>0.85924437860959013</v>
      </c>
      <c r="DO58" s="2">
        <f t="shared" si="292"/>
        <v>5.7123896575471105E-3</v>
      </c>
      <c r="DP58" s="2">
        <f t="shared" si="293"/>
        <v>6.5198067543244267E-2</v>
      </c>
      <c r="DQ58" s="2">
        <f t="shared" si="294"/>
        <v>5.9202890731709897E-3</v>
      </c>
      <c r="DR58" s="2">
        <f t="shared" si="295"/>
        <v>3.9565447358164918E-2</v>
      </c>
      <c r="DS58" s="2">
        <f t="shared" si="296"/>
        <v>1.2467392742395742E-3</v>
      </c>
      <c r="DT58" s="2">
        <f t="shared" si="297"/>
        <v>0.37693281063914252</v>
      </c>
      <c r="DU58" s="2">
        <f t="shared" si="298"/>
        <v>0.34189168464789488</v>
      </c>
      <c r="DV58" s="2">
        <f t="shared" si="299"/>
        <v>2.8010341004078045E-2</v>
      </c>
      <c r="DW58" s="2">
        <f t="shared" si="300"/>
        <v>0</v>
      </c>
      <c r="DX58" s="2">
        <f t="shared" si="301"/>
        <v>3.9307881390877788E-4</v>
      </c>
      <c r="DZ58" s="2">
        <f t="shared" si="49"/>
        <v>1.7184887572191803</v>
      </c>
      <c r="EA58" s="2">
        <f t="shared" si="49"/>
        <v>1.1424779315094221E-2</v>
      </c>
      <c r="EB58" s="2">
        <f t="shared" si="34"/>
        <v>0.19559420262973282</v>
      </c>
      <c r="EC58" s="2">
        <f t="shared" si="34"/>
        <v>1.776086721951297E-2</v>
      </c>
      <c r="ED58" s="2">
        <f t="shared" si="35"/>
        <v>3.9565447358164918E-2</v>
      </c>
      <c r="EE58" s="2">
        <f t="shared" si="35"/>
        <v>1.2467392742395742E-3</v>
      </c>
      <c r="EF58" s="2">
        <f t="shared" si="35"/>
        <v>0.37693281063914252</v>
      </c>
      <c r="EG58" s="2">
        <f t="shared" si="35"/>
        <v>0.34189168464789488</v>
      </c>
      <c r="EH58" s="2">
        <f t="shared" si="35"/>
        <v>2.8010341004078045E-2</v>
      </c>
      <c r="EI58" s="2">
        <f t="shared" si="35"/>
        <v>0</v>
      </c>
      <c r="EJ58" s="2">
        <f t="shared" si="35"/>
        <v>3.9307881390877788E-4</v>
      </c>
      <c r="EL58" s="16">
        <f t="shared" si="376"/>
        <v>2.7313087081209484</v>
      </c>
      <c r="EN58" s="14">
        <f t="shared" si="377"/>
        <v>2.1967491196291045</v>
      </c>
      <c r="EP58" s="16">
        <f t="shared" si="267"/>
        <v>1.8875443322568741</v>
      </c>
      <c r="EQ58" s="16">
        <f t="shared" si="268"/>
        <v>1.2548686951195017E-2</v>
      </c>
      <c r="ER58" s="16">
        <f t="shared" si="269"/>
        <v>0.28644759495428146</v>
      </c>
      <c r="ES58" s="16">
        <f t="shared" si="270"/>
        <v>2.6010779618876358E-2</v>
      </c>
      <c r="ET58" s="16">
        <f t="shared" si="271"/>
        <v>8.6915361651780459E-2</v>
      </c>
      <c r="EU58" s="16">
        <f t="shared" si="272"/>
        <v>2.7387734030928134E-3</v>
      </c>
      <c r="EV58" s="16">
        <f t="shared" si="273"/>
        <v>0.82802681993086025</v>
      </c>
      <c r="EW58" s="16">
        <f t="shared" si="274"/>
        <v>0.7510502572587745</v>
      </c>
      <c r="EX58" s="16">
        <f t="shared" si="275"/>
        <v>0.1230633838824389</v>
      </c>
      <c r="EY58" s="16">
        <f t="shared" si="276"/>
        <v>0</v>
      </c>
      <c r="EZ58" s="16">
        <f t="shared" si="378"/>
        <v>8.6349553839896044E-4</v>
      </c>
      <c r="FB58" s="14">
        <f t="shared" si="302"/>
        <v>-6.6374220421336485</v>
      </c>
      <c r="FC58" s="4">
        <f t="shared" si="303"/>
        <v>1.3038435533871136</v>
      </c>
      <c r="FD58" s="4">
        <f t="shared" si="304"/>
        <v>2.1002034505720513</v>
      </c>
      <c r="FE58" s="4">
        <f t="shared" si="305"/>
        <v>2.1002034505720513</v>
      </c>
      <c r="FG58" s="4">
        <f t="shared" si="306"/>
        <v>2.3768345764139043</v>
      </c>
    </row>
    <row r="59" spans="1:163" x14ac:dyDescent="0.2">
      <c r="A59" s="24" t="s">
        <v>176</v>
      </c>
      <c r="B59" s="60" t="s">
        <v>181</v>
      </c>
      <c r="C59" s="138">
        <v>40.877499999999998</v>
      </c>
      <c r="D59" s="98"/>
      <c r="E59" s="148">
        <f t="shared" si="45"/>
        <v>1.8631087550319007E-2</v>
      </c>
      <c r="F59" s="138">
        <v>0</v>
      </c>
      <c r="G59" s="138">
        <v>9.73</v>
      </c>
      <c r="H59" s="138">
        <v>0.14000000000000001</v>
      </c>
      <c r="I59" s="138">
        <v>48.942500000000003</v>
      </c>
      <c r="J59" s="150">
        <f t="shared" si="46"/>
        <v>3.8576606031354023E-2</v>
      </c>
      <c r="K59" s="98"/>
      <c r="L59" s="98"/>
      <c r="M59" s="138">
        <v>0.375</v>
      </c>
      <c r="N59" s="141">
        <v>98.606158436276999</v>
      </c>
      <c r="O59" s="142">
        <v>275.70540801480223</v>
      </c>
      <c r="P59" s="11"/>
      <c r="Q59" s="140">
        <v>52.01</v>
      </c>
      <c r="R59" s="140">
        <v>0.48</v>
      </c>
      <c r="S59" s="140">
        <v>6.6700000000000008</v>
      </c>
      <c r="T59" s="140">
        <v>0.93333333333333324</v>
      </c>
      <c r="U59" s="140">
        <v>2.77</v>
      </c>
      <c r="V59" s="140">
        <v>9.3333333333333338E-2</v>
      </c>
      <c r="W59" s="140">
        <v>15.301666666666668</v>
      </c>
      <c r="X59" s="140">
        <v>19.661666666666665</v>
      </c>
      <c r="Y59" s="140">
        <v>1.6600000000000001</v>
      </c>
      <c r="Z59" s="100"/>
      <c r="AA59" s="140">
        <v>4.5000000000000005E-2</v>
      </c>
      <c r="AC59" s="139">
        <v>55.588333333333338</v>
      </c>
      <c r="AD59" s="139">
        <v>11.515000000000001</v>
      </c>
      <c r="AE59" s="11"/>
      <c r="AF59" s="83">
        <f t="shared" si="50"/>
        <v>0.12200801568101116</v>
      </c>
      <c r="AG59" s="22">
        <f t="shared" si="278"/>
        <v>3.3516183042579085E-4</v>
      </c>
      <c r="AH59" s="126">
        <f t="shared" si="47"/>
        <v>999.31970745544527</v>
      </c>
      <c r="AI59" s="126">
        <f t="shared" si="307"/>
        <v>999.16966829332864</v>
      </c>
      <c r="AJ59" s="126">
        <f t="shared" si="308"/>
        <v>0.15003916211662727</v>
      </c>
      <c r="AK59" s="12"/>
      <c r="AL59" s="25">
        <f t="shared" si="48"/>
        <v>2.4652587233074712</v>
      </c>
      <c r="AN59" s="2">
        <v>15.999000000000001</v>
      </c>
      <c r="AO59" s="2">
        <v>28.085000000000001</v>
      </c>
      <c r="AP59" s="2">
        <v>47.866999999999997</v>
      </c>
      <c r="AQ59" s="2">
        <v>26.9815386</v>
      </c>
      <c r="AR59" s="2">
        <v>51.996099999999998</v>
      </c>
      <c r="AS59" s="2">
        <v>55.844999999999999</v>
      </c>
      <c r="AT59" s="2">
        <v>54.938045000000002</v>
      </c>
      <c r="AU59" s="2">
        <v>24.305</v>
      </c>
      <c r="AV59" s="2">
        <v>40.078000000000003</v>
      </c>
      <c r="AW59" s="2">
        <v>22.989769280000001</v>
      </c>
      <c r="AX59" s="2">
        <v>39.098300000000002</v>
      </c>
      <c r="AY59" s="2">
        <v>58.693399999999997</v>
      </c>
      <c r="BA59" s="2">
        <f t="shared" si="362"/>
        <v>60.082999999999998</v>
      </c>
      <c r="BB59" s="2">
        <f t="shared" si="363"/>
        <v>79.864999999999995</v>
      </c>
      <c r="BC59" s="2">
        <f t="shared" si="364"/>
        <v>101.9600772</v>
      </c>
      <c r="BD59" s="2">
        <f t="shared" si="365"/>
        <v>151.98919999999998</v>
      </c>
      <c r="BE59" s="2">
        <f t="shared" si="366"/>
        <v>71.843999999999994</v>
      </c>
      <c r="BF59" s="2">
        <f t="shared" si="367"/>
        <v>70.937044999999998</v>
      </c>
      <c r="BG59" s="2">
        <f t="shared" si="368"/>
        <v>40.304000000000002</v>
      </c>
      <c r="BH59" s="2">
        <f t="shared" si="369"/>
        <v>56.077000000000005</v>
      </c>
      <c r="BI59" s="2">
        <f t="shared" si="370"/>
        <v>61.978538560000004</v>
      </c>
      <c r="BJ59" s="2">
        <f t="shared" si="371"/>
        <v>94.195599999999999</v>
      </c>
      <c r="BK59" s="2">
        <f t="shared" si="372"/>
        <v>74.692399999999992</v>
      </c>
      <c r="BM59" s="2">
        <f t="shared" si="279"/>
        <v>0.68035051512074962</v>
      </c>
      <c r="BN59" s="2">
        <f t="shared" si="280"/>
        <v>0</v>
      </c>
      <c r="BO59" s="2">
        <f t="shared" si="281"/>
        <v>1.8272924130660631E-4</v>
      </c>
      <c r="BP59" s="2">
        <f t="shared" si="282"/>
        <v>0</v>
      </c>
      <c r="BQ59" s="2">
        <f t="shared" si="283"/>
        <v>0.13543232559434332</v>
      </c>
      <c r="BR59" s="2">
        <f t="shared" si="284"/>
        <v>1.9735809406777518E-3</v>
      </c>
      <c r="BS59" s="2">
        <f t="shared" si="285"/>
        <v>1.2143335649067091</v>
      </c>
      <c r="BT59" s="2">
        <f t="shared" si="286"/>
        <v>6.8792207199661211E-4</v>
      </c>
      <c r="BU59" s="2">
        <f t="shared" si="287"/>
        <v>0</v>
      </c>
      <c r="BV59" s="2">
        <f t="shared" si="288"/>
        <v>0</v>
      </c>
      <c r="BW59" s="2">
        <f t="shared" si="289"/>
        <v>5.0205911177040779E-3</v>
      </c>
      <c r="BY59" s="2">
        <f t="shared" si="14"/>
        <v>0.68035051512074962</v>
      </c>
      <c r="BZ59" s="2">
        <f t="shared" si="14"/>
        <v>0</v>
      </c>
      <c r="CA59" s="2">
        <f t="shared" si="15"/>
        <v>3.6545848261321261E-4</v>
      </c>
      <c r="CB59" s="2">
        <f t="shared" si="15"/>
        <v>0</v>
      </c>
      <c r="CC59" s="2">
        <f t="shared" si="16"/>
        <v>0.13543232559434332</v>
      </c>
      <c r="CD59" s="2">
        <f t="shared" si="16"/>
        <v>1.9735809406777518E-3</v>
      </c>
      <c r="CE59" s="2">
        <f t="shared" si="16"/>
        <v>1.2143335649067091</v>
      </c>
      <c r="CF59" s="2">
        <f t="shared" si="16"/>
        <v>6.8792207199661211E-4</v>
      </c>
      <c r="CG59" s="2">
        <f t="shared" si="17"/>
        <v>0</v>
      </c>
      <c r="CH59" s="2">
        <f t="shared" si="17"/>
        <v>0</v>
      </c>
      <c r="CI59" s="2">
        <f t="shared" si="373"/>
        <v>5.0205911177040779E-3</v>
      </c>
      <c r="CK59" s="2">
        <f t="shared" si="18"/>
        <v>1.3607010302414992</v>
      </c>
      <c r="CL59" s="2">
        <f t="shared" si="18"/>
        <v>0</v>
      </c>
      <c r="CM59" s="2">
        <f t="shared" si="19"/>
        <v>5.4818772391981895E-4</v>
      </c>
      <c r="CN59" s="2">
        <f t="shared" si="19"/>
        <v>0</v>
      </c>
      <c r="CO59" s="2">
        <f t="shared" si="20"/>
        <v>0.13543232559434332</v>
      </c>
      <c r="CP59" s="2">
        <f t="shared" si="20"/>
        <v>1.9735809406777518E-3</v>
      </c>
      <c r="CQ59" s="2">
        <f t="shared" si="20"/>
        <v>1.2143335649067091</v>
      </c>
      <c r="CR59" s="2">
        <f t="shared" si="20"/>
        <v>6.8792207199661211E-4</v>
      </c>
      <c r="CS59" s="2">
        <f t="shared" si="20"/>
        <v>0</v>
      </c>
      <c r="CT59" s="2">
        <f t="shared" si="20"/>
        <v>0</v>
      </c>
      <c r="CU59" s="2">
        <f t="shared" si="20"/>
        <v>5.0205911177040779E-3</v>
      </c>
      <c r="CW59" s="14">
        <f t="shared" si="374"/>
        <v>2.7186972025968501</v>
      </c>
      <c r="CY59" s="14">
        <f t="shared" si="375"/>
        <v>1.4712929399343453</v>
      </c>
      <c r="DA59" s="16">
        <f t="shared" si="243"/>
        <v>1.0009949095778539</v>
      </c>
      <c r="DB59" s="16">
        <f t="shared" si="244"/>
        <v>0</v>
      </c>
      <c r="DC59" s="16">
        <f t="shared" si="245"/>
        <v>5.3769648530793842E-4</v>
      </c>
      <c r="DD59" s="16">
        <f t="shared" si="246"/>
        <v>0</v>
      </c>
      <c r="DE59" s="16">
        <f t="shared" si="247"/>
        <v>0.19926062448584686</v>
      </c>
      <c r="DF59" s="16">
        <f t="shared" si="248"/>
        <v>2.9037157044081601E-3</v>
      </c>
      <c r="DG59" s="16">
        <f t="shared" si="249"/>
        <v>1.786640400772546</v>
      </c>
      <c r="DH59" s="16">
        <f t="shared" si="250"/>
        <v>1.0121348877536217E-3</v>
      </c>
      <c r="DI59" s="16">
        <f t="shared" si="251"/>
        <v>0</v>
      </c>
      <c r="DJ59" s="16">
        <f t="shared" si="252"/>
        <v>0</v>
      </c>
      <c r="DK59" s="16">
        <f t="shared" si="253"/>
        <v>7.3867602657750929E-3</v>
      </c>
      <c r="DL59" s="16">
        <f t="shared" si="290"/>
        <v>0.89966235882278156</v>
      </c>
      <c r="DN59" s="2">
        <f t="shared" si="291"/>
        <v>0.86563587037930856</v>
      </c>
      <c r="DO59" s="2">
        <f t="shared" si="292"/>
        <v>6.0101421148187565E-3</v>
      </c>
      <c r="DP59" s="2">
        <f t="shared" si="293"/>
        <v>6.5417761374547106E-2</v>
      </c>
      <c r="DQ59" s="2">
        <f t="shared" si="294"/>
        <v>6.1407871962832448E-3</v>
      </c>
      <c r="DR59" s="2">
        <f t="shared" si="295"/>
        <v>3.855575970157564E-2</v>
      </c>
      <c r="DS59" s="2">
        <f t="shared" si="296"/>
        <v>1.3157206271185013E-3</v>
      </c>
      <c r="DT59" s="2">
        <f t="shared" si="297"/>
        <v>0.37965627894667198</v>
      </c>
      <c r="DU59" s="2">
        <f t="shared" si="298"/>
        <v>0.35061908922850121</v>
      </c>
      <c r="DV59" s="2">
        <f t="shared" si="299"/>
        <v>2.6783464705173586E-2</v>
      </c>
      <c r="DW59" s="2">
        <f t="shared" si="300"/>
        <v>0</v>
      </c>
      <c r="DX59" s="2">
        <f t="shared" si="301"/>
        <v>6.0247093412448937E-4</v>
      </c>
      <c r="DZ59" s="2">
        <f t="shared" si="49"/>
        <v>1.7312717407586171</v>
      </c>
      <c r="EA59" s="2">
        <f t="shared" si="49"/>
        <v>1.2020284229637513E-2</v>
      </c>
      <c r="EB59" s="2">
        <f t="shared" si="34"/>
        <v>0.19625328412364132</v>
      </c>
      <c r="EC59" s="2">
        <f t="shared" si="34"/>
        <v>1.8422361588849735E-2</v>
      </c>
      <c r="ED59" s="2">
        <f t="shared" si="35"/>
        <v>3.855575970157564E-2</v>
      </c>
      <c r="EE59" s="2">
        <f t="shared" si="35"/>
        <v>1.3157206271185013E-3</v>
      </c>
      <c r="EF59" s="2">
        <f t="shared" si="35"/>
        <v>0.37965627894667198</v>
      </c>
      <c r="EG59" s="2">
        <f t="shared" si="35"/>
        <v>0.35061908922850121</v>
      </c>
      <c r="EH59" s="2">
        <f t="shared" si="35"/>
        <v>2.6783464705173586E-2</v>
      </c>
      <c r="EI59" s="2">
        <f t="shared" si="35"/>
        <v>0</v>
      </c>
      <c r="EJ59" s="2">
        <f t="shared" si="35"/>
        <v>6.0247093412448937E-4</v>
      </c>
      <c r="EL59" s="16">
        <f t="shared" si="376"/>
        <v>2.7555004548439106</v>
      </c>
      <c r="EN59" s="14">
        <f t="shared" si="377"/>
        <v>2.1774628958788829</v>
      </c>
      <c r="EP59" s="16">
        <f t="shared" si="267"/>
        <v>1.8848899890927664</v>
      </c>
      <c r="EQ59" s="16">
        <f t="shared" si="268"/>
        <v>1.3086861453976882E-2</v>
      </c>
      <c r="ER59" s="16">
        <f t="shared" si="269"/>
        <v>0.28488949624907012</v>
      </c>
      <c r="ES59" s="16">
        <f t="shared" si="270"/>
        <v>2.674267254278976E-2</v>
      </c>
      <c r="ET59" s="16">
        <f t="shared" si="271"/>
        <v>8.3953736172603224E-2</v>
      </c>
      <c r="EU59" s="16">
        <f t="shared" si="272"/>
        <v>2.8649328468930316E-3</v>
      </c>
      <c r="EV59" s="16">
        <f t="shared" si="273"/>
        <v>0.82668746059382137</v>
      </c>
      <c r="EW59" s="16">
        <f t="shared" si="274"/>
        <v>0.7634600573819087</v>
      </c>
      <c r="EX59" s="16">
        <f t="shared" si="275"/>
        <v>0.11664000123719426</v>
      </c>
      <c r="EY59" s="16">
        <f t="shared" si="276"/>
        <v>0</v>
      </c>
      <c r="EZ59" s="16">
        <f t="shared" si="378"/>
        <v>1.3118581049015663E-3</v>
      </c>
      <c r="FB59" s="14">
        <f t="shared" si="302"/>
        <v>-6.6257989578615346</v>
      </c>
      <c r="FC59" s="4">
        <f t="shared" si="303"/>
        <v>1.8526845829877925</v>
      </c>
      <c r="FD59" s="4">
        <f t="shared" si="304"/>
        <v>2.4652587233074712</v>
      </c>
      <c r="FE59" s="4">
        <f t="shared" si="305"/>
        <v>2.4652587233074712</v>
      </c>
      <c r="FG59" s="4">
        <f t="shared" si="306"/>
        <v>2.8591423379143288</v>
      </c>
    </row>
    <row r="60" spans="1:163" x14ac:dyDescent="0.2">
      <c r="A60" s="24" t="s">
        <v>177</v>
      </c>
      <c r="B60" s="60" t="s">
        <v>182</v>
      </c>
      <c r="C60" s="138">
        <v>40.967500000000001</v>
      </c>
      <c r="D60" s="98"/>
      <c r="E60" s="148">
        <f t="shared" ref="E60:E63" si="379">N60/(26.9815*10000)*101.9601/2</f>
        <v>1.6032195618270417E-2</v>
      </c>
      <c r="F60" s="138">
        <v>0.01</v>
      </c>
      <c r="G60" s="138">
        <v>9.9725000000000001</v>
      </c>
      <c r="H60" s="138">
        <v>0.15</v>
      </c>
      <c r="I60" s="138">
        <v>49.017499999999998</v>
      </c>
      <c r="J60" s="150">
        <f t="shared" ref="J60:J63" si="380">O60/40.078*56.077/10000</f>
        <v>3.9196768830731289E-2</v>
      </c>
      <c r="K60" s="98"/>
      <c r="L60" s="98"/>
      <c r="M60" s="138">
        <v>0.35749999999999993</v>
      </c>
      <c r="N60" s="141">
        <v>84.851365597790362</v>
      </c>
      <c r="O60" s="142">
        <v>280.13768589583049</v>
      </c>
      <c r="P60" s="11"/>
      <c r="Q60" s="140">
        <v>51.707142857142863</v>
      </c>
      <c r="R60" s="140">
        <v>0.49285714285714288</v>
      </c>
      <c r="S60" s="140">
        <v>6.85</v>
      </c>
      <c r="T60" s="140">
        <v>0.92285714285714293</v>
      </c>
      <c r="U60" s="140">
        <v>2.7914285714285714</v>
      </c>
      <c r="V60" s="140">
        <v>9.7142857142857128E-2</v>
      </c>
      <c r="W60" s="140">
        <v>14.995714285714286</v>
      </c>
      <c r="X60" s="140">
        <v>19.727142857142859</v>
      </c>
      <c r="Y60" s="140">
        <v>1.7157142857142857</v>
      </c>
      <c r="Z60" s="100"/>
      <c r="AA60" s="140">
        <v>3.7142857142857144E-2</v>
      </c>
      <c r="AC60" s="139">
        <v>56.403333333333329</v>
      </c>
      <c r="AD60" s="139">
        <v>10.908333333333333</v>
      </c>
      <c r="AE60" s="11"/>
      <c r="AF60" s="83">
        <f t="shared" ref="AF60:AF63" si="381">AD60/151.9892/(AD60/151.9892+AC60/101.9601)</f>
        <v>0.11483994141647913</v>
      </c>
      <c r="AG60" s="22">
        <f t="shared" si="278"/>
        <v>2.842419883860957E-4</v>
      </c>
      <c r="AH60" s="126">
        <f t="shared" ref="AH60:AH63" si="382">10000/(0.575+0.884*AF60-0.897*LN(AG60))-273</f>
        <v>976.82227462810897</v>
      </c>
      <c r="AI60" s="126">
        <f t="shared" si="307"/>
        <v>976.67227948646405</v>
      </c>
      <c r="AJ60" s="126">
        <f t="shared" si="308"/>
        <v>0.14999514164492211</v>
      </c>
      <c r="AK60" s="12"/>
      <c r="AL60" s="25">
        <f t="shared" ref="AL60:AL63" si="383">FE60</f>
        <v>2.1631353298982638</v>
      </c>
      <c r="AN60" s="2">
        <v>15.999000000000001</v>
      </c>
      <c r="AO60" s="2">
        <v>28.085000000000001</v>
      </c>
      <c r="AP60" s="2">
        <v>47.866999999999997</v>
      </c>
      <c r="AQ60" s="2">
        <v>26.9815386</v>
      </c>
      <c r="AR60" s="2">
        <v>51.996099999999998</v>
      </c>
      <c r="AS60" s="2">
        <v>55.844999999999999</v>
      </c>
      <c r="AT60" s="2">
        <v>54.938045000000002</v>
      </c>
      <c r="AU60" s="2">
        <v>24.305</v>
      </c>
      <c r="AV60" s="2">
        <v>40.078000000000003</v>
      </c>
      <c r="AW60" s="2">
        <v>22.989769280000001</v>
      </c>
      <c r="AX60" s="2">
        <v>39.098300000000002</v>
      </c>
      <c r="AY60" s="2">
        <v>58.693399999999997</v>
      </c>
      <c r="BA60" s="2">
        <f>AN60*2+AO60</f>
        <v>60.082999999999998</v>
      </c>
      <c r="BB60" s="2">
        <f>AN60*2+AP60</f>
        <v>79.864999999999995</v>
      </c>
      <c r="BC60" s="2">
        <f>AQ60*2+AN60*3</f>
        <v>101.9600772</v>
      </c>
      <c r="BD60" s="2">
        <f>AR60*2+AN60*3</f>
        <v>151.98919999999998</v>
      </c>
      <c r="BE60" s="2">
        <f>AS60+AN60</f>
        <v>71.843999999999994</v>
      </c>
      <c r="BF60" s="2">
        <f>AT60+AN60</f>
        <v>70.937044999999998</v>
      </c>
      <c r="BG60" s="2">
        <f>AU60+AN60</f>
        <v>40.304000000000002</v>
      </c>
      <c r="BH60" s="2">
        <f>AV60+AN60</f>
        <v>56.077000000000005</v>
      </c>
      <c r="BI60" s="2">
        <f>AW60*2+AN60</f>
        <v>61.978538560000004</v>
      </c>
      <c r="BJ60" s="2">
        <f>AX60*2+AN60</f>
        <v>94.195599999999999</v>
      </c>
      <c r="BK60" s="2">
        <f>AY60+AN60</f>
        <v>74.692399999999992</v>
      </c>
      <c r="BM60" s="2">
        <f t="shared" si="279"/>
        <v>0.68184844298720104</v>
      </c>
      <c r="BN60" s="2">
        <f t="shared" si="280"/>
        <v>0</v>
      </c>
      <c r="BO60" s="2">
        <f t="shared" si="281"/>
        <v>1.5723993212384913E-4</v>
      </c>
      <c r="BP60" s="2">
        <f t="shared" si="282"/>
        <v>6.5794148531606204E-5</v>
      </c>
      <c r="BQ60" s="2">
        <f t="shared" si="283"/>
        <v>0.13880769444908414</v>
      </c>
      <c r="BR60" s="2">
        <f t="shared" si="284"/>
        <v>2.1145510078690198E-3</v>
      </c>
      <c r="BS60" s="2">
        <f t="shared" si="285"/>
        <v>1.2161944223898371</v>
      </c>
      <c r="BT60" s="2">
        <f t="shared" si="286"/>
        <v>6.9898120139685231E-4</v>
      </c>
      <c r="BU60" s="2">
        <f t="shared" si="287"/>
        <v>0</v>
      </c>
      <c r="BV60" s="2">
        <f t="shared" si="288"/>
        <v>0</v>
      </c>
      <c r="BW60" s="2">
        <f t="shared" si="289"/>
        <v>4.7862968655445533E-3</v>
      </c>
      <c r="BY60" s="2">
        <f t="shared" ref="BY60:BY63" si="384">BM60</f>
        <v>0.68184844298720104</v>
      </c>
      <c r="BZ60" s="2">
        <f t="shared" ref="BZ60:BZ63" si="385">BN60</f>
        <v>0</v>
      </c>
      <c r="CA60" s="2">
        <f t="shared" ref="CA60:CA63" si="386">BO60*2</f>
        <v>3.1447986424769825E-4</v>
      </c>
      <c r="CB60" s="2">
        <f t="shared" ref="CB60:CB63" si="387">BP60*2</f>
        <v>1.3158829706321241E-4</v>
      </c>
      <c r="CC60" s="2">
        <f t="shared" ref="CC60:CC63" si="388">BQ60</f>
        <v>0.13880769444908414</v>
      </c>
      <c r="CD60" s="2">
        <f t="shared" ref="CD60:CD63" si="389">BR60</f>
        <v>2.1145510078690198E-3</v>
      </c>
      <c r="CE60" s="2">
        <f t="shared" ref="CE60:CE63" si="390">BS60</f>
        <v>1.2161944223898371</v>
      </c>
      <c r="CF60" s="2">
        <f t="shared" ref="CF60:CF63" si="391">BT60</f>
        <v>6.9898120139685231E-4</v>
      </c>
      <c r="CG60" s="2">
        <f t="shared" ref="CG60:CG63" si="392">BU60*2</f>
        <v>0</v>
      </c>
      <c r="CH60" s="2">
        <f t="shared" ref="CH60:CH63" si="393">BV60*2</f>
        <v>0</v>
      </c>
      <c r="CI60" s="2">
        <f>BW60</f>
        <v>4.7862968655445533E-3</v>
      </c>
      <c r="CK60" s="2">
        <f t="shared" ref="CK60:CK63" si="394">BM60*2</f>
        <v>1.3636968859744021</v>
      </c>
      <c r="CL60" s="2">
        <f t="shared" ref="CL60:CL63" si="395">BN60*2</f>
        <v>0</v>
      </c>
      <c r="CM60" s="2">
        <f t="shared" ref="CM60:CM63" si="396">BO60*3</f>
        <v>4.7171979637154738E-4</v>
      </c>
      <c r="CN60" s="2">
        <f t="shared" ref="CN60:CN63" si="397">BP60*3</f>
        <v>1.973824455948186E-4</v>
      </c>
      <c r="CO60" s="2">
        <f t="shared" ref="CO60:CO63" si="398">BQ60</f>
        <v>0.13880769444908414</v>
      </c>
      <c r="CP60" s="2">
        <f t="shared" ref="CP60:CP63" si="399">BR60</f>
        <v>2.1145510078690198E-3</v>
      </c>
      <c r="CQ60" s="2">
        <f t="shared" ref="CQ60:CQ63" si="400">BS60</f>
        <v>1.2161944223898371</v>
      </c>
      <c r="CR60" s="2">
        <f t="shared" ref="CR60:CR63" si="401">BT60</f>
        <v>6.9898120139685231E-4</v>
      </c>
      <c r="CS60" s="2">
        <f t="shared" ref="CS60:CS63" si="402">BU60</f>
        <v>0</v>
      </c>
      <c r="CT60" s="2">
        <f t="shared" ref="CT60:CT63" si="403">BV60</f>
        <v>0</v>
      </c>
      <c r="CU60" s="2">
        <f t="shared" ref="CU60:CU63" si="404">BW60</f>
        <v>4.7862968655445533E-3</v>
      </c>
      <c r="CW60" s="14">
        <f>SUM(CK60:CU60)</f>
        <v>2.7269679341301001</v>
      </c>
      <c r="CY60" s="14">
        <f>4/CW60</f>
        <v>1.4668305959659169</v>
      </c>
      <c r="DA60" s="16">
        <f t="shared" si="243"/>
        <v>1.0001561579853486</v>
      </c>
      <c r="DB60" s="16">
        <f t="shared" si="244"/>
        <v>0</v>
      </c>
      <c r="DC60" s="16">
        <f t="shared" si="245"/>
        <v>4.612886866937319E-4</v>
      </c>
      <c r="DD60" s="16">
        <f t="shared" si="246"/>
        <v>1.9301774020337198E-4</v>
      </c>
      <c r="DE60" s="16">
        <f t="shared" si="247"/>
        <v>0.20360737317340499</v>
      </c>
      <c r="DF60" s="16">
        <f t="shared" si="248"/>
        <v>3.1016881150728445E-3</v>
      </c>
      <c r="DG60" s="16">
        <f t="shared" si="249"/>
        <v>1.7839511894045088</v>
      </c>
      <c r="DH60" s="16">
        <f t="shared" si="250"/>
        <v>1.0252870122139175E-3</v>
      </c>
      <c r="DI60" s="16">
        <f t="shared" si="251"/>
        <v>0</v>
      </c>
      <c r="DJ60" s="16">
        <f t="shared" si="252"/>
        <v>0</v>
      </c>
      <c r="DK60" s="16">
        <f t="shared" si="253"/>
        <v>7.0206866837565175E-3</v>
      </c>
      <c r="DL60" s="16">
        <f t="shared" si="290"/>
        <v>0.89755905712316675</v>
      </c>
      <c r="DN60" s="2">
        <f t="shared" si="291"/>
        <v>0.86059522422553569</v>
      </c>
      <c r="DO60" s="2">
        <f t="shared" si="292"/>
        <v>6.1711280643228315E-3</v>
      </c>
      <c r="DP60" s="2">
        <f t="shared" si="293"/>
        <v>6.7183158233230525E-2</v>
      </c>
      <c r="DQ60" s="2">
        <f t="shared" si="294"/>
        <v>6.0718599930596586E-3</v>
      </c>
      <c r="DR60" s="2">
        <f t="shared" si="295"/>
        <v>3.8854024990654358E-2</v>
      </c>
      <c r="DS60" s="2">
        <f t="shared" si="296"/>
        <v>1.3694235098580317E-3</v>
      </c>
      <c r="DT60" s="2">
        <f t="shared" si="297"/>
        <v>0.37206516191232347</v>
      </c>
      <c r="DU60" s="2">
        <f t="shared" si="298"/>
        <v>0.35178670144877322</v>
      </c>
      <c r="DV60" s="2">
        <f t="shared" si="299"/>
        <v>2.7682393382885948E-2</v>
      </c>
      <c r="DW60" s="2">
        <f t="shared" si="300"/>
        <v>0</v>
      </c>
      <c r="DX60" s="2">
        <f t="shared" si="301"/>
        <v>4.9727759642021342E-4</v>
      </c>
      <c r="DZ60" s="2">
        <f t="shared" ref="DZ60:DZ63" si="405">DN60*2</f>
        <v>1.7211904484510714</v>
      </c>
      <c r="EA60" s="2">
        <f t="shared" ref="EA60:EA63" si="406">DO60*2</f>
        <v>1.2342256128645663E-2</v>
      </c>
      <c r="EB60" s="2">
        <f t="shared" ref="EB60:EB63" si="407">DP60*3</f>
        <v>0.20154947469969159</v>
      </c>
      <c r="EC60" s="2">
        <f t="shared" ref="EC60:EC63" si="408">DQ60*3</f>
        <v>1.8215579979178977E-2</v>
      </c>
      <c r="ED60" s="2">
        <f t="shared" ref="ED60:ED63" si="409">DR60</f>
        <v>3.8854024990654358E-2</v>
      </c>
      <c r="EE60" s="2">
        <f t="shared" ref="EE60:EE63" si="410">DS60</f>
        <v>1.3694235098580317E-3</v>
      </c>
      <c r="EF60" s="2">
        <f t="shared" ref="EF60:EF63" si="411">DT60</f>
        <v>0.37206516191232347</v>
      </c>
      <c r="EG60" s="2">
        <f t="shared" ref="EG60:EG63" si="412">DU60</f>
        <v>0.35178670144877322</v>
      </c>
      <c r="EH60" s="2">
        <f t="shared" ref="EH60:EH63" si="413">DV60</f>
        <v>2.7682393382885948E-2</v>
      </c>
      <c r="EI60" s="2">
        <f t="shared" ref="EI60:EI63" si="414">DW60</f>
        <v>0</v>
      </c>
      <c r="EJ60" s="2">
        <f t="shared" ref="EJ60:EJ63" si="415">DX60</f>
        <v>4.9727759642021342E-4</v>
      </c>
      <c r="EL60" s="16">
        <f>SUM(DZ60:EJ60)</f>
        <v>2.7455527420995032</v>
      </c>
      <c r="EN60" s="14">
        <f>6/EL60</f>
        <v>2.1853523001025454</v>
      </c>
      <c r="EP60" s="16">
        <f t="shared" si="267"/>
        <v>1.8807037527185402</v>
      </c>
      <c r="EQ60" s="16">
        <f t="shared" si="268"/>
        <v>1.3486088909595269E-2</v>
      </c>
      <c r="ER60" s="16">
        <f t="shared" si="269"/>
        <v>0.29363773874628718</v>
      </c>
      <c r="ES60" s="16">
        <f t="shared" si="270"/>
        <v>2.6538306403467101E-2</v>
      </c>
      <c r="ET60" s="16">
        <f t="shared" si="271"/>
        <v>8.4909732881568278E-2</v>
      </c>
      <c r="EU60" s="16">
        <f t="shared" si="272"/>
        <v>2.9926728170827505E-3</v>
      </c>
      <c r="EV60" s="16">
        <f t="shared" si="273"/>
        <v>0.81309345737312211</v>
      </c>
      <c r="EW60" s="16">
        <f t="shared" si="274"/>
        <v>0.76877787715656398</v>
      </c>
      <c r="EX60" s="16">
        <f t="shared" si="275"/>
        <v>0.12099156410326659</v>
      </c>
      <c r="EY60" s="16">
        <f t="shared" si="276"/>
        <v>0</v>
      </c>
      <c r="EZ60" s="16">
        <f>DX60*$EN60</f>
        <v>1.0867267391263787E-3</v>
      </c>
      <c r="FB60" s="14">
        <f t="shared" si="302"/>
        <v>-6.6198294961207615</v>
      </c>
      <c r="FC60" s="4">
        <f t="shared" si="303"/>
        <v>1.4296597329170306</v>
      </c>
      <c r="FD60" s="4">
        <f t="shared" si="304"/>
        <v>2.1631353298982638</v>
      </c>
      <c r="FE60" s="4">
        <f t="shared" si="305"/>
        <v>2.1631353298982638</v>
      </c>
      <c r="FG60" s="4">
        <f t="shared" si="306"/>
        <v>2.4316815591616114</v>
      </c>
    </row>
    <row r="61" spans="1:163" x14ac:dyDescent="0.2">
      <c r="A61" s="24" t="s">
        <v>178</v>
      </c>
      <c r="B61" s="60" t="s">
        <v>182</v>
      </c>
      <c r="C61" s="138">
        <v>41.011111111111113</v>
      </c>
      <c r="D61" s="98">
        <v>3.3333333333333331E-3</v>
      </c>
      <c r="E61" s="148">
        <f t="shared" si="379"/>
        <v>1.1487069410579916E-2</v>
      </c>
      <c r="F61" s="138">
        <v>0</v>
      </c>
      <c r="G61" s="138">
        <v>9.6233333333333331</v>
      </c>
      <c r="H61" s="138">
        <v>0.15000000000000002</v>
      </c>
      <c r="I61" s="138">
        <v>49.32</v>
      </c>
      <c r="J61" s="150">
        <f t="shared" si="380"/>
        <v>3.9446645796959189E-2</v>
      </c>
      <c r="K61" s="98"/>
      <c r="L61" s="98"/>
      <c r="M61" s="138">
        <v>0.38666666666666671</v>
      </c>
      <c r="N61" s="141">
        <v>60.796010066989346</v>
      </c>
      <c r="O61" s="142">
        <v>281.92354624008607</v>
      </c>
      <c r="P61" s="11"/>
      <c r="Q61" s="140">
        <v>51.908333333333339</v>
      </c>
      <c r="R61" s="140">
        <v>0.38749999999999996</v>
      </c>
      <c r="S61" s="140">
        <v>6.6516666666666673</v>
      </c>
      <c r="T61" s="140">
        <v>0.97666666666666657</v>
      </c>
      <c r="U61" s="140">
        <v>2.6675000000000004</v>
      </c>
      <c r="V61" s="140">
        <v>8.8333333333333319E-2</v>
      </c>
      <c r="W61" s="140">
        <v>14.988333333333332</v>
      </c>
      <c r="X61" s="140">
        <v>19.845000000000002</v>
      </c>
      <c r="Y61" s="140">
        <v>1.6575</v>
      </c>
      <c r="Z61" s="100"/>
      <c r="AA61" s="140">
        <v>3.666666666666666E-2</v>
      </c>
      <c r="AC61" s="139">
        <v>55.061</v>
      </c>
      <c r="AD61" s="139">
        <v>11.813000000000001</v>
      </c>
      <c r="AE61" s="11"/>
      <c r="AF61" s="83">
        <f t="shared" si="381"/>
        <v>0.12581615515021205</v>
      </c>
      <c r="AG61" s="22">
        <f t="shared" si="278"/>
        <v>2.0862442401300223E-4</v>
      </c>
      <c r="AH61" s="126">
        <f t="shared" si="382"/>
        <v>933.52381914321154</v>
      </c>
      <c r="AI61" s="126">
        <f t="shared" si="307"/>
        <v>933.37381816714628</v>
      </c>
      <c r="AJ61" s="126">
        <f t="shared" si="308"/>
        <v>0.15000097606525742</v>
      </c>
      <c r="AK61" s="12"/>
      <c r="AL61" s="25">
        <f t="shared" si="383"/>
        <v>1.6209945153949934</v>
      </c>
      <c r="AN61" s="2">
        <v>15.999000000000001</v>
      </c>
      <c r="AO61" s="2">
        <v>28.085000000000001</v>
      </c>
      <c r="AP61" s="2">
        <v>47.866999999999997</v>
      </c>
      <c r="AQ61" s="2">
        <v>26.9815386</v>
      </c>
      <c r="AR61" s="2">
        <v>51.996099999999998</v>
      </c>
      <c r="AS61" s="2">
        <v>55.844999999999999</v>
      </c>
      <c r="AT61" s="2">
        <v>54.938045000000002</v>
      </c>
      <c r="AU61" s="2">
        <v>24.305</v>
      </c>
      <c r="AV61" s="2">
        <v>40.078000000000003</v>
      </c>
      <c r="AW61" s="2">
        <v>22.989769280000001</v>
      </c>
      <c r="AX61" s="2">
        <v>39.098300000000002</v>
      </c>
      <c r="AY61" s="2">
        <v>58.693399999999997</v>
      </c>
      <c r="BA61" s="2">
        <f>AN61*2+AO61</f>
        <v>60.082999999999998</v>
      </c>
      <c r="BB61" s="2">
        <f>AN61*2+AP61</f>
        <v>79.864999999999995</v>
      </c>
      <c r="BC61" s="2">
        <f>AQ61*2+AN61*3</f>
        <v>101.9600772</v>
      </c>
      <c r="BD61" s="2">
        <f>AR61*2+AN61*3</f>
        <v>151.98919999999998</v>
      </c>
      <c r="BE61" s="2">
        <f>AS61+AN61</f>
        <v>71.843999999999994</v>
      </c>
      <c r="BF61" s="2">
        <f>AT61+AN61</f>
        <v>70.937044999999998</v>
      </c>
      <c r="BG61" s="2">
        <f>AU61+AN61</f>
        <v>40.304000000000002</v>
      </c>
      <c r="BH61" s="2">
        <f>AV61+AN61</f>
        <v>56.077000000000005</v>
      </c>
      <c r="BI61" s="2">
        <f>AW61*2+AN61</f>
        <v>61.978538560000004</v>
      </c>
      <c r="BJ61" s="2">
        <f>AX61*2+AN61</f>
        <v>94.195599999999999</v>
      </c>
      <c r="BK61" s="2">
        <f>AY61+AN61</f>
        <v>74.692399999999992</v>
      </c>
      <c r="BM61" s="2">
        <f t="shared" si="279"/>
        <v>0.68257429074964826</v>
      </c>
      <c r="BN61" s="2">
        <f t="shared" si="280"/>
        <v>4.1737098019574699E-5</v>
      </c>
      <c r="BO61" s="2">
        <f t="shared" si="281"/>
        <v>1.1266242362731279E-4</v>
      </c>
      <c r="BP61" s="2">
        <f t="shared" si="282"/>
        <v>0</v>
      </c>
      <c r="BQ61" s="2">
        <f t="shared" si="283"/>
        <v>0.13394762726648479</v>
      </c>
      <c r="BR61" s="2">
        <f t="shared" si="284"/>
        <v>2.1145510078690202E-3</v>
      </c>
      <c r="BS61" s="2">
        <f t="shared" si="285"/>
        <v>1.2236998809051209</v>
      </c>
      <c r="BT61" s="2">
        <f t="shared" si="286"/>
        <v>7.0343716313210733E-4</v>
      </c>
      <c r="BU61" s="2">
        <f t="shared" si="287"/>
        <v>0</v>
      </c>
      <c r="BV61" s="2">
        <f t="shared" si="288"/>
        <v>0</v>
      </c>
      <c r="BW61" s="2">
        <f t="shared" si="289"/>
        <v>5.1767872858104269E-3</v>
      </c>
      <c r="BY61" s="2">
        <f t="shared" si="384"/>
        <v>0.68257429074964826</v>
      </c>
      <c r="BZ61" s="2">
        <f t="shared" si="385"/>
        <v>4.1737098019574699E-5</v>
      </c>
      <c r="CA61" s="2">
        <f t="shared" si="386"/>
        <v>2.2532484725462559E-4</v>
      </c>
      <c r="CB61" s="2">
        <f t="shared" si="387"/>
        <v>0</v>
      </c>
      <c r="CC61" s="2">
        <f t="shared" si="388"/>
        <v>0.13394762726648479</v>
      </c>
      <c r="CD61" s="2">
        <f t="shared" si="389"/>
        <v>2.1145510078690202E-3</v>
      </c>
      <c r="CE61" s="2">
        <f t="shared" si="390"/>
        <v>1.2236998809051209</v>
      </c>
      <c r="CF61" s="2">
        <f t="shared" si="391"/>
        <v>7.0343716313210733E-4</v>
      </c>
      <c r="CG61" s="2">
        <f t="shared" si="392"/>
        <v>0</v>
      </c>
      <c r="CH61" s="2">
        <f t="shared" si="393"/>
        <v>0</v>
      </c>
      <c r="CI61" s="2">
        <f>BW61</f>
        <v>5.1767872858104269E-3</v>
      </c>
      <c r="CK61" s="2">
        <f t="shared" si="394"/>
        <v>1.3651485814992965</v>
      </c>
      <c r="CL61" s="2">
        <f t="shared" si="395"/>
        <v>8.3474196039149399E-5</v>
      </c>
      <c r="CM61" s="2">
        <f t="shared" si="396"/>
        <v>3.379872708819384E-4</v>
      </c>
      <c r="CN61" s="2">
        <f t="shared" si="397"/>
        <v>0</v>
      </c>
      <c r="CO61" s="2">
        <f t="shared" si="398"/>
        <v>0.13394762726648479</v>
      </c>
      <c r="CP61" s="2">
        <f t="shared" si="399"/>
        <v>2.1145510078690202E-3</v>
      </c>
      <c r="CQ61" s="2">
        <f t="shared" si="400"/>
        <v>1.2236998809051209</v>
      </c>
      <c r="CR61" s="2">
        <f t="shared" si="401"/>
        <v>7.0343716313210733E-4</v>
      </c>
      <c r="CS61" s="2">
        <f t="shared" si="402"/>
        <v>0</v>
      </c>
      <c r="CT61" s="2">
        <f t="shared" si="403"/>
        <v>0</v>
      </c>
      <c r="CU61" s="2">
        <f t="shared" si="404"/>
        <v>5.1767872858104269E-3</v>
      </c>
      <c r="CW61" s="14">
        <f>SUM(CK61:CU61)</f>
        <v>2.7312123265946351</v>
      </c>
      <c r="CY61" s="14">
        <f>4/CW61</f>
        <v>1.4645510936849537</v>
      </c>
      <c r="DA61" s="16">
        <f t="shared" si="243"/>
        <v>0.99966492403862894</v>
      </c>
      <c r="DB61" s="16">
        <f t="shared" si="244"/>
        <v>6.1126112551804245E-5</v>
      </c>
      <c r="DC61" s="16">
        <f t="shared" si="245"/>
        <v>3.2999975148115707E-4</v>
      </c>
      <c r="DD61" s="16">
        <f t="shared" si="246"/>
        <v>0</v>
      </c>
      <c r="DE61" s="16">
        <f t="shared" si="247"/>
        <v>0.19617314400963484</v>
      </c>
      <c r="DF61" s="16">
        <f t="shared" si="248"/>
        <v>3.0968679912271946E-3</v>
      </c>
      <c r="DG61" s="16">
        <f t="shared" si="249"/>
        <v>1.7921709989217425</v>
      </c>
      <c r="DH61" s="16">
        <f t="shared" si="250"/>
        <v>1.0302196666037689E-3</v>
      </c>
      <c r="DI61" s="16">
        <f t="shared" si="251"/>
        <v>0</v>
      </c>
      <c r="DJ61" s="16">
        <f t="shared" si="252"/>
        <v>0</v>
      </c>
      <c r="DK61" s="16">
        <f t="shared" si="253"/>
        <v>7.581669481208024E-3</v>
      </c>
      <c r="DL61" s="16">
        <f t="shared" si="290"/>
        <v>0.9013384354478895</v>
      </c>
      <c r="DN61" s="2">
        <f t="shared" si="291"/>
        <v>0.86394376667831729</v>
      </c>
      <c r="DO61" s="2">
        <f t="shared" si="292"/>
        <v>4.8519376447755582E-3</v>
      </c>
      <c r="DP61" s="2">
        <f t="shared" si="293"/>
        <v>6.5237952435236751E-2</v>
      </c>
      <c r="DQ61" s="2">
        <f t="shared" si="294"/>
        <v>6.4258951732535383E-3</v>
      </c>
      <c r="DR61" s="2">
        <f t="shared" si="295"/>
        <v>3.7129057402149113E-2</v>
      </c>
      <c r="DS61" s="2">
        <f t="shared" si="296"/>
        <v>1.2452355935228671E-3</v>
      </c>
      <c r="DT61" s="2">
        <f t="shared" si="297"/>
        <v>0.3718820299060473</v>
      </c>
      <c r="DU61" s="2">
        <f t="shared" si="298"/>
        <v>0.35388840344526279</v>
      </c>
      <c r="DV61" s="2">
        <f t="shared" si="299"/>
        <v>2.6743128161942898E-2</v>
      </c>
      <c r="DW61" s="2">
        <f t="shared" si="300"/>
        <v>0</v>
      </c>
      <c r="DX61" s="2">
        <f t="shared" si="301"/>
        <v>4.9090224261995417E-4</v>
      </c>
      <c r="DZ61" s="2">
        <f t="shared" si="405"/>
        <v>1.7278875333566346</v>
      </c>
      <c r="EA61" s="2">
        <f t="shared" si="406"/>
        <v>9.7038752895511164E-3</v>
      </c>
      <c r="EB61" s="2">
        <f t="shared" si="407"/>
        <v>0.19571385730571025</v>
      </c>
      <c r="EC61" s="2">
        <f t="shared" si="408"/>
        <v>1.9277685519760616E-2</v>
      </c>
      <c r="ED61" s="2">
        <f t="shared" si="409"/>
        <v>3.7129057402149113E-2</v>
      </c>
      <c r="EE61" s="2">
        <f t="shared" si="410"/>
        <v>1.2452355935228671E-3</v>
      </c>
      <c r="EF61" s="2">
        <f t="shared" si="411"/>
        <v>0.3718820299060473</v>
      </c>
      <c r="EG61" s="2">
        <f t="shared" si="412"/>
        <v>0.35388840344526279</v>
      </c>
      <c r="EH61" s="2">
        <f t="shared" si="413"/>
        <v>2.6743128161942898E-2</v>
      </c>
      <c r="EI61" s="2">
        <f t="shared" si="414"/>
        <v>0</v>
      </c>
      <c r="EJ61" s="2">
        <f t="shared" si="415"/>
        <v>4.9090224261995417E-4</v>
      </c>
      <c r="EL61" s="16">
        <f>SUM(DZ61:EJ61)</f>
        <v>2.7439617082232015</v>
      </c>
      <c r="EN61" s="14">
        <f>6/EL61</f>
        <v>2.1866194349647765</v>
      </c>
      <c r="EP61" s="16">
        <f t="shared" si="267"/>
        <v>1.889116230935483</v>
      </c>
      <c r="EQ61" s="16">
        <f t="shared" si="268"/>
        <v>1.0609341151303459E-2</v>
      </c>
      <c r="ER61" s="16">
        <f t="shared" si="269"/>
        <v>0.28530114938439272</v>
      </c>
      <c r="ES61" s="16">
        <f t="shared" si="270"/>
        <v>2.8101974545765074E-2</v>
      </c>
      <c r="ET61" s="16">
        <f t="shared" si="271"/>
        <v>8.1187118517462048E-2</v>
      </c>
      <c r="EU61" s="16">
        <f t="shared" si="272"/>
        <v>2.7228563499069997E-3</v>
      </c>
      <c r="EV61" s="16">
        <f t="shared" si="273"/>
        <v>0.81316447410671522</v>
      </c>
      <c r="EW61" s="16">
        <f t="shared" si="274"/>
        <v>0.77381926078206742</v>
      </c>
      <c r="EX61" s="16">
        <f t="shared" si="275"/>
        <v>0.11695408758131637</v>
      </c>
      <c r="EY61" s="16">
        <f t="shared" si="276"/>
        <v>0</v>
      </c>
      <c r="EZ61" s="16">
        <f>DX61*$EN61</f>
        <v>1.0734163843805857E-3</v>
      </c>
      <c r="FB61" s="14">
        <f t="shared" si="302"/>
        <v>-6.6215662850694219</v>
      </c>
      <c r="FC61" s="4">
        <f t="shared" si="303"/>
        <v>0.64524631686633493</v>
      </c>
      <c r="FD61" s="4">
        <f t="shared" si="304"/>
        <v>1.6209945153949934</v>
      </c>
      <c r="FE61" s="4">
        <f t="shared" si="305"/>
        <v>1.6209945153949934</v>
      </c>
      <c r="FG61" s="4">
        <f t="shared" si="306"/>
        <v>1.5721148762610677</v>
      </c>
    </row>
    <row r="62" spans="1:163" x14ac:dyDescent="0.2">
      <c r="A62" s="24" t="s">
        <v>179</v>
      </c>
      <c r="B62" s="60" t="s">
        <v>182</v>
      </c>
      <c r="C62" s="138">
        <v>41.002499999999998</v>
      </c>
      <c r="D62" s="98"/>
      <c r="E62" s="148">
        <f t="shared" si="379"/>
        <v>2.3924318268848509E-2</v>
      </c>
      <c r="F62" s="138">
        <v>0</v>
      </c>
      <c r="G62" s="138">
        <v>9.8449999999999989</v>
      </c>
      <c r="H62" s="138">
        <v>0.15000000000000002</v>
      </c>
      <c r="I62" s="138">
        <v>49.38</v>
      </c>
      <c r="J62" s="150">
        <f t="shared" si="380"/>
        <v>3.72360632111376E-2</v>
      </c>
      <c r="K62" s="98"/>
      <c r="L62" s="98"/>
      <c r="M62" s="138">
        <v>0.38</v>
      </c>
      <c r="N62" s="141">
        <v>126.62090236689373</v>
      </c>
      <c r="O62" s="142">
        <v>266.12460391532585</v>
      </c>
      <c r="P62" s="11"/>
      <c r="Q62" s="140">
        <v>51.915999999999997</v>
      </c>
      <c r="R62" s="140">
        <v>0.45599999999999996</v>
      </c>
      <c r="S62" s="140">
        <v>6.8420000000000005</v>
      </c>
      <c r="T62" s="140">
        <v>0.86799999999999999</v>
      </c>
      <c r="U62" s="140">
        <v>2.964</v>
      </c>
      <c r="V62" s="140">
        <v>0.1</v>
      </c>
      <c r="W62" s="140">
        <v>15.406000000000001</v>
      </c>
      <c r="X62" s="140">
        <v>19.115999999999996</v>
      </c>
      <c r="Y62" s="140">
        <v>1.7259999999999998</v>
      </c>
      <c r="Z62" s="100"/>
      <c r="AA62" s="140">
        <v>2.6000000000000002E-2</v>
      </c>
      <c r="AC62" s="139">
        <v>55.405999999999992</v>
      </c>
      <c r="AD62" s="139">
        <v>10.994</v>
      </c>
      <c r="AE62" s="11"/>
      <c r="AF62" s="83">
        <f t="shared" si="381"/>
        <v>0.11747452775498794</v>
      </c>
      <c r="AG62" s="22">
        <f t="shared" si="278"/>
        <v>4.3180013480216062E-4</v>
      </c>
      <c r="AH62" s="126">
        <f t="shared" si="382"/>
        <v>1037.8912604818202</v>
      </c>
      <c r="AI62" s="126">
        <f t="shared" si="307"/>
        <v>1037.7412599992431</v>
      </c>
      <c r="AJ62" s="126">
        <f t="shared" si="308"/>
        <v>0.15000048257707022</v>
      </c>
      <c r="AK62" s="12"/>
      <c r="AL62" s="25">
        <f t="shared" si="383"/>
        <v>2.9985208341919902</v>
      </c>
      <c r="AN62" s="2">
        <v>15.999000000000001</v>
      </c>
      <c r="AO62" s="2">
        <v>28.085000000000001</v>
      </c>
      <c r="AP62" s="2">
        <v>47.866999999999997</v>
      </c>
      <c r="AQ62" s="2">
        <v>26.9815386</v>
      </c>
      <c r="AR62" s="2">
        <v>51.996099999999998</v>
      </c>
      <c r="AS62" s="2">
        <v>55.844999999999999</v>
      </c>
      <c r="AT62" s="2">
        <v>54.938045000000002</v>
      </c>
      <c r="AU62" s="2">
        <v>24.305</v>
      </c>
      <c r="AV62" s="2">
        <v>40.078000000000003</v>
      </c>
      <c r="AW62" s="2">
        <v>22.989769280000001</v>
      </c>
      <c r="AX62" s="2">
        <v>39.098300000000002</v>
      </c>
      <c r="AY62" s="2">
        <v>58.693399999999997</v>
      </c>
      <c r="BA62" s="2">
        <f t="shared" ref="BA62" si="416">AN62*2+AO62</f>
        <v>60.082999999999998</v>
      </c>
      <c r="BB62" s="2">
        <f t="shared" ref="BB62" si="417">AN62*2+AP62</f>
        <v>79.864999999999995</v>
      </c>
      <c r="BC62" s="2">
        <f t="shared" ref="BC62" si="418">AQ62*2+AN62*3</f>
        <v>101.9600772</v>
      </c>
      <c r="BD62" s="2">
        <f t="shared" ref="BD62" si="419">AR62*2+AN62*3</f>
        <v>151.98919999999998</v>
      </c>
      <c r="BE62" s="2">
        <f t="shared" ref="BE62" si="420">AS62+AN62</f>
        <v>71.843999999999994</v>
      </c>
      <c r="BF62" s="2">
        <f t="shared" ref="BF62" si="421">AT62+AN62</f>
        <v>70.937044999999998</v>
      </c>
      <c r="BG62" s="2">
        <f t="shared" ref="BG62" si="422">AU62+AN62</f>
        <v>40.304000000000002</v>
      </c>
      <c r="BH62" s="2">
        <f t="shared" ref="BH62" si="423">AV62+AN62</f>
        <v>56.077000000000005</v>
      </c>
      <c r="BI62" s="2">
        <f t="shared" ref="BI62" si="424">AW62*2+AN62</f>
        <v>61.978538560000004</v>
      </c>
      <c r="BJ62" s="2">
        <f t="shared" ref="BJ62" si="425">AX62*2+AN62</f>
        <v>94.195599999999999</v>
      </c>
      <c r="BK62" s="2">
        <f t="shared" ref="BK62" si="426">AY62+AN62</f>
        <v>74.692399999999992</v>
      </c>
      <c r="BM62" s="2">
        <f t="shared" si="279"/>
        <v>0.68243097049082102</v>
      </c>
      <c r="BN62" s="2">
        <f t="shared" si="280"/>
        <v>0</v>
      </c>
      <c r="BO62" s="2">
        <f t="shared" si="281"/>
        <v>2.3464397954426529E-4</v>
      </c>
      <c r="BP62" s="2">
        <f t="shared" si="282"/>
        <v>0</v>
      </c>
      <c r="BQ62" s="2">
        <f t="shared" si="283"/>
        <v>0.13703301597906575</v>
      </c>
      <c r="BR62" s="2">
        <f t="shared" si="284"/>
        <v>2.1145510078690202E-3</v>
      </c>
      <c r="BS62" s="2">
        <f t="shared" si="285"/>
        <v>1.2251885668916236</v>
      </c>
      <c r="BT62" s="2">
        <f t="shared" si="286"/>
        <v>6.640166772676426E-4</v>
      </c>
      <c r="BU62" s="2">
        <f t="shared" si="287"/>
        <v>0</v>
      </c>
      <c r="BV62" s="2">
        <f t="shared" si="288"/>
        <v>0</v>
      </c>
      <c r="BW62" s="2">
        <f t="shared" si="289"/>
        <v>5.0875323326067985E-3</v>
      </c>
      <c r="BY62" s="2">
        <f t="shared" si="384"/>
        <v>0.68243097049082102</v>
      </c>
      <c r="BZ62" s="2">
        <f t="shared" si="385"/>
        <v>0</v>
      </c>
      <c r="CA62" s="2">
        <f t="shared" si="386"/>
        <v>4.6928795908853058E-4</v>
      </c>
      <c r="CB62" s="2">
        <f t="shared" si="387"/>
        <v>0</v>
      </c>
      <c r="CC62" s="2">
        <f t="shared" si="388"/>
        <v>0.13703301597906575</v>
      </c>
      <c r="CD62" s="2">
        <f t="shared" si="389"/>
        <v>2.1145510078690202E-3</v>
      </c>
      <c r="CE62" s="2">
        <f t="shared" si="390"/>
        <v>1.2251885668916236</v>
      </c>
      <c r="CF62" s="2">
        <f t="shared" si="391"/>
        <v>6.640166772676426E-4</v>
      </c>
      <c r="CG62" s="2">
        <f t="shared" si="392"/>
        <v>0</v>
      </c>
      <c r="CH62" s="2">
        <f t="shared" si="393"/>
        <v>0</v>
      </c>
      <c r="CI62" s="2">
        <f t="shared" ref="CI62" si="427">BW62</f>
        <v>5.0875323326067985E-3</v>
      </c>
      <c r="CK62" s="2">
        <f t="shared" si="394"/>
        <v>1.364861940981642</v>
      </c>
      <c r="CL62" s="2">
        <f t="shared" si="395"/>
        <v>0</v>
      </c>
      <c r="CM62" s="2">
        <f t="shared" si="396"/>
        <v>7.0393193863279593E-4</v>
      </c>
      <c r="CN62" s="2">
        <f t="shared" si="397"/>
        <v>0</v>
      </c>
      <c r="CO62" s="2">
        <f t="shared" si="398"/>
        <v>0.13703301597906575</v>
      </c>
      <c r="CP62" s="2">
        <f t="shared" si="399"/>
        <v>2.1145510078690202E-3</v>
      </c>
      <c r="CQ62" s="2">
        <f t="shared" si="400"/>
        <v>1.2251885668916236</v>
      </c>
      <c r="CR62" s="2">
        <f t="shared" si="401"/>
        <v>6.640166772676426E-4</v>
      </c>
      <c r="CS62" s="2">
        <f t="shared" si="402"/>
        <v>0</v>
      </c>
      <c r="CT62" s="2">
        <f t="shared" si="403"/>
        <v>0</v>
      </c>
      <c r="CU62" s="2">
        <f t="shared" si="404"/>
        <v>5.0875323326067985E-3</v>
      </c>
      <c r="CW62" s="14">
        <f t="shared" ref="CW62" si="428">SUM(CK62:CU62)</f>
        <v>2.7356535558087081</v>
      </c>
      <c r="CY62" s="14">
        <f t="shared" ref="CY62" si="429">4/CW62</f>
        <v>1.4621734508401698</v>
      </c>
      <c r="DA62" s="16">
        <f t="shared" si="243"/>
        <v>0.99783244708276986</v>
      </c>
      <c r="DB62" s="16">
        <f t="shared" si="244"/>
        <v>0</v>
      </c>
      <c r="DC62" s="16">
        <f t="shared" si="245"/>
        <v>6.8618039457821721E-4</v>
      </c>
      <c r="DD62" s="16">
        <f t="shared" si="246"/>
        <v>0</v>
      </c>
      <c r="DE62" s="16">
        <f t="shared" si="247"/>
        <v>0.20036603785314669</v>
      </c>
      <c r="DF62" s="16">
        <f t="shared" si="248"/>
        <v>3.0918403441534043E-3</v>
      </c>
      <c r="DG62" s="16">
        <f t="shared" si="249"/>
        <v>1.7914381947818474</v>
      </c>
      <c r="DH62" s="16">
        <f t="shared" si="250"/>
        <v>9.7090755641585232E-4</v>
      </c>
      <c r="DI62" s="16">
        <f t="shared" si="251"/>
        <v>0</v>
      </c>
      <c r="DJ62" s="16">
        <f t="shared" si="252"/>
        <v>0</v>
      </c>
      <c r="DK62" s="16">
        <f t="shared" si="253"/>
        <v>7.4388547070286214E-3</v>
      </c>
      <c r="DL62" s="16">
        <f t="shared" si="290"/>
        <v>0.89940475345406878</v>
      </c>
      <c r="DN62" s="2">
        <f t="shared" si="291"/>
        <v>0.86407136794101491</v>
      </c>
      <c r="DO62" s="2">
        <f t="shared" si="292"/>
        <v>5.7096350090778186E-3</v>
      </c>
      <c r="DP62" s="2">
        <f t="shared" si="293"/>
        <v>6.7104696150622381E-2</v>
      </c>
      <c r="DQ62" s="2">
        <f t="shared" si="294"/>
        <v>5.7109320925434184E-3</v>
      </c>
      <c r="DR62" s="2">
        <f t="shared" si="295"/>
        <v>4.1256054785368299E-2</v>
      </c>
      <c r="DS62" s="2">
        <f t="shared" si="296"/>
        <v>1.4097006719126799E-3</v>
      </c>
      <c r="DT62" s="2">
        <f t="shared" si="297"/>
        <v>0.3822449384676459</v>
      </c>
      <c r="DU62" s="2">
        <f t="shared" si="298"/>
        <v>0.34088842127788566</v>
      </c>
      <c r="DV62" s="2">
        <f t="shared" si="299"/>
        <v>2.7848349446463611E-2</v>
      </c>
      <c r="DW62" s="2">
        <f t="shared" si="300"/>
        <v>0</v>
      </c>
      <c r="DX62" s="2">
        <f t="shared" si="301"/>
        <v>3.4809431749414942E-4</v>
      </c>
      <c r="DZ62" s="2">
        <f t="shared" si="405"/>
        <v>1.7281427358820298</v>
      </c>
      <c r="EA62" s="2">
        <f t="shared" si="406"/>
        <v>1.1419270018155637E-2</v>
      </c>
      <c r="EB62" s="2">
        <f t="shared" si="407"/>
        <v>0.20131408845186716</v>
      </c>
      <c r="EC62" s="2">
        <f t="shared" si="408"/>
        <v>1.7132796277630254E-2</v>
      </c>
      <c r="ED62" s="2">
        <f t="shared" si="409"/>
        <v>4.1256054785368299E-2</v>
      </c>
      <c r="EE62" s="2">
        <f t="shared" si="410"/>
        <v>1.4097006719126799E-3</v>
      </c>
      <c r="EF62" s="2">
        <f t="shared" si="411"/>
        <v>0.3822449384676459</v>
      </c>
      <c r="EG62" s="2">
        <f t="shared" si="412"/>
        <v>0.34088842127788566</v>
      </c>
      <c r="EH62" s="2">
        <f t="shared" si="413"/>
        <v>2.7848349446463611E-2</v>
      </c>
      <c r="EI62" s="2">
        <f t="shared" si="414"/>
        <v>0</v>
      </c>
      <c r="EJ62" s="2">
        <f t="shared" si="415"/>
        <v>3.4809431749414942E-4</v>
      </c>
      <c r="EL62" s="16">
        <f t="shared" ref="EL62" si="430">SUM(DZ62:EJ62)</f>
        <v>2.7520044495964524</v>
      </c>
      <c r="EN62" s="14">
        <f t="shared" ref="EN62" si="431">6/EL62</f>
        <v>2.1802290330162171</v>
      </c>
      <c r="EP62" s="16">
        <f t="shared" si="267"/>
        <v>1.8838734829830388</v>
      </c>
      <c r="EQ62" s="16">
        <f t="shared" si="268"/>
        <v>1.2448312014717272E-2</v>
      </c>
      <c r="ER62" s="16">
        <f t="shared" si="269"/>
        <v>0.29260721359863701</v>
      </c>
      <c r="ES62" s="16">
        <f t="shared" si="270"/>
        <v>2.4902279907494437E-2</v>
      </c>
      <c r="ET62" s="16">
        <f t="shared" si="271"/>
        <v>8.9947648430767593E-2</v>
      </c>
      <c r="EU62" s="16">
        <f t="shared" si="272"/>
        <v>3.0734703327664936E-3</v>
      </c>
      <c r="EV62" s="16">
        <f t="shared" si="273"/>
        <v>0.83338151257065907</v>
      </c>
      <c r="EW62" s="16">
        <f t="shared" si="274"/>
        <v>0.74321483308910952</v>
      </c>
      <c r="EX62" s="16">
        <f t="shared" si="275"/>
        <v>0.12143155996952212</v>
      </c>
      <c r="EY62" s="16">
        <f t="shared" si="276"/>
        <v>0</v>
      </c>
      <c r="EZ62" s="16">
        <f>DX62*$EN62</f>
        <v>7.589253372287095E-4</v>
      </c>
      <c r="FB62" s="14">
        <f t="shared" si="302"/>
        <v>-6.6405091654469794</v>
      </c>
      <c r="FC62" s="4">
        <f t="shared" si="303"/>
        <v>2.5895069047566568</v>
      </c>
      <c r="FD62" s="4">
        <f t="shared" si="304"/>
        <v>2.9985208341919902</v>
      </c>
      <c r="FE62" s="4">
        <f t="shared" si="305"/>
        <v>2.9985208341919902</v>
      </c>
      <c r="FG62" s="4">
        <f t="shared" si="306"/>
        <v>3.6449584839156395</v>
      </c>
    </row>
    <row r="63" spans="1:163" x14ac:dyDescent="0.2">
      <c r="A63" s="24" t="s">
        <v>180</v>
      </c>
      <c r="B63" s="60" t="s">
        <v>182</v>
      </c>
      <c r="C63" s="138">
        <v>40.9925</v>
      </c>
      <c r="D63" s="98"/>
      <c r="E63" s="148">
        <f t="shared" si="379"/>
        <v>1.1552464974263961E-2</v>
      </c>
      <c r="F63" s="138">
        <v>0</v>
      </c>
      <c r="G63" s="138">
        <v>9.875</v>
      </c>
      <c r="H63" s="138">
        <v>0.15</v>
      </c>
      <c r="I63" s="138">
        <v>49.067499999999995</v>
      </c>
      <c r="J63" s="150">
        <f t="shared" si="380"/>
        <v>4.0335776478971609E-2</v>
      </c>
      <c r="K63" s="98"/>
      <c r="L63" s="98"/>
      <c r="M63" s="138">
        <v>0.37</v>
      </c>
      <c r="N63" s="141">
        <v>61.142120045606681</v>
      </c>
      <c r="O63" s="142">
        <v>288.27812645544952</v>
      </c>
      <c r="P63" s="11"/>
      <c r="Q63" s="140">
        <v>51.935000000000002</v>
      </c>
      <c r="R63" s="140">
        <v>0.40666666666666668</v>
      </c>
      <c r="S63" s="140">
        <v>6.57</v>
      </c>
      <c r="T63" s="140">
        <v>0.8566666666666668</v>
      </c>
      <c r="U63" s="140">
        <v>2.7083333333333335</v>
      </c>
      <c r="V63" s="140">
        <v>8.5000000000000006E-2</v>
      </c>
      <c r="W63" s="140">
        <v>14.97</v>
      </c>
      <c r="X63" s="140">
        <v>20.078333333333333</v>
      </c>
      <c r="Y63" s="140">
        <v>1.5883333333333332</v>
      </c>
      <c r="Z63" s="100"/>
      <c r="AA63" s="140">
        <v>1.8333333333333333E-2</v>
      </c>
      <c r="AC63" s="139">
        <v>56.898333333333333</v>
      </c>
      <c r="AD63" s="139">
        <v>10.048333333333334</v>
      </c>
      <c r="AE63" s="11"/>
      <c r="AF63" s="83">
        <f t="shared" si="381"/>
        <v>0.10592227215852201</v>
      </c>
      <c r="AG63" s="22">
        <f t="shared" si="278"/>
        <v>2.0303696606691399E-4</v>
      </c>
      <c r="AH63" s="126">
        <f t="shared" si="382"/>
        <v>932.53981691592526</v>
      </c>
      <c r="AI63" s="126">
        <f t="shared" si="307"/>
        <v>932.3897478189906</v>
      </c>
      <c r="AJ63" s="126">
        <f t="shared" si="308"/>
        <v>0.15006909693465786</v>
      </c>
      <c r="AK63" s="12"/>
      <c r="AL63" s="25">
        <f t="shared" si="383"/>
        <v>1.5752300692470356</v>
      </c>
      <c r="AN63" s="2">
        <v>15.999000000000001</v>
      </c>
      <c r="AO63" s="2">
        <v>28.085000000000001</v>
      </c>
      <c r="AP63" s="2">
        <v>47.866999999999997</v>
      </c>
      <c r="AQ63" s="2">
        <v>26.9815386</v>
      </c>
      <c r="AR63" s="2">
        <v>51.996099999999998</v>
      </c>
      <c r="AS63" s="2">
        <v>55.844999999999999</v>
      </c>
      <c r="AT63" s="2">
        <v>54.938045000000002</v>
      </c>
      <c r="AU63" s="2">
        <v>24.305</v>
      </c>
      <c r="AV63" s="2">
        <v>40.078000000000003</v>
      </c>
      <c r="AW63" s="2">
        <v>22.989769280000001</v>
      </c>
      <c r="AX63" s="2">
        <v>39.098300000000002</v>
      </c>
      <c r="AY63" s="2">
        <v>58.693399999999997</v>
      </c>
      <c r="BA63" s="2">
        <f t="shared" ref="BA63" si="432">AN63*2+AO63</f>
        <v>60.082999999999998</v>
      </c>
      <c r="BB63" s="2">
        <f t="shared" ref="BB63" si="433">AN63*2+AP63</f>
        <v>79.864999999999995</v>
      </c>
      <c r="BC63" s="2">
        <f t="shared" ref="BC63" si="434">AQ63*2+AN63*3</f>
        <v>101.9600772</v>
      </c>
      <c r="BD63" s="2">
        <f t="shared" ref="BD63" si="435">AR63*2+AN63*3</f>
        <v>151.98919999999998</v>
      </c>
      <c r="BE63" s="2">
        <f t="shared" ref="BE63" si="436">AS63+AN63</f>
        <v>71.843999999999994</v>
      </c>
      <c r="BF63" s="2">
        <f t="shared" ref="BF63" si="437">AT63+AN63</f>
        <v>70.937044999999998</v>
      </c>
      <c r="BG63" s="2">
        <f t="shared" ref="BG63" si="438">AU63+AN63</f>
        <v>40.304000000000002</v>
      </c>
      <c r="BH63" s="2">
        <f t="shared" ref="BH63" si="439">AV63+AN63</f>
        <v>56.077000000000005</v>
      </c>
      <c r="BI63" s="2">
        <f t="shared" ref="BI63" si="440">AW63*2+AN63</f>
        <v>61.978538560000004</v>
      </c>
      <c r="BJ63" s="2">
        <f t="shared" ref="BJ63" si="441">AX63*2+AN63</f>
        <v>94.195599999999999</v>
      </c>
      <c r="BK63" s="2">
        <f t="shared" ref="BK63" si="442">AY63+AN63</f>
        <v>74.692399999999992</v>
      </c>
      <c r="BM63" s="2">
        <f t="shared" si="279"/>
        <v>0.68226453406121534</v>
      </c>
      <c r="BN63" s="2">
        <f t="shared" si="280"/>
        <v>0</v>
      </c>
      <c r="BO63" s="2">
        <f t="shared" si="281"/>
        <v>1.1330380764231083E-4</v>
      </c>
      <c r="BP63" s="2">
        <f t="shared" si="282"/>
        <v>0</v>
      </c>
      <c r="BQ63" s="2">
        <f t="shared" si="283"/>
        <v>0.13745058738377597</v>
      </c>
      <c r="BR63" s="2">
        <f t="shared" si="284"/>
        <v>2.1145510078690198E-3</v>
      </c>
      <c r="BS63" s="2">
        <f t="shared" si="285"/>
        <v>1.2174349940452558</v>
      </c>
      <c r="BT63" s="2">
        <f t="shared" si="286"/>
        <v>7.1929269538262752E-4</v>
      </c>
      <c r="BU63" s="2">
        <f t="shared" si="287"/>
        <v>0</v>
      </c>
      <c r="BV63" s="2">
        <f t="shared" si="288"/>
        <v>0</v>
      </c>
      <c r="BW63" s="2">
        <f t="shared" si="289"/>
        <v>4.9536499028013563E-3</v>
      </c>
      <c r="BY63" s="2">
        <f t="shared" si="384"/>
        <v>0.68226453406121534</v>
      </c>
      <c r="BZ63" s="2">
        <f t="shared" si="385"/>
        <v>0</v>
      </c>
      <c r="CA63" s="2">
        <f t="shared" si="386"/>
        <v>2.2660761528462165E-4</v>
      </c>
      <c r="CB63" s="2">
        <f t="shared" si="387"/>
        <v>0</v>
      </c>
      <c r="CC63" s="2">
        <f t="shared" si="388"/>
        <v>0.13745058738377597</v>
      </c>
      <c r="CD63" s="2">
        <f t="shared" si="389"/>
        <v>2.1145510078690198E-3</v>
      </c>
      <c r="CE63" s="2">
        <f t="shared" si="390"/>
        <v>1.2174349940452558</v>
      </c>
      <c r="CF63" s="2">
        <f t="shared" si="391"/>
        <v>7.1929269538262752E-4</v>
      </c>
      <c r="CG63" s="2">
        <f t="shared" si="392"/>
        <v>0</v>
      </c>
      <c r="CH63" s="2">
        <f t="shared" si="393"/>
        <v>0</v>
      </c>
      <c r="CI63" s="2">
        <f t="shared" ref="CI63" si="443">BW63</f>
        <v>4.9536499028013563E-3</v>
      </c>
      <c r="CK63" s="2">
        <f t="shared" si="394"/>
        <v>1.3645290681224307</v>
      </c>
      <c r="CL63" s="2">
        <f t="shared" si="395"/>
        <v>0</v>
      </c>
      <c r="CM63" s="2">
        <f t="shared" si="396"/>
        <v>3.3991142292693249E-4</v>
      </c>
      <c r="CN63" s="2">
        <f t="shared" si="397"/>
        <v>0</v>
      </c>
      <c r="CO63" s="2">
        <f t="shared" si="398"/>
        <v>0.13745058738377597</v>
      </c>
      <c r="CP63" s="2">
        <f t="shared" si="399"/>
        <v>2.1145510078690198E-3</v>
      </c>
      <c r="CQ63" s="2">
        <f t="shared" si="400"/>
        <v>1.2174349940452558</v>
      </c>
      <c r="CR63" s="2">
        <f t="shared" si="401"/>
        <v>7.1929269538262752E-4</v>
      </c>
      <c r="CS63" s="2">
        <f t="shared" si="402"/>
        <v>0</v>
      </c>
      <c r="CT63" s="2">
        <f t="shared" si="403"/>
        <v>0</v>
      </c>
      <c r="CU63" s="2">
        <f t="shared" si="404"/>
        <v>4.9536499028013563E-3</v>
      </c>
      <c r="CW63" s="14">
        <f t="shared" ref="CW63" si="444">SUM(CK63:CU63)</f>
        <v>2.7275420545804425</v>
      </c>
      <c r="CY63" s="14">
        <f t="shared" ref="CY63" si="445">4/CW63</f>
        <v>1.4665218427274773</v>
      </c>
      <c r="DA63" s="16">
        <f t="shared" si="243"/>
        <v>1.0005558417190572</v>
      </c>
      <c r="DB63" s="16">
        <f t="shared" si="244"/>
        <v>0</v>
      </c>
      <c r="DC63" s="16">
        <f t="shared" si="245"/>
        <v>3.323250175432826E-4</v>
      </c>
      <c r="DD63" s="16">
        <f t="shared" si="246"/>
        <v>0</v>
      </c>
      <c r="DE63" s="16">
        <f t="shared" si="247"/>
        <v>0.20157428869402927</v>
      </c>
      <c r="DF63" s="16">
        <f t="shared" si="248"/>
        <v>3.1010352406013191E-3</v>
      </c>
      <c r="DG63" s="16">
        <f t="shared" si="249"/>
        <v>1.785395010868164</v>
      </c>
      <c r="DH63" s="16">
        <f t="shared" si="250"/>
        <v>1.054858449092945E-3</v>
      </c>
      <c r="DI63" s="16">
        <f t="shared" si="251"/>
        <v>0</v>
      </c>
      <c r="DJ63" s="16">
        <f t="shared" si="252"/>
        <v>0</v>
      </c>
      <c r="DK63" s="16">
        <f t="shared" si="253"/>
        <v>7.2646357836830336E-3</v>
      </c>
      <c r="DL63" s="16">
        <f t="shared" si="290"/>
        <v>0.89855188565900646</v>
      </c>
      <c r="DN63" s="2">
        <f t="shared" si="291"/>
        <v>0.86438759715726587</v>
      </c>
      <c r="DO63" s="2">
        <f t="shared" si="292"/>
        <v>5.0919259583881134E-3</v>
      </c>
      <c r="DP63" s="2">
        <f t="shared" si="293"/>
        <v>6.4436985341945197E-2</v>
      </c>
      <c r="DQ63" s="2">
        <f t="shared" si="294"/>
        <v>5.6363653908742652E-3</v>
      </c>
      <c r="DR63" s="2">
        <f t="shared" si="295"/>
        <v>3.7697418480782438E-2</v>
      </c>
      <c r="DS63" s="2">
        <f t="shared" si="296"/>
        <v>1.1982455711257779E-3</v>
      </c>
      <c r="DT63" s="2">
        <f t="shared" si="297"/>
        <v>0.37142715363239381</v>
      </c>
      <c r="DU63" s="2">
        <f t="shared" si="298"/>
        <v>0.35804934881205008</v>
      </c>
      <c r="DV63" s="2">
        <f t="shared" si="299"/>
        <v>2.5627150465893998E-2</v>
      </c>
      <c r="DW63" s="2">
        <f t="shared" si="300"/>
        <v>0</v>
      </c>
      <c r="DX63" s="2">
        <f t="shared" si="301"/>
        <v>2.4545112130997714E-4</v>
      </c>
      <c r="DZ63" s="2">
        <f t="shared" si="405"/>
        <v>1.7287751943145317</v>
      </c>
      <c r="EA63" s="2">
        <f t="shared" si="406"/>
        <v>1.0183851916776227E-2</v>
      </c>
      <c r="EB63" s="2">
        <f t="shared" si="407"/>
        <v>0.19331095602583559</v>
      </c>
      <c r="EC63" s="2">
        <f t="shared" si="408"/>
        <v>1.6909096172622796E-2</v>
      </c>
      <c r="ED63" s="2">
        <f t="shared" si="409"/>
        <v>3.7697418480782438E-2</v>
      </c>
      <c r="EE63" s="2">
        <f t="shared" si="410"/>
        <v>1.1982455711257779E-3</v>
      </c>
      <c r="EF63" s="2">
        <f t="shared" si="411"/>
        <v>0.37142715363239381</v>
      </c>
      <c r="EG63" s="2">
        <f t="shared" si="412"/>
        <v>0.35804934881205008</v>
      </c>
      <c r="EH63" s="2">
        <f t="shared" si="413"/>
        <v>2.5627150465893998E-2</v>
      </c>
      <c r="EI63" s="2">
        <f t="shared" si="414"/>
        <v>0</v>
      </c>
      <c r="EJ63" s="2">
        <f t="shared" si="415"/>
        <v>2.4545112130997714E-4</v>
      </c>
      <c r="EL63" s="16">
        <f t="shared" ref="EL63" si="446">SUM(DZ63:EJ63)</f>
        <v>2.7434238665133228</v>
      </c>
      <c r="EN63" s="14">
        <f t="shared" ref="EN63" si="447">6/EL63</f>
        <v>2.1870481164930342</v>
      </c>
      <c r="EP63" s="16">
        <f t="shared" si="267"/>
        <v>1.8904572662827379</v>
      </c>
      <c r="EQ63" s="16">
        <f t="shared" si="268"/>
        <v>1.1136287076614711E-2</v>
      </c>
      <c r="ER63" s="16">
        <f t="shared" si="269"/>
        <v>0.281853574849181</v>
      </c>
      <c r="ES63" s="16">
        <f t="shared" si="270"/>
        <v>2.4654004623956172E-2</v>
      </c>
      <c r="ET63" s="16">
        <f t="shared" si="271"/>
        <v>8.2446068085044927E-2</v>
      </c>
      <c r="EU63" s="16">
        <f t="shared" si="272"/>
        <v>2.6206207194267527E-3</v>
      </c>
      <c r="EV63" s="16">
        <f t="shared" si="273"/>
        <v>0.81232905676609579</v>
      </c>
      <c r="EW63" s="16">
        <f t="shared" si="274"/>
        <v>0.7830711539309515</v>
      </c>
      <c r="EX63" s="16">
        <f t="shared" si="275"/>
        <v>0.1120956223150341</v>
      </c>
      <c r="EY63" s="16">
        <f t="shared" si="276"/>
        <v>0</v>
      </c>
      <c r="EZ63" s="16">
        <f>DX63*$EN63</f>
        <v>5.3681341255208876E-4</v>
      </c>
      <c r="FB63" s="14">
        <f t="shared" si="302"/>
        <v>-6.6098169788867418</v>
      </c>
      <c r="FC63" s="4">
        <f t="shared" si="303"/>
        <v>0.60212862925513666</v>
      </c>
      <c r="FD63" s="4">
        <f t="shared" si="304"/>
        <v>1.5752300692470356</v>
      </c>
      <c r="FE63" s="4">
        <f t="shared" si="305"/>
        <v>1.5752300692470356</v>
      </c>
      <c r="FG63" s="4">
        <f t="shared" si="306"/>
        <v>1.5014823207171166</v>
      </c>
    </row>
    <row r="64" spans="1:163" ht="5.25" customHeight="1" x14ac:dyDescent="0.2">
      <c r="AH64" s="109"/>
      <c r="AI64" s="109"/>
    </row>
    <row r="65" spans="1:163" s="1" customFormat="1" ht="13.5" x14ac:dyDescent="0.2">
      <c r="A65" s="5"/>
      <c r="B65" s="5"/>
      <c r="C65" s="135" t="s">
        <v>75</v>
      </c>
      <c r="D65" s="97"/>
      <c r="E65" s="94" t="s">
        <v>206</v>
      </c>
      <c r="F65" s="97"/>
      <c r="G65" s="97"/>
      <c r="H65" s="97"/>
      <c r="I65" s="97"/>
      <c r="J65" s="94" t="s">
        <v>206</v>
      </c>
      <c r="K65" s="97"/>
      <c r="L65" s="97"/>
      <c r="M65" s="97"/>
      <c r="N65" s="104" t="s">
        <v>207</v>
      </c>
      <c r="O65" s="122" t="s">
        <v>196</v>
      </c>
      <c r="Q65" s="135" t="s">
        <v>77</v>
      </c>
      <c r="R65" s="136"/>
      <c r="S65" s="136"/>
      <c r="T65" s="136"/>
      <c r="U65" s="136"/>
      <c r="V65" s="136"/>
      <c r="W65" s="136"/>
      <c r="X65" s="136"/>
      <c r="Y65" s="136"/>
      <c r="Z65" s="97"/>
      <c r="AA65" s="136"/>
      <c r="AC65" s="137" t="s">
        <v>78</v>
      </c>
      <c r="AD65" s="106"/>
      <c r="AF65" s="82"/>
      <c r="AG65" s="21"/>
      <c r="AH65" s="130"/>
      <c r="AI65" s="131" t="s">
        <v>110</v>
      </c>
      <c r="AJ65" s="125" t="s">
        <v>76</v>
      </c>
      <c r="AL65" s="50" t="s">
        <v>119</v>
      </c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M65" s="6" t="s">
        <v>79</v>
      </c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8"/>
      <c r="BY65" s="6" t="s">
        <v>82</v>
      </c>
      <c r="BZ65" s="6"/>
      <c r="CA65" s="6"/>
      <c r="CB65" s="6"/>
      <c r="CC65" s="6"/>
      <c r="CD65" s="6"/>
      <c r="CE65" s="6"/>
      <c r="CF65" s="6"/>
      <c r="CG65" s="6"/>
      <c r="CH65" s="6"/>
      <c r="CI65" s="6"/>
      <c r="CK65" s="6" t="s">
        <v>83</v>
      </c>
      <c r="CL65" s="6"/>
      <c r="CM65" s="6"/>
      <c r="CN65" s="6"/>
      <c r="CO65" s="6"/>
      <c r="CP65" s="6"/>
      <c r="CQ65" s="6"/>
      <c r="CR65" s="6"/>
      <c r="CS65" s="6"/>
      <c r="CT65" s="6"/>
      <c r="CU65" s="6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N65" s="6" t="s">
        <v>84</v>
      </c>
      <c r="DO65" s="6"/>
      <c r="DP65" s="6"/>
      <c r="DQ65" s="6"/>
      <c r="DR65" s="6"/>
      <c r="DS65" s="6"/>
      <c r="DT65" s="6"/>
      <c r="DU65" s="6"/>
      <c r="DV65" s="6"/>
      <c r="DW65" s="6"/>
      <c r="DX65" s="6"/>
      <c r="DZ65" s="6" t="s">
        <v>85</v>
      </c>
      <c r="EA65" s="6"/>
      <c r="EB65" s="6"/>
      <c r="EC65" s="6"/>
      <c r="ED65" s="6"/>
      <c r="EE65" s="6"/>
      <c r="EF65" s="6"/>
      <c r="EG65" s="6"/>
      <c r="EH65" s="6"/>
      <c r="EI65" s="6"/>
      <c r="EJ65" s="6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B65" s="19"/>
      <c r="FC65" s="17"/>
      <c r="FD65" s="18"/>
      <c r="FE65" s="8"/>
      <c r="FF65" s="9"/>
      <c r="FG65" s="7"/>
    </row>
    <row r="66" spans="1:163" x14ac:dyDescent="0.2">
      <c r="A66" s="56" t="s">
        <v>127</v>
      </c>
      <c r="B66" s="57" t="s">
        <v>132</v>
      </c>
      <c r="C66" s="138">
        <v>40.549999999999997</v>
      </c>
      <c r="D66" s="98">
        <v>0.01</v>
      </c>
      <c r="E66" s="148">
        <f>N66/(26.9815*10000)*101.9601/2</f>
        <v>4.3646170709560249E-2</v>
      </c>
      <c r="F66" s="138">
        <v>0.04</v>
      </c>
      <c r="G66" s="138">
        <v>9.39</v>
      </c>
      <c r="H66" s="138">
        <v>0.12</v>
      </c>
      <c r="I66" s="138">
        <v>49.2</v>
      </c>
      <c r="J66" s="150">
        <f>O66/40.078*56.077/10000</f>
        <v>8.5950378928128193E-2</v>
      </c>
      <c r="K66" s="98">
        <v>0.02</v>
      </c>
      <c r="L66" s="98">
        <v>0.02</v>
      </c>
      <c r="M66" s="138">
        <v>0.41</v>
      </c>
      <c r="N66" s="141">
        <v>231</v>
      </c>
      <c r="O66" s="142">
        <v>614.28380382001922</v>
      </c>
      <c r="P66" s="11"/>
      <c r="Q66" s="140">
        <v>53.05</v>
      </c>
      <c r="R66" s="140">
        <v>0.13</v>
      </c>
      <c r="S66" s="140">
        <v>3.56</v>
      </c>
      <c r="T66" s="140">
        <v>1.24</v>
      </c>
      <c r="U66" s="140">
        <v>3.1</v>
      </c>
      <c r="V66" s="140">
        <v>0.08</v>
      </c>
      <c r="W66" s="140">
        <v>17.649999999999999</v>
      </c>
      <c r="X66" s="140">
        <v>19.7</v>
      </c>
      <c r="Y66" s="140">
        <v>1.06</v>
      </c>
      <c r="Z66" s="100">
        <v>0.01</v>
      </c>
      <c r="AA66" s="140">
        <v>0.05</v>
      </c>
      <c r="AC66" s="139">
        <v>30.5</v>
      </c>
      <c r="AD66" s="139">
        <v>36.200000000000003</v>
      </c>
      <c r="AE66" s="11"/>
      <c r="AF66" s="83">
        <f>AD66/151.9892/(AD66/151.9892+AC66/101.9601)</f>
        <v>0.44327144301668919</v>
      </c>
      <c r="AG66" s="22">
        <f t="shared" ref="AG66:AG97" si="448">E66/AC66</f>
        <v>1.4310219904773852E-3</v>
      </c>
      <c r="AH66" s="126">
        <f>10000/(0.575+0.884*AF66-0.897*LN(AG66))-273</f>
        <v>1188.6392145223524</v>
      </c>
      <c r="AI66" s="126">
        <f t="shared" ref="AI66:AI97" si="449">(10539+79.8*AL66*10)/(15.45-LN(O66))-273</f>
        <v>1188.6392167263323</v>
      </c>
      <c r="AJ66" s="126">
        <f t="shared" ref="AJ66:AJ97" si="450">AH66-AI66</f>
        <v>-2.2039798750483897E-6</v>
      </c>
      <c r="AK66" s="12"/>
      <c r="AL66" s="25">
        <f t="shared" ref="AL66:AL74" si="451">FG66</f>
        <v>3.3319976136689284</v>
      </c>
      <c r="AN66" s="2">
        <v>15.999000000000001</v>
      </c>
      <c r="AO66" s="2">
        <v>28.085000000000001</v>
      </c>
      <c r="AP66" s="2">
        <v>47.866999999999997</v>
      </c>
      <c r="AQ66" s="2">
        <v>26.9815386</v>
      </c>
      <c r="AR66" s="2">
        <v>51.996099999999998</v>
      </c>
      <c r="AS66" s="2">
        <v>55.844999999999999</v>
      </c>
      <c r="AT66" s="2">
        <v>54.938045000000002</v>
      </c>
      <c r="AU66" s="2">
        <v>24.305</v>
      </c>
      <c r="AV66" s="2">
        <v>40.078000000000003</v>
      </c>
      <c r="AW66" s="2">
        <v>22.989769280000001</v>
      </c>
      <c r="AX66" s="2">
        <v>39.098300000000002</v>
      </c>
      <c r="AY66" s="2">
        <v>58.693399999999997</v>
      </c>
      <c r="BA66" s="2">
        <f>AN66*2+AO66</f>
        <v>60.082999999999998</v>
      </c>
      <c r="BB66" s="2">
        <f>AN66*2+AP66</f>
        <v>79.864999999999995</v>
      </c>
      <c r="BC66" s="2">
        <f>AQ66*2+AN66*3</f>
        <v>101.9600772</v>
      </c>
      <c r="BD66" s="2">
        <f>AR66*2+AN66*3</f>
        <v>151.98919999999998</v>
      </c>
      <c r="BE66" s="2">
        <f>AS66+AN66</f>
        <v>71.843999999999994</v>
      </c>
      <c r="BF66" s="2">
        <f>AT66+AN66</f>
        <v>70.937044999999998</v>
      </c>
      <c r="BG66" s="2">
        <f>AU66+AN66</f>
        <v>40.304000000000002</v>
      </c>
      <c r="BH66" s="2">
        <f>AV66+AN66</f>
        <v>56.077000000000005</v>
      </c>
      <c r="BI66" s="2">
        <f>AW66*2+AN66</f>
        <v>61.978538560000004</v>
      </c>
      <c r="BJ66" s="2">
        <f>AX66*2+AN66</f>
        <v>94.195599999999999</v>
      </c>
      <c r="BK66" s="2">
        <f>AY66+AN66</f>
        <v>74.692399999999992</v>
      </c>
      <c r="BM66" s="2">
        <f t="shared" ref="BM66:BM97" si="452">C66/BA66</f>
        <v>0.67489972205116255</v>
      </c>
      <c r="BN66" s="2">
        <f t="shared" ref="BN66:BN97" si="453">D66/BB66</f>
        <v>1.2521129405872411E-4</v>
      </c>
      <c r="BO66" s="2">
        <f t="shared" ref="BO66:BO97" si="454">E66/BC66</f>
        <v>4.2807118146787992E-4</v>
      </c>
      <c r="BP66" s="2">
        <f t="shared" ref="BP66:BP97" si="455">F66/BD66</f>
        <v>2.6317659412642482E-4</v>
      </c>
      <c r="BQ66" s="2">
        <f t="shared" ref="BQ66:BQ97" si="456">G66/BE66</f>
        <v>0.13069984967429432</v>
      </c>
      <c r="BR66" s="2">
        <f t="shared" ref="BR66:BR97" si="457">H66/BF66</f>
        <v>1.6916408062952156E-3</v>
      </c>
      <c r="BS66" s="2">
        <f t="shared" ref="BS66:BS97" si="458">I66/BG66</f>
        <v>1.2207225089321159</v>
      </c>
      <c r="BT66" s="2">
        <f t="shared" ref="BT66:BT97" si="459">J66/BH66</f>
        <v>1.532720704176903E-3</v>
      </c>
      <c r="BU66" s="2">
        <f t="shared" ref="BU66:BU97" si="460">K66/BI66</f>
        <v>3.2269234584546486E-4</v>
      </c>
      <c r="BV66" s="2">
        <f t="shared" ref="BV66:BV97" si="461">L66/BJ66</f>
        <v>2.123241425289504E-4</v>
      </c>
      <c r="BW66" s="2">
        <f t="shared" ref="BW66:BW97" si="462">M66/BK66</f>
        <v>5.4891796220231243E-3</v>
      </c>
      <c r="BY66" s="2">
        <f>BM66</f>
        <v>0.67489972205116255</v>
      </c>
      <c r="BZ66" s="2">
        <f t="shared" ref="BY66:BZ74" si="463">BN66</f>
        <v>1.2521129405872411E-4</v>
      </c>
      <c r="CA66" s="2">
        <f t="shared" ref="CA66:CB74" si="464">BO66*2</f>
        <v>8.5614236293575985E-4</v>
      </c>
      <c r="CB66" s="2">
        <f t="shared" si="464"/>
        <v>5.2635318825284964E-4</v>
      </c>
      <c r="CC66" s="2">
        <f t="shared" ref="CC66:CF74" si="465">BQ66</f>
        <v>0.13069984967429432</v>
      </c>
      <c r="CD66" s="2">
        <f t="shared" si="465"/>
        <v>1.6916408062952156E-3</v>
      </c>
      <c r="CE66" s="2">
        <f t="shared" si="465"/>
        <v>1.2207225089321159</v>
      </c>
      <c r="CF66" s="2">
        <f t="shared" si="465"/>
        <v>1.532720704176903E-3</v>
      </c>
      <c r="CG66" s="2">
        <f t="shared" ref="CG66:CH74" si="466">BU66*2</f>
        <v>6.4538469169092972E-4</v>
      </c>
      <c r="CH66" s="2">
        <f t="shared" si="466"/>
        <v>4.246482850579008E-4</v>
      </c>
      <c r="CI66" s="2">
        <f>BW66</f>
        <v>5.4891796220231243E-3</v>
      </c>
      <c r="CK66" s="2">
        <f t="shared" ref="CK66:CL74" si="467">BM66*2</f>
        <v>1.3497994441023251</v>
      </c>
      <c r="CL66" s="2">
        <f t="shared" si="467"/>
        <v>2.5042258811744822E-4</v>
      </c>
      <c r="CM66" s="2">
        <f t="shared" ref="CM66:CN74" si="468">BO66*3</f>
        <v>1.2842135444036398E-3</v>
      </c>
      <c r="CN66" s="2">
        <f t="shared" si="468"/>
        <v>7.895297823792744E-4</v>
      </c>
      <c r="CO66" s="2">
        <f t="shared" ref="CO66:CU74" si="469">BQ66</f>
        <v>0.13069984967429432</v>
      </c>
      <c r="CP66" s="2">
        <f t="shared" si="469"/>
        <v>1.6916408062952156E-3</v>
      </c>
      <c r="CQ66" s="2">
        <f t="shared" si="469"/>
        <v>1.2207225089321159</v>
      </c>
      <c r="CR66" s="2">
        <f t="shared" si="469"/>
        <v>1.532720704176903E-3</v>
      </c>
      <c r="CS66" s="2">
        <f t="shared" si="469"/>
        <v>3.2269234584546486E-4</v>
      </c>
      <c r="CT66" s="2">
        <f t="shared" si="469"/>
        <v>2.123241425289504E-4</v>
      </c>
      <c r="CU66" s="2">
        <f t="shared" si="469"/>
        <v>5.4891796220231243E-3</v>
      </c>
      <c r="CW66" s="14">
        <f>SUM(CK66:CU66)</f>
        <v>2.7127945262445055</v>
      </c>
      <c r="CY66" s="14">
        <f>4/CW66</f>
        <v>1.4744942756639425</v>
      </c>
      <c r="DA66" s="16">
        <f t="shared" ref="DA66:DA88" si="470">BY66*$CY66</f>
        <v>0.99513577681162513</v>
      </c>
      <c r="DB66" s="16">
        <f t="shared" ref="DB66:DB88" si="471">BZ66*$CY66</f>
        <v>1.8462333633806333E-4</v>
      </c>
      <c r="DC66" s="16">
        <f t="shared" ref="DC66:DC88" si="472">CA66*$CY66</f>
        <v>1.2623770133021793E-3</v>
      </c>
      <c r="DD66" s="16">
        <f t="shared" ref="DD66:DD88" si="473">CB66*$CY66</f>
        <v>7.7610476305629231E-4</v>
      </c>
      <c r="DE66" s="16">
        <f t="shared" ref="DE66:DE88" si="474">CC66*$CY66</f>
        <v>0.19271618017488479</v>
      </c>
      <c r="DF66" s="16">
        <f t="shared" ref="DF66:DF88" si="475">CD66*$CY66</f>
        <v>2.4943146853618316E-3</v>
      </c>
      <c r="DG66" s="16">
        <f t="shared" ref="DG66:DG88" si="476">CE66*$CY66</f>
        <v>1.7999483515945307</v>
      </c>
      <c r="DH66" s="16">
        <f t="shared" ref="DH66:DH88" si="477">CF66*$CY66</f>
        <v>2.2599879045004504E-3</v>
      </c>
      <c r="DI66" s="16">
        <f t="shared" ref="DI66:DI88" si="478">CG66*$CY66</f>
        <v>9.5161603349941425E-4</v>
      </c>
      <c r="DJ66" s="16">
        <f t="shared" ref="DJ66:DJ88" si="479">CH66*$CY66</f>
        <v>6.261414654883848E-4</v>
      </c>
      <c r="DK66" s="16">
        <f t="shared" ref="DK66:DK88" si="480">CI66*$CY66</f>
        <v>8.0937639307642611E-3</v>
      </c>
      <c r="DL66" s="16">
        <f t="shared" ref="DL66:DL97" si="481">DG66/(DG66+DE66)</f>
        <v>0.90328719305112548</v>
      </c>
      <c r="DN66" s="2">
        <f t="shared" ref="DN66:DN97" si="482">Q66/BA66</f>
        <v>0.88294525905830268</v>
      </c>
      <c r="DO66" s="2">
        <f t="shared" ref="DO66:DO97" si="483">R66/BB66</f>
        <v>1.6277468227634134E-3</v>
      </c>
      <c r="DP66" s="2">
        <f t="shared" ref="DP66:DP97" si="484">S66/BC66</f>
        <v>3.4915626760627837E-2</v>
      </c>
      <c r="DQ66" s="2">
        <f t="shared" ref="DQ66:DQ97" si="485">T66/BD66</f>
        <v>8.1584744179191687E-3</v>
      </c>
      <c r="DR66" s="2">
        <f t="shared" ref="DR66:DR97" si="486">U66/BE66</f>
        <v>4.3149045153387904E-2</v>
      </c>
      <c r="DS66" s="2">
        <f t="shared" ref="DS66:DS97" si="487">V66/BF66</f>
        <v>1.1277605375301439E-3</v>
      </c>
      <c r="DT66" s="2">
        <f t="shared" ref="DT66:DT97" si="488">W66/BG66</f>
        <v>0.43792179436284234</v>
      </c>
      <c r="DU66" s="2">
        <f t="shared" ref="DU66:DU97" si="489">X66/BH66</f>
        <v>0.35130267311018776</v>
      </c>
      <c r="DV66" s="2">
        <f t="shared" ref="DV66:DV97" si="490">Y66/BI66</f>
        <v>1.7102694329809636E-2</v>
      </c>
      <c r="DW66" s="2">
        <f t="shared" ref="DW66:DW97" si="491">Z66/BJ66</f>
        <v>1.061620712644752E-4</v>
      </c>
      <c r="DX66" s="2">
        <f t="shared" ref="DX66:DX97" si="492">AA66/BK66</f>
        <v>6.6941214902721037E-4</v>
      </c>
      <c r="DZ66" s="2">
        <f t="shared" ref="DZ66:EA74" si="493">DN66*2</f>
        <v>1.7658905181166054</v>
      </c>
      <c r="EA66" s="2">
        <f t="shared" si="493"/>
        <v>3.2554936455268268E-3</v>
      </c>
      <c r="EB66" s="2">
        <f t="shared" ref="EB66:EC74" si="494">DP66*3</f>
        <v>0.1047468802818835</v>
      </c>
      <c r="EC66" s="2">
        <f t="shared" si="494"/>
        <v>2.4475423253757504E-2</v>
      </c>
      <c r="ED66" s="2">
        <f t="shared" ref="ED66:EJ74" si="495">DR66</f>
        <v>4.3149045153387904E-2</v>
      </c>
      <c r="EE66" s="2">
        <f t="shared" si="495"/>
        <v>1.1277605375301439E-3</v>
      </c>
      <c r="EF66" s="2">
        <f t="shared" si="495"/>
        <v>0.43792179436284234</v>
      </c>
      <c r="EG66" s="2">
        <f t="shared" si="495"/>
        <v>0.35130267311018776</v>
      </c>
      <c r="EH66" s="2">
        <f t="shared" si="495"/>
        <v>1.7102694329809636E-2</v>
      </c>
      <c r="EI66" s="2">
        <f t="shared" si="495"/>
        <v>1.061620712644752E-4</v>
      </c>
      <c r="EJ66" s="2">
        <f t="shared" si="495"/>
        <v>6.6941214902721037E-4</v>
      </c>
      <c r="EL66" s="16">
        <f>SUM(DZ66:EJ66)</f>
        <v>2.7497478570118221</v>
      </c>
      <c r="EN66" s="14">
        <f>6/EL66</f>
        <v>2.1820182474913388</v>
      </c>
      <c r="EP66" s="16">
        <f t="shared" ref="EP66:EP88" si="496">DN66*$EN66</f>
        <v>1.9266026668011837</v>
      </c>
      <c r="EQ66" s="16">
        <f t="shared" ref="EQ66:EQ88" si="497">DO66*$EN66</f>
        <v>3.5517732695658183E-3</v>
      </c>
      <c r="ER66" s="16">
        <f t="shared" ref="ER66:ER88" si="498">2*DP66*$EN66</f>
        <v>0.15237306942857368</v>
      </c>
      <c r="ES66" s="16">
        <f t="shared" ref="ES66:ES88" si="499">2*DQ66*$EN66</f>
        <v>3.5603880103181808E-2</v>
      </c>
      <c r="ET66" s="16">
        <f t="shared" ref="ET66:ET88" si="500">DR66*$EN66</f>
        <v>9.4152003886520119E-2</v>
      </c>
      <c r="EU66" s="16">
        <f t="shared" ref="EU66:EU88" si="501">DS66*$EN66</f>
        <v>2.4607940716914146E-3</v>
      </c>
      <c r="EV66" s="16">
        <f t="shared" ref="EV66:EV88" si="502">DT66*$EN66</f>
        <v>0.95555334627387167</v>
      </c>
      <c r="EW66" s="16">
        <f t="shared" ref="EW66:EW88" si="503">DU66*$EN66</f>
        <v>0.76654884311891458</v>
      </c>
      <c r="EX66" s="16">
        <f t="shared" ref="EX66:EX88" si="504">2*DV66*$EN66</f>
        <v>7.4636782217822564E-2</v>
      </c>
      <c r="EY66" s="16">
        <f t="shared" ref="EY66:EY88" si="505">2*DW66*$EN66</f>
        <v>4.6329515338112157E-4</v>
      </c>
      <c r="EZ66" s="16">
        <f>DX66*$EN66</f>
        <v>1.4606695242697645E-3</v>
      </c>
      <c r="FB66" s="14">
        <f t="shared" ref="FB66:FB97" si="506">LN(DH66/EW66)</f>
        <v>-5.8265389572714126</v>
      </c>
      <c r="FC66" s="4">
        <f t="shared" ref="FC66:FC97" si="507">(-(AH66+273)*FB66-11982+3.61*(AH66+273))/56.2/10</f>
        <v>3.2220914400636418</v>
      </c>
      <c r="FD66" s="4">
        <f t="shared" ref="FD66:FD97" si="508">(-(AH66+273)*FB66-5792-1.25*(AH66+273))/42.5/10</f>
        <v>2.111173662910903</v>
      </c>
      <c r="FE66" s="4">
        <f t="shared" ref="FE66:FE97" si="509">IF(AH66&gt;(1275.25-273+2.827*FC66*10), FC66, FD66)</f>
        <v>3.2220914400636418</v>
      </c>
      <c r="FG66" s="4">
        <f t="shared" ref="FG66:FG97" si="510">(3.64-2.328*DL66-9525/(AH66+273)-LN(DH66))/0.0334/10</f>
        <v>3.3319976136689284</v>
      </c>
    </row>
    <row r="67" spans="1:163" x14ac:dyDescent="0.2">
      <c r="A67" s="56" t="s">
        <v>128</v>
      </c>
      <c r="B67" s="57" t="s">
        <v>132</v>
      </c>
      <c r="C67" s="138">
        <v>40.700000000000003</v>
      </c>
      <c r="D67" s="98">
        <v>0.03</v>
      </c>
      <c r="E67" s="148">
        <f t="shared" ref="E67:E76" si="511">N67/(26.9815*10000)*101.9601/2</f>
        <v>6.9720506458128717E-2</v>
      </c>
      <c r="F67" s="138">
        <v>0.03</v>
      </c>
      <c r="G67" s="138">
        <v>9.1300000000000008</v>
      </c>
      <c r="H67" s="138">
        <v>0.13</v>
      </c>
      <c r="I67" s="138">
        <v>50.3</v>
      </c>
      <c r="J67" s="150">
        <f t="shared" ref="J67:J76" si="512">O67/40.078*56.077/10000</f>
        <v>9.580232728010496E-2</v>
      </c>
      <c r="K67" s="98">
        <v>0.01</v>
      </c>
      <c r="L67" s="98"/>
      <c r="M67" s="138">
        <v>0.4</v>
      </c>
      <c r="N67" s="141">
        <v>369</v>
      </c>
      <c r="O67" s="142">
        <v>684.69527127557592</v>
      </c>
      <c r="P67" s="11"/>
      <c r="Q67" s="140">
        <v>52</v>
      </c>
      <c r="R67" s="140">
        <v>0.7</v>
      </c>
      <c r="S67" s="140">
        <v>5</v>
      </c>
      <c r="T67" s="140">
        <v>1.35</v>
      </c>
      <c r="U67" s="140">
        <v>3.1</v>
      </c>
      <c r="V67" s="140">
        <v>0.1</v>
      </c>
      <c r="W67" s="140">
        <v>16.2</v>
      </c>
      <c r="X67" s="140">
        <v>19.899999999999999</v>
      </c>
      <c r="Y67" s="140">
        <v>1.36</v>
      </c>
      <c r="Z67" s="100">
        <v>0.01</v>
      </c>
      <c r="AA67" s="140">
        <v>0.03</v>
      </c>
      <c r="AC67" s="139">
        <v>34.200000000000003</v>
      </c>
      <c r="AD67" s="139">
        <v>29.5</v>
      </c>
      <c r="AE67" s="11"/>
      <c r="AF67" s="83">
        <f>AD67/151.9892/(AD67/151.9892+AC67/101.9601)</f>
        <v>0.36654601706097462</v>
      </c>
      <c r="AG67" s="22">
        <f t="shared" si="448"/>
        <v>2.038611299945284E-3</v>
      </c>
      <c r="AH67" s="126">
        <f t="shared" ref="AH67:AH74" si="513">10000/(0.575+0.884*AF67-0.897*LN(AG67))-273</f>
        <v>1275.8560270193295</v>
      </c>
      <c r="AI67" s="126">
        <f t="shared" si="449"/>
        <v>1275.8560000160558</v>
      </c>
      <c r="AJ67" s="126">
        <f t="shared" si="450"/>
        <v>2.7003273771697422E-5</v>
      </c>
      <c r="AK67" s="12"/>
      <c r="AL67" s="25">
        <f t="shared" si="451"/>
        <v>4.1082516698288414</v>
      </c>
      <c r="AN67" s="2">
        <v>15.999000000000001</v>
      </c>
      <c r="AO67" s="2">
        <v>28.085000000000001</v>
      </c>
      <c r="AP67" s="2">
        <v>47.866999999999997</v>
      </c>
      <c r="AQ67" s="2">
        <v>26.9815386</v>
      </c>
      <c r="AR67" s="2">
        <v>51.996099999999998</v>
      </c>
      <c r="AS67" s="2">
        <v>55.844999999999999</v>
      </c>
      <c r="AT67" s="2">
        <v>54.938045000000002</v>
      </c>
      <c r="AU67" s="2">
        <v>24.305</v>
      </c>
      <c r="AV67" s="2">
        <v>40.078000000000003</v>
      </c>
      <c r="AW67" s="2">
        <v>22.989769280000001</v>
      </c>
      <c r="AX67" s="2">
        <v>39.098300000000002</v>
      </c>
      <c r="AY67" s="2">
        <v>58.693399999999997</v>
      </c>
      <c r="BA67" s="2">
        <f>AN67*2+AO67</f>
        <v>60.082999999999998</v>
      </c>
      <c r="BB67" s="2">
        <f>AN67*2+AP67</f>
        <v>79.864999999999995</v>
      </c>
      <c r="BC67" s="2">
        <f>AQ67*2+AN67*3</f>
        <v>101.9600772</v>
      </c>
      <c r="BD67" s="2">
        <f>AR67*2+AN67*3</f>
        <v>151.98919999999998</v>
      </c>
      <c r="BE67" s="2">
        <f>AS67+AN67</f>
        <v>71.843999999999994</v>
      </c>
      <c r="BF67" s="2">
        <f>AT67+AN67</f>
        <v>70.937044999999998</v>
      </c>
      <c r="BG67" s="2">
        <f>AU67+AN67</f>
        <v>40.304000000000002</v>
      </c>
      <c r="BH67" s="2">
        <f>AV67+AN67</f>
        <v>56.077000000000005</v>
      </c>
      <c r="BI67" s="2">
        <f>AW67*2+AN67</f>
        <v>61.978538560000004</v>
      </c>
      <c r="BJ67" s="2">
        <f>AX67*2+AN67</f>
        <v>94.195599999999999</v>
      </c>
      <c r="BK67" s="2">
        <f>AY67+AN67</f>
        <v>74.692399999999992</v>
      </c>
      <c r="BM67" s="2">
        <f t="shared" si="452"/>
        <v>0.67739626849524825</v>
      </c>
      <c r="BN67" s="2">
        <f t="shared" si="453"/>
        <v>3.7563388217617228E-4</v>
      </c>
      <c r="BO67" s="2">
        <f t="shared" si="454"/>
        <v>6.8380201714999015E-4</v>
      </c>
      <c r="BP67" s="2">
        <f t="shared" si="455"/>
        <v>1.973824455948186E-4</v>
      </c>
      <c r="BQ67" s="2">
        <f t="shared" si="456"/>
        <v>0.12708089750013921</v>
      </c>
      <c r="BR67" s="2">
        <f t="shared" si="457"/>
        <v>1.8326108734864838E-3</v>
      </c>
      <c r="BS67" s="2">
        <f t="shared" si="458"/>
        <v>1.2480150853513297</v>
      </c>
      <c r="BT67" s="2">
        <f t="shared" si="459"/>
        <v>1.7084067849582707E-3</v>
      </c>
      <c r="BU67" s="2">
        <f t="shared" si="460"/>
        <v>1.6134617292273243E-4</v>
      </c>
      <c r="BV67" s="2">
        <f t="shared" si="461"/>
        <v>0</v>
      </c>
      <c r="BW67" s="2">
        <f t="shared" si="462"/>
        <v>5.3552971922176829E-3</v>
      </c>
      <c r="BY67" s="2">
        <f t="shared" si="463"/>
        <v>0.67739626849524825</v>
      </c>
      <c r="BZ67" s="2">
        <f t="shared" si="463"/>
        <v>3.7563388217617228E-4</v>
      </c>
      <c r="CA67" s="2">
        <f t="shared" si="464"/>
        <v>1.3676040342999803E-3</v>
      </c>
      <c r="CB67" s="2">
        <f t="shared" si="464"/>
        <v>3.947648911896372E-4</v>
      </c>
      <c r="CC67" s="2">
        <f t="shared" si="465"/>
        <v>0.12708089750013921</v>
      </c>
      <c r="CD67" s="2">
        <f t="shared" si="465"/>
        <v>1.8326108734864838E-3</v>
      </c>
      <c r="CE67" s="2">
        <f t="shared" si="465"/>
        <v>1.2480150853513297</v>
      </c>
      <c r="CF67" s="2">
        <f t="shared" si="465"/>
        <v>1.7084067849582707E-3</v>
      </c>
      <c r="CG67" s="2">
        <f t="shared" si="466"/>
        <v>3.2269234584546486E-4</v>
      </c>
      <c r="CH67" s="2">
        <f t="shared" si="466"/>
        <v>0</v>
      </c>
      <c r="CI67" s="2">
        <f>BW67</f>
        <v>5.3552971922176829E-3</v>
      </c>
      <c r="CK67" s="2">
        <f t="shared" si="467"/>
        <v>1.3547925369904965</v>
      </c>
      <c r="CL67" s="2">
        <f t="shared" si="467"/>
        <v>7.5126776435234456E-4</v>
      </c>
      <c r="CM67" s="2">
        <f t="shared" si="468"/>
        <v>2.0514060514499706E-3</v>
      </c>
      <c r="CN67" s="2">
        <f t="shared" si="468"/>
        <v>5.921473367844558E-4</v>
      </c>
      <c r="CO67" s="2">
        <f t="shared" si="469"/>
        <v>0.12708089750013921</v>
      </c>
      <c r="CP67" s="2">
        <f t="shared" si="469"/>
        <v>1.8326108734864838E-3</v>
      </c>
      <c r="CQ67" s="2">
        <f t="shared" si="469"/>
        <v>1.2480150853513297</v>
      </c>
      <c r="CR67" s="2">
        <f t="shared" si="469"/>
        <v>1.7084067849582707E-3</v>
      </c>
      <c r="CS67" s="2">
        <f t="shared" si="469"/>
        <v>1.6134617292273243E-4</v>
      </c>
      <c r="CT67" s="2">
        <f t="shared" si="469"/>
        <v>0</v>
      </c>
      <c r="CU67" s="2">
        <f t="shared" si="469"/>
        <v>5.3552971922176829E-3</v>
      </c>
      <c r="CW67" s="14">
        <f>SUM(CK67:CU67)</f>
        <v>2.7423410020181378</v>
      </c>
      <c r="CY67" s="14">
        <f>4/CW67</f>
        <v>1.4586078088233114</v>
      </c>
      <c r="DA67" s="16">
        <f t="shared" si="470"/>
        <v>0.9880554868949416</v>
      </c>
      <c r="DB67" s="16">
        <f t="shared" si="471"/>
        <v>5.4790251380078064E-4</v>
      </c>
      <c r="DC67" s="16">
        <f t="shared" si="472"/>
        <v>1.9947979238082152E-3</v>
      </c>
      <c r="DD67" s="16">
        <f t="shared" si="473"/>
        <v>5.7580715293848968E-4</v>
      </c>
      <c r="DE67" s="16">
        <f t="shared" si="474"/>
        <v>0.18536118944597788</v>
      </c>
      <c r="DF67" s="16">
        <f t="shared" si="475"/>
        <v>2.673060530601895E-3</v>
      </c>
      <c r="DG67" s="16">
        <f t="shared" si="476"/>
        <v>1.8203645490227409</v>
      </c>
      <c r="DH67" s="16">
        <f t="shared" si="477"/>
        <v>2.4918954771868613E-3</v>
      </c>
      <c r="DI67" s="16">
        <f t="shared" si="478"/>
        <v>4.7068157549770768E-4</v>
      </c>
      <c r="DJ67" s="16">
        <f t="shared" si="479"/>
        <v>0</v>
      </c>
      <c r="DK67" s="16">
        <f t="shared" si="480"/>
        <v>7.8112783031382667E-3</v>
      </c>
      <c r="DL67" s="16">
        <f t="shared" si="481"/>
        <v>0.90758398025669618</v>
      </c>
      <c r="DN67" s="2">
        <f t="shared" si="482"/>
        <v>0.86546943394970288</v>
      </c>
      <c r="DO67" s="2">
        <f t="shared" si="483"/>
        <v>8.7647905841106866E-3</v>
      </c>
      <c r="DP67" s="2">
        <f t="shared" si="484"/>
        <v>4.9038801630095274E-2</v>
      </c>
      <c r="DQ67" s="2">
        <f t="shared" si="485"/>
        <v>8.8822100517668371E-3</v>
      </c>
      <c r="DR67" s="2">
        <f t="shared" si="486"/>
        <v>4.3149045153387904E-2</v>
      </c>
      <c r="DS67" s="2">
        <f t="shared" si="487"/>
        <v>1.4097006719126799E-3</v>
      </c>
      <c r="DT67" s="2">
        <f t="shared" si="488"/>
        <v>0.40194521635569669</v>
      </c>
      <c r="DU67" s="2">
        <f t="shared" si="489"/>
        <v>0.35486919771029113</v>
      </c>
      <c r="DV67" s="2">
        <f t="shared" si="490"/>
        <v>2.1943079517491609E-2</v>
      </c>
      <c r="DW67" s="2">
        <f t="shared" si="491"/>
        <v>1.061620712644752E-4</v>
      </c>
      <c r="DX67" s="2">
        <f t="shared" si="492"/>
        <v>4.0164728941632618E-4</v>
      </c>
      <c r="DZ67" s="2">
        <f t="shared" si="493"/>
        <v>1.7309388678994058</v>
      </c>
      <c r="EA67" s="2">
        <f t="shared" si="493"/>
        <v>1.7529581168221373E-2</v>
      </c>
      <c r="EB67" s="2">
        <f t="shared" si="494"/>
        <v>0.14711640489028582</v>
      </c>
      <c r="EC67" s="2">
        <f t="shared" si="494"/>
        <v>2.6646630155300513E-2</v>
      </c>
      <c r="ED67" s="2">
        <f t="shared" si="495"/>
        <v>4.3149045153387904E-2</v>
      </c>
      <c r="EE67" s="2">
        <f t="shared" si="495"/>
        <v>1.4097006719126799E-3</v>
      </c>
      <c r="EF67" s="2">
        <f t="shared" si="495"/>
        <v>0.40194521635569669</v>
      </c>
      <c r="EG67" s="2">
        <f t="shared" si="495"/>
        <v>0.35486919771029113</v>
      </c>
      <c r="EH67" s="2">
        <f t="shared" si="495"/>
        <v>2.1943079517491609E-2</v>
      </c>
      <c r="EI67" s="2">
        <f t="shared" si="495"/>
        <v>1.061620712644752E-4</v>
      </c>
      <c r="EJ67" s="2">
        <f t="shared" si="495"/>
        <v>4.0164728941632618E-4</v>
      </c>
      <c r="EL67" s="16">
        <f>SUM(DZ67:EJ67)</f>
        <v>2.7460555328826741</v>
      </c>
      <c r="EN67" s="14">
        <f>6/EL67</f>
        <v>2.1849521716341602</v>
      </c>
      <c r="EP67" s="16">
        <f t="shared" si="496"/>
        <v>1.8910093191913908</v>
      </c>
      <c r="EQ67" s="16">
        <f t="shared" si="497"/>
        <v>1.9150648220671286E-2</v>
      </c>
      <c r="ER67" s="16">
        <f t="shared" si="498"/>
        <v>0.21429487223202692</v>
      </c>
      <c r="ES67" s="16">
        <f t="shared" si="499"/>
        <v>3.8814408283037435E-2</v>
      </c>
      <c r="ET67" s="16">
        <f t="shared" si="500"/>
        <v>9.4278599911835334E-2</v>
      </c>
      <c r="EU67" s="16">
        <f t="shared" si="501"/>
        <v>3.0801285444497445E-3</v>
      </c>
      <c r="EV67" s="16">
        <f t="shared" si="502"/>
        <v>0.87823107335434181</v>
      </c>
      <c r="EW67" s="16">
        <f t="shared" si="503"/>
        <v>0.77537222418317275</v>
      </c>
      <c r="EX67" s="16">
        <f t="shared" si="504"/>
        <v>9.5889158488168702E-2</v>
      </c>
      <c r="EY67" s="16">
        <f t="shared" si="505"/>
        <v>4.6391809630899112E-4</v>
      </c>
      <c r="EZ67" s="16">
        <f>DX67*$EN67</f>
        <v>8.7758011724117595E-4</v>
      </c>
      <c r="FB67" s="14">
        <f t="shared" si="506"/>
        <v>-5.7402995466183793</v>
      </c>
      <c r="FC67" s="4">
        <f t="shared" si="507"/>
        <v>4.4488751018077943</v>
      </c>
      <c r="FD67" s="4">
        <f t="shared" si="508"/>
        <v>2.7360647432989165</v>
      </c>
      <c r="FE67" s="4">
        <f t="shared" si="509"/>
        <v>4.4488751018077943</v>
      </c>
      <c r="FG67" s="4">
        <f t="shared" si="510"/>
        <v>4.1082516698288414</v>
      </c>
    </row>
    <row r="68" spans="1:163" x14ac:dyDescent="0.2">
      <c r="A68" s="56" t="s">
        <v>129</v>
      </c>
      <c r="B68" s="57" t="s">
        <v>132</v>
      </c>
      <c r="C68" s="138">
        <v>40.65</v>
      </c>
      <c r="D68" s="98">
        <v>0.01</v>
      </c>
      <c r="E68" s="148">
        <f t="shared" si="511"/>
        <v>4.3646170709560249E-2</v>
      </c>
      <c r="F68" s="138">
        <v>0.04</v>
      </c>
      <c r="G68" s="138">
        <v>8.93</v>
      </c>
      <c r="H68" s="138">
        <v>0.12</v>
      </c>
      <c r="I68" s="138">
        <v>50.45</v>
      </c>
      <c r="J68" s="150">
        <f t="shared" si="512"/>
        <v>8.2650105120296927E-2</v>
      </c>
      <c r="K68" s="98">
        <v>0.02</v>
      </c>
      <c r="L68" s="98">
        <v>0.01</v>
      </c>
      <c r="M68" s="138">
        <v>0.41</v>
      </c>
      <c r="N68" s="141">
        <v>231</v>
      </c>
      <c r="O68" s="142">
        <v>590.69688339448624</v>
      </c>
      <c r="P68" s="11"/>
      <c r="Q68" s="140">
        <v>52.3</v>
      </c>
      <c r="R68" s="140">
        <v>0.42</v>
      </c>
      <c r="S68" s="140">
        <v>5.31</v>
      </c>
      <c r="T68" s="140">
        <v>1.47</v>
      </c>
      <c r="U68" s="140">
        <v>3.03</v>
      </c>
      <c r="V68" s="140">
        <v>0.06</v>
      </c>
      <c r="W68" s="140">
        <v>16.350000000000001</v>
      </c>
      <c r="X68" s="140">
        <v>19.05</v>
      </c>
      <c r="Y68" s="140">
        <v>1.69</v>
      </c>
      <c r="Z68" s="100">
        <v>0.01</v>
      </c>
      <c r="AA68" s="140">
        <v>0.04</v>
      </c>
      <c r="AC68" s="139">
        <v>35.35</v>
      </c>
      <c r="AD68" s="139">
        <v>31.35</v>
      </c>
      <c r="AE68" s="11"/>
      <c r="AF68" s="83">
        <f t="shared" ref="AF68:AF74" si="514">AD68/151.9892/(AD68/151.9892+AC68/101.9601)</f>
        <v>0.37301311799251241</v>
      </c>
      <c r="AG68" s="22">
        <f t="shared" si="448"/>
        <v>1.2346865830144341E-3</v>
      </c>
      <c r="AH68" s="126">
        <f t="shared" si="513"/>
        <v>1173.7807998021513</v>
      </c>
      <c r="AI68" s="126">
        <f t="shared" si="449"/>
        <v>1173.7808010865765</v>
      </c>
      <c r="AJ68" s="126">
        <f t="shared" si="450"/>
        <v>-1.2844252523791511E-6</v>
      </c>
      <c r="AK68" s="12"/>
      <c r="AL68" s="25">
        <f t="shared" si="451"/>
        <v>3.2348580364776067</v>
      </c>
      <c r="AN68" s="2">
        <v>15.999000000000001</v>
      </c>
      <c r="AO68" s="2">
        <v>28.085000000000001</v>
      </c>
      <c r="AP68" s="2">
        <v>47.866999999999997</v>
      </c>
      <c r="AQ68" s="2">
        <v>26.9815386</v>
      </c>
      <c r="AR68" s="2">
        <v>51.996099999999998</v>
      </c>
      <c r="AS68" s="2">
        <v>55.844999999999999</v>
      </c>
      <c r="AT68" s="2">
        <v>54.938045000000002</v>
      </c>
      <c r="AU68" s="2">
        <v>24.305</v>
      </c>
      <c r="AV68" s="2">
        <v>40.078000000000003</v>
      </c>
      <c r="AW68" s="2">
        <v>22.989769280000001</v>
      </c>
      <c r="AX68" s="2">
        <v>39.098300000000002</v>
      </c>
      <c r="AY68" s="2">
        <v>58.693399999999997</v>
      </c>
      <c r="BA68" s="2">
        <f>AN68*2+AO68</f>
        <v>60.082999999999998</v>
      </c>
      <c r="BB68" s="2">
        <f>AN68*2+AP68</f>
        <v>79.864999999999995</v>
      </c>
      <c r="BC68" s="2">
        <f>AQ68*2+AN68*3</f>
        <v>101.9600772</v>
      </c>
      <c r="BD68" s="2">
        <f>AR68*2+AN68*3</f>
        <v>151.98919999999998</v>
      </c>
      <c r="BE68" s="2">
        <f>AS68+AN68</f>
        <v>71.843999999999994</v>
      </c>
      <c r="BF68" s="2">
        <f>AT68+AN68</f>
        <v>70.937044999999998</v>
      </c>
      <c r="BG68" s="2">
        <f>AU68+AN68</f>
        <v>40.304000000000002</v>
      </c>
      <c r="BH68" s="2">
        <f>AV68+AN68</f>
        <v>56.077000000000005</v>
      </c>
      <c r="BI68" s="2">
        <f>AW68*2+AN68</f>
        <v>61.978538560000004</v>
      </c>
      <c r="BJ68" s="2">
        <f>AX68*2+AN68</f>
        <v>94.195599999999999</v>
      </c>
      <c r="BK68" s="2">
        <f>AY68+AN68</f>
        <v>74.692399999999992</v>
      </c>
      <c r="BM68" s="2">
        <f t="shared" si="452"/>
        <v>0.67656408634721965</v>
      </c>
      <c r="BN68" s="2">
        <f t="shared" si="453"/>
        <v>1.2521129405872411E-4</v>
      </c>
      <c r="BO68" s="2">
        <f t="shared" si="454"/>
        <v>4.2807118146787992E-4</v>
      </c>
      <c r="BP68" s="2">
        <f t="shared" si="455"/>
        <v>2.6317659412642482E-4</v>
      </c>
      <c r="BQ68" s="2">
        <f t="shared" si="456"/>
        <v>0.12429708813540449</v>
      </c>
      <c r="BR68" s="2">
        <f t="shared" si="457"/>
        <v>1.6916408062952156E-3</v>
      </c>
      <c r="BS68" s="2">
        <f t="shared" si="458"/>
        <v>1.2517368003175864</v>
      </c>
      <c r="BT68" s="2">
        <f t="shared" si="459"/>
        <v>1.4738681655633668E-3</v>
      </c>
      <c r="BU68" s="2">
        <f t="shared" si="460"/>
        <v>3.2269234584546486E-4</v>
      </c>
      <c r="BV68" s="2">
        <f t="shared" si="461"/>
        <v>1.061620712644752E-4</v>
      </c>
      <c r="BW68" s="2">
        <f t="shared" si="462"/>
        <v>5.4891796220231243E-3</v>
      </c>
      <c r="BY68" s="2">
        <f t="shared" si="463"/>
        <v>0.67656408634721965</v>
      </c>
      <c r="BZ68" s="2">
        <f t="shared" si="463"/>
        <v>1.2521129405872411E-4</v>
      </c>
      <c r="CA68" s="2">
        <f t="shared" si="464"/>
        <v>8.5614236293575985E-4</v>
      </c>
      <c r="CB68" s="2">
        <f t="shared" si="464"/>
        <v>5.2635318825284964E-4</v>
      </c>
      <c r="CC68" s="2">
        <f t="shared" si="465"/>
        <v>0.12429708813540449</v>
      </c>
      <c r="CD68" s="2">
        <f t="shared" si="465"/>
        <v>1.6916408062952156E-3</v>
      </c>
      <c r="CE68" s="2">
        <f t="shared" si="465"/>
        <v>1.2517368003175864</v>
      </c>
      <c r="CF68" s="2">
        <f t="shared" si="465"/>
        <v>1.4738681655633668E-3</v>
      </c>
      <c r="CG68" s="2">
        <f t="shared" si="466"/>
        <v>6.4538469169092972E-4</v>
      </c>
      <c r="CH68" s="2">
        <f t="shared" si="466"/>
        <v>2.123241425289504E-4</v>
      </c>
      <c r="CI68" s="2">
        <f>BW68</f>
        <v>5.4891796220231243E-3</v>
      </c>
      <c r="CK68" s="2">
        <f t="shared" si="467"/>
        <v>1.3531281726944393</v>
      </c>
      <c r="CL68" s="2">
        <f t="shared" si="467"/>
        <v>2.5042258811744822E-4</v>
      </c>
      <c r="CM68" s="2">
        <f t="shared" si="468"/>
        <v>1.2842135444036398E-3</v>
      </c>
      <c r="CN68" s="2">
        <f t="shared" si="468"/>
        <v>7.895297823792744E-4</v>
      </c>
      <c r="CO68" s="2">
        <f t="shared" si="469"/>
        <v>0.12429708813540449</v>
      </c>
      <c r="CP68" s="2">
        <f t="shared" si="469"/>
        <v>1.6916408062952156E-3</v>
      </c>
      <c r="CQ68" s="2">
        <f t="shared" si="469"/>
        <v>1.2517368003175864</v>
      </c>
      <c r="CR68" s="2">
        <f t="shared" si="469"/>
        <v>1.4738681655633668E-3</v>
      </c>
      <c r="CS68" s="2">
        <f t="shared" si="469"/>
        <v>3.2269234584546486E-4</v>
      </c>
      <c r="CT68" s="2">
        <f t="shared" si="469"/>
        <v>1.061620712644752E-4</v>
      </c>
      <c r="CU68" s="2">
        <f t="shared" si="469"/>
        <v>5.4891796220231243E-3</v>
      </c>
      <c r="CW68" s="14">
        <f>SUM(CK68:CU68)</f>
        <v>2.7405697700733218</v>
      </c>
      <c r="CY68" s="14">
        <f>4/CW68</f>
        <v>1.4595505079562281</v>
      </c>
      <c r="DA68" s="16">
        <f t="shared" si="470"/>
        <v>0.98747945589302577</v>
      </c>
      <c r="DB68" s="16">
        <f t="shared" si="471"/>
        <v>1.8275220784526742E-4</v>
      </c>
      <c r="DC68" s="16">
        <f t="shared" si="472"/>
        <v>1.2495830207057336E-3</v>
      </c>
      <c r="DD68" s="16">
        <f t="shared" si="473"/>
        <v>7.6823906327882683E-4</v>
      </c>
      <c r="DE68" s="16">
        <f t="shared" si="474"/>
        <v>0.18141787812550969</v>
      </c>
      <c r="DF68" s="16">
        <f t="shared" si="475"/>
        <v>2.4690351981076653E-3</v>
      </c>
      <c r="DG68" s="16">
        <f t="shared" si="476"/>
        <v>1.8269730827310369</v>
      </c>
      <c r="DH68" s="16">
        <f t="shared" si="477"/>
        <v>2.1511850297085259E-3</v>
      </c>
      <c r="DI68" s="16">
        <f t="shared" si="478"/>
        <v>9.4197155458467018E-4</v>
      </c>
      <c r="DJ68" s="16">
        <f t="shared" si="479"/>
        <v>3.0989781007950012E-4</v>
      </c>
      <c r="DK68" s="16">
        <f t="shared" si="480"/>
        <v>8.0117349055868273E-3</v>
      </c>
      <c r="DL68" s="16">
        <f t="shared" si="481"/>
        <v>0.90967003852270978</v>
      </c>
      <c r="DN68" s="2">
        <f t="shared" si="482"/>
        <v>0.87046252683787428</v>
      </c>
      <c r="DO68" s="2">
        <f t="shared" si="483"/>
        <v>5.2588743504664122E-3</v>
      </c>
      <c r="DP68" s="2">
        <f t="shared" si="484"/>
        <v>5.2079207331161177E-2</v>
      </c>
      <c r="DQ68" s="2">
        <f t="shared" si="485"/>
        <v>9.6717398341461119E-3</v>
      </c>
      <c r="DR68" s="2">
        <f t="shared" si="486"/>
        <v>4.2174711875730748E-2</v>
      </c>
      <c r="DS68" s="2">
        <f t="shared" si="487"/>
        <v>8.458204031476078E-4</v>
      </c>
      <c r="DT68" s="2">
        <f t="shared" si="488"/>
        <v>0.40566693132195319</v>
      </c>
      <c r="DU68" s="2">
        <f t="shared" si="489"/>
        <v>0.33971146815985159</v>
      </c>
      <c r="DV68" s="2">
        <f t="shared" si="490"/>
        <v>2.7267503223941777E-2</v>
      </c>
      <c r="DW68" s="2">
        <f t="shared" si="491"/>
        <v>1.061620712644752E-4</v>
      </c>
      <c r="DX68" s="2">
        <f t="shared" si="492"/>
        <v>5.3552971922176827E-4</v>
      </c>
      <c r="DZ68" s="2">
        <f t="shared" si="493"/>
        <v>1.7409250536757486</v>
      </c>
      <c r="EA68" s="2">
        <f t="shared" si="493"/>
        <v>1.0517748700932824E-2</v>
      </c>
      <c r="EB68" s="2">
        <f t="shared" si="494"/>
        <v>0.15623762199348354</v>
      </c>
      <c r="EC68" s="2">
        <f t="shared" si="494"/>
        <v>2.9015219502438336E-2</v>
      </c>
      <c r="ED68" s="2">
        <f t="shared" si="495"/>
        <v>4.2174711875730748E-2</v>
      </c>
      <c r="EE68" s="2">
        <f t="shared" si="495"/>
        <v>8.458204031476078E-4</v>
      </c>
      <c r="EF68" s="2">
        <f t="shared" si="495"/>
        <v>0.40566693132195319</v>
      </c>
      <c r="EG68" s="2">
        <f t="shared" si="495"/>
        <v>0.33971146815985159</v>
      </c>
      <c r="EH68" s="2">
        <f t="shared" si="495"/>
        <v>2.7267503223941777E-2</v>
      </c>
      <c r="EI68" s="2">
        <f t="shared" si="495"/>
        <v>1.061620712644752E-4</v>
      </c>
      <c r="EJ68" s="2">
        <f t="shared" si="495"/>
        <v>5.3552971922176827E-4</v>
      </c>
      <c r="EL68" s="16">
        <f>SUM(DZ68:EJ68)</f>
        <v>2.7530037706477142</v>
      </c>
      <c r="EN68" s="14">
        <f>6/EL68</f>
        <v>2.1794376251756269</v>
      </c>
      <c r="EP68" s="16">
        <f t="shared" si="496"/>
        <v>1.8971187822959121</v>
      </c>
      <c r="EQ68" s="16">
        <f t="shared" si="497"/>
        <v>1.1461388625477536E-2</v>
      </c>
      <c r="ER68" s="16">
        <f t="shared" si="498"/>
        <v>0.22700676789371002</v>
      </c>
      <c r="ES68" s="16">
        <f t="shared" si="499"/>
        <v>4.2157907390895824E-2</v>
      </c>
      <c r="ET68" s="16">
        <f t="shared" si="500"/>
        <v>9.1917153892908929E-2</v>
      </c>
      <c r="EU68" s="16">
        <f t="shared" si="501"/>
        <v>1.8434128107611136E-3</v>
      </c>
      <c r="EV68" s="16">
        <f t="shared" si="502"/>
        <v>0.88412577341260179</v>
      </c>
      <c r="EW68" s="16">
        <f t="shared" si="503"/>
        <v>0.74037995541123258</v>
      </c>
      <c r="EX68" s="16">
        <f t="shared" si="504"/>
        <v>0.11885564494171283</v>
      </c>
      <c r="EY68" s="16">
        <f t="shared" si="505"/>
        <v>4.6274722496074698E-4</v>
      </c>
      <c r="EZ68" s="16">
        <f>DX68*$EN68</f>
        <v>1.1671536194716608E-3</v>
      </c>
      <c r="FB68" s="14">
        <f t="shared" si="506"/>
        <v>-5.841144640778464</v>
      </c>
      <c r="FC68" s="4">
        <f t="shared" si="507"/>
        <v>3.0102039189168699</v>
      </c>
      <c r="FD68" s="4">
        <f t="shared" si="508"/>
        <v>2.0008939185713568</v>
      </c>
      <c r="FE68" s="4">
        <f t="shared" si="509"/>
        <v>3.0102039189168699</v>
      </c>
      <c r="FG68" s="4">
        <f t="shared" si="510"/>
        <v>3.2348580364776067</v>
      </c>
    </row>
    <row r="69" spans="1:163" x14ac:dyDescent="0.2">
      <c r="A69" s="56" t="s">
        <v>130</v>
      </c>
      <c r="B69" s="57" t="s">
        <v>132</v>
      </c>
      <c r="C69" s="138">
        <v>40.65</v>
      </c>
      <c r="D69" s="98">
        <v>0.01</v>
      </c>
      <c r="E69" s="148">
        <f t="shared" si="511"/>
        <v>4.2134615013991066E-2</v>
      </c>
      <c r="F69" s="138">
        <v>0.04</v>
      </c>
      <c r="G69" s="138">
        <v>8.31</v>
      </c>
      <c r="H69" s="138">
        <v>0.12</v>
      </c>
      <c r="I69" s="138">
        <v>50.5</v>
      </c>
      <c r="J69" s="150">
        <f t="shared" si="512"/>
        <v>7.4597642679659334E-2</v>
      </c>
      <c r="K69" s="98">
        <v>0.01</v>
      </c>
      <c r="L69" s="98">
        <v>0.01</v>
      </c>
      <c r="M69" s="138">
        <v>0.42</v>
      </c>
      <c r="N69" s="141">
        <v>223</v>
      </c>
      <c r="O69" s="142">
        <v>533.14626733159537</v>
      </c>
      <c r="P69" s="11"/>
      <c r="Q69" s="140">
        <v>51.6</v>
      </c>
      <c r="R69" s="140">
        <v>0.56000000000000005</v>
      </c>
      <c r="S69" s="140">
        <v>6.24</v>
      </c>
      <c r="T69" s="140">
        <v>1.36</v>
      </c>
      <c r="U69" s="140">
        <v>2.77</v>
      </c>
      <c r="V69" s="140">
        <v>0.08</v>
      </c>
      <c r="W69" s="140">
        <v>15.75</v>
      </c>
      <c r="X69" s="140">
        <v>19</v>
      </c>
      <c r="Y69" s="140">
        <v>1.87</v>
      </c>
      <c r="Z69" s="100">
        <v>0.01</v>
      </c>
      <c r="AA69" s="140">
        <v>0.04</v>
      </c>
      <c r="AC69" s="139">
        <v>46.4</v>
      </c>
      <c r="AD69" s="139">
        <v>20.190000000000001</v>
      </c>
      <c r="AE69" s="11"/>
      <c r="AF69" s="83">
        <f t="shared" si="514"/>
        <v>0.22594699228513551</v>
      </c>
      <c r="AG69" s="22">
        <f t="shared" si="448"/>
        <v>9.080735994394626E-4</v>
      </c>
      <c r="AH69" s="126">
        <f t="shared" si="513"/>
        <v>1143.9341084173186</v>
      </c>
      <c r="AI69" s="126">
        <f t="shared" si="449"/>
        <v>1143.9347689175115</v>
      </c>
      <c r="AJ69" s="126">
        <f t="shared" si="450"/>
        <v>-6.6050019290742057E-4</v>
      </c>
      <c r="AK69" s="12"/>
      <c r="AL69" s="25">
        <f t="shared" si="451"/>
        <v>3.0776918429492217</v>
      </c>
      <c r="AN69" s="2">
        <v>15.999000000000001</v>
      </c>
      <c r="AO69" s="2">
        <v>28.085000000000001</v>
      </c>
      <c r="AP69" s="2">
        <v>47.866999999999997</v>
      </c>
      <c r="AQ69" s="2">
        <v>26.9815386</v>
      </c>
      <c r="AR69" s="2">
        <v>51.996099999999998</v>
      </c>
      <c r="AS69" s="2">
        <v>55.844999999999999</v>
      </c>
      <c r="AT69" s="2">
        <v>54.938045000000002</v>
      </c>
      <c r="AU69" s="2">
        <v>24.305</v>
      </c>
      <c r="AV69" s="2">
        <v>40.078000000000003</v>
      </c>
      <c r="AW69" s="2">
        <v>22.989769280000001</v>
      </c>
      <c r="AX69" s="2">
        <v>39.098300000000002</v>
      </c>
      <c r="AY69" s="2">
        <v>58.693399999999997</v>
      </c>
      <c r="BA69" s="2">
        <f>AN69*2+AO69</f>
        <v>60.082999999999998</v>
      </c>
      <c r="BB69" s="2">
        <f>AN69*2+AP69</f>
        <v>79.864999999999995</v>
      </c>
      <c r="BC69" s="2">
        <f>AQ69*2+AN69*3</f>
        <v>101.9600772</v>
      </c>
      <c r="BD69" s="2">
        <f>AR69*2+AN69*3</f>
        <v>151.98919999999998</v>
      </c>
      <c r="BE69" s="2">
        <f>AS69+AN69</f>
        <v>71.843999999999994</v>
      </c>
      <c r="BF69" s="2">
        <f>AT69+AN69</f>
        <v>70.937044999999998</v>
      </c>
      <c r="BG69" s="2">
        <f>AU69+AN69</f>
        <v>40.304000000000002</v>
      </c>
      <c r="BH69" s="2">
        <f>AV69+AN69</f>
        <v>56.077000000000005</v>
      </c>
      <c r="BI69" s="2">
        <f>AW69*2+AN69</f>
        <v>61.978538560000004</v>
      </c>
      <c r="BJ69" s="2">
        <f>AX69*2+AN69</f>
        <v>94.195599999999999</v>
      </c>
      <c r="BK69" s="2">
        <f>AY69+AN69</f>
        <v>74.692399999999992</v>
      </c>
      <c r="BM69" s="2">
        <f t="shared" si="452"/>
        <v>0.67656408634721965</v>
      </c>
      <c r="BN69" s="2">
        <f t="shared" si="453"/>
        <v>1.2521129405872411E-4</v>
      </c>
      <c r="BO69" s="2">
        <f t="shared" si="454"/>
        <v>4.132462054863084E-4</v>
      </c>
      <c r="BP69" s="2">
        <f t="shared" si="455"/>
        <v>2.6317659412642482E-4</v>
      </c>
      <c r="BQ69" s="2">
        <f t="shared" si="456"/>
        <v>0.11566727910472692</v>
      </c>
      <c r="BR69" s="2">
        <f t="shared" si="457"/>
        <v>1.6916408062952156E-3</v>
      </c>
      <c r="BS69" s="2">
        <f t="shared" si="458"/>
        <v>1.2529773719730051</v>
      </c>
      <c r="BT69" s="2">
        <f t="shared" si="459"/>
        <v>1.3302716386336525E-3</v>
      </c>
      <c r="BU69" s="2">
        <f t="shared" si="460"/>
        <v>1.6134617292273243E-4</v>
      </c>
      <c r="BV69" s="2">
        <f t="shared" si="461"/>
        <v>1.061620712644752E-4</v>
      </c>
      <c r="BW69" s="2">
        <f t="shared" si="462"/>
        <v>5.6230620518285665E-3</v>
      </c>
      <c r="BY69" s="2">
        <f t="shared" si="463"/>
        <v>0.67656408634721965</v>
      </c>
      <c r="BZ69" s="2">
        <f t="shared" si="463"/>
        <v>1.2521129405872411E-4</v>
      </c>
      <c r="CA69" s="2">
        <f t="shared" si="464"/>
        <v>8.2649241097261679E-4</v>
      </c>
      <c r="CB69" s="2">
        <f t="shared" si="464"/>
        <v>5.2635318825284964E-4</v>
      </c>
      <c r="CC69" s="2">
        <f t="shared" si="465"/>
        <v>0.11566727910472692</v>
      </c>
      <c r="CD69" s="2">
        <f t="shared" si="465"/>
        <v>1.6916408062952156E-3</v>
      </c>
      <c r="CE69" s="2">
        <f t="shared" si="465"/>
        <v>1.2529773719730051</v>
      </c>
      <c r="CF69" s="2">
        <f t="shared" si="465"/>
        <v>1.3302716386336525E-3</v>
      </c>
      <c r="CG69" s="2">
        <f t="shared" si="466"/>
        <v>3.2269234584546486E-4</v>
      </c>
      <c r="CH69" s="2">
        <f t="shared" si="466"/>
        <v>2.123241425289504E-4</v>
      </c>
      <c r="CI69" s="2">
        <f>BW69</f>
        <v>5.6230620518285665E-3</v>
      </c>
      <c r="CK69" s="2">
        <f t="shared" si="467"/>
        <v>1.3531281726944393</v>
      </c>
      <c r="CL69" s="2">
        <f t="shared" si="467"/>
        <v>2.5042258811744822E-4</v>
      </c>
      <c r="CM69" s="2">
        <f t="shared" si="468"/>
        <v>1.2397386164589251E-3</v>
      </c>
      <c r="CN69" s="2">
        <f t="shared" si="468"/>
        <v>7.895297823792744E-4</v>
      </c>
      <c r="CO69" s="2">
        <f t="shared" si="469"/>
        <v>0.11566727910472692</v>
      </c>
      <c r="CP69" s="2">
        <f t="shared" si="469"/>
        <v>1.6916408062952156E-3</v>
      </c>
      <c r="CQ69" s="2">
        <f t="shared" si="469"/>
        <v>1.2529773719730051</v>
      </c>
      <c r="CR69" s="2">
        <f t="shared" si="469"/>
        <v>1.3302716386336525E-3</v>
      </c>
      <c r="CS69" s="2">
        <f t="shared" si="469"/>
        <v>1.6134617292273243E-4</v>
      </c>
      <c r="CT69" s="2">
        <f t="shared" si="469"/>
        <v>1.061620712644752E-4</v>
      </c>
      <c r="CU69" s="2">
        <f t="shared" si="469"/>
        <v>5.6230620518285665E-3</v>
      </c>
      <c r="CW69" s="14">
        <f>SUM(CK69:CU69)</f>
        <v>2.7329649975000714</v>
      </c>
      <c r="CY69" s="14">
        <f>4/CW69</f>
        <v>1.4636118661083934</v>
      </c>
      <c r="DA69" s="16">
        <f t="shared" si="470"/>
        <v>0.99022722496057436</v>
      </c>
      <c r="DB69" s="16">
        <f t="shared" si="471"/>
        <v>1.8326073575513599E-4</v>
      </c>
      <c r="DC69" s="16">
        <f t="shared" si="472"/>
        <v>1.2096640999480568E-3</v>
      </c>
      <c r="DD69" s="16">
        <f t="shared" si="473"/>
        <v>7.7037677209085579E-4</v>
      </c>
      <c r="DE69" s="16">
        <f t="shared" si="474"/>
        <v>0.16929200221814975</v>
      </c>
      <c r="DF69" s="16">
        <f t="shared" si="475"/>
        <v>2.4759055572868478E-3</v>
      </c>
      <c r="DG69" s="16">
        <f t="shared" si="476"/>
        <v>1.8338725495850006</v>
      </c>
      <c r="DH69" s="16">
        <f t="shared" si="477"/>
        <v>1.9470013554516706E-3</v>
      </c>
      <c r="DI69" s="16">
        <f t="shared" si="478"/>
        <v>4.7229634648177592E-4</v>
      </c>
      <c r="DJ69" s="16">
        <f t="shared" si="479"/>
        <v>3.1076013446666159E-4</v>
      </c>
      <c r="DK69" s="16">
        <f t="shared" si="480"/>
        <v>8.2299803429200999E-3</v>
      </c>
      <c r="DL69" s="16">
        <f t="shared" si="481"/>
        <v>0.91548772063395323</v>
      </c>
      <c r="DN69" s="2">
        <f t="shared" si="482"/>
        <v>0.85881197676547449</v>
      </c>
      <c r="DO69" s="2">
        <f t="shared" si="483"/>
        <v>7.0118324672885507E-3</v>
      </c>
      <c r="DP69" s="2">
        <f t="shared" si="484"/>
        <v>6.1200424434358906E-2</v>
      </c>
      <c r="DQ69" s="2">
        <f t="shared" si="485"/>
        <v>8.9480042002984435E-3</v>
      </c>
      <c r="DR69" s="2">
        <f t="shared" si="486"/>
        <v>3.855575970157564E-2</v>
      </c>
      <c r="DS69" s="2">
        <f t="shared" si="487"/>
        <v>1.1277605375301439E-3</v>
      </c>
      <c r="DT69" s="2">
        <f t="shared" si="488"/>
        <v>0.39078007145692734</v>
      </c>
      <c r="DU69" s="2">
        <f t="shared" si="489"/>
        <v>0.33881983700982576</v>
      </c>
      <c r="DV69" s="2">
        <f t="shared" si="490"/>
        <v>3.0171734336550966E-2</v>
      </c>
      <c r="DW69" s="2">
        <f t="shared" si="491"/>
        <v>1.061620712644752E-4</v>
      </c>
      <c r="DX69" s="2">
        <f t="shared" si="492"/>
        <v>5.3552971922176827E-4</v>
      </c>
      <c r="DZ69" s="2">
        <f t="shared" si="493"/>
        <v>1.717623953530949</v>
      </c>
      <c r="EA69" s="2">
        <f t="shared" si="493"/>
        <v>1.4023664934577101E-2</v>
      </c>
      <c r="EB69" s="2">
        <f t="shared" si="494"/>
        <v>0.18360127330307671</v>
      </c>
      <c r="EC69" s="2">
        <f t="shared" si="494"/>
        <v>2.684401260089533E-2</v>
      </c>
      <c r="ED69" s="2">
        <f t="shared" si="495"/>
        <v>3.855575970157564E-2</v>
      </c>
      <c r="EE69" s="2">
        <f t="shared" si="495"/>
        <v>1.1277605375301439E-3</v>
      </c>
      <c r="EF69" s="2">
        <f t="shared" si="495"/>
        <v>0.39078007145692734</v>
      </c>
      <c r="EG69" s="2">
        <f t="shared" si="495"/>
        <v>0.33881983700982576</v>
      </c>
      <c r="EH69" s="2">
        <f t="shared" si="495"/>
        <v>3.0171734336550966E-2</v>
      </c>
      <c r="EI69" s="2">
        <f t="shared" si="495"/>
        <v>1.061620712644752E-4</v>
      </c>
      <c r="EJ69" s="2">
        <f t="shared" si="495"/>
        <v>5.3552971922176827E-4</v>
      </c>
      <c r="EL69" s="16">
        <f>SUM(DZ69:EJ69)</f>
        <v>2.7421897592023941</v>
      </c>
      <c r="EN69" s="14">
        <f>6/EL69</f>
        <v>2.1880323853828365</v>
      </c>
      <c r="EP69" s="16">
        <f t="shared" si="496"/>
        <v>1.8791084181175104</v>
      </c>
      <c r="EQ69" s="16">
        <f t="shared" si="497"/>
        <v>1.5342116519306188E-2</v>
      </c>
      <c r="ER69" s="16">
        <f t="shared" si="498"/>
        <v>0.2678170213231047</v>
      </c>
      <c r="ES69" s="16">
        <f t="shared" si="499"/>
        <v>3.9157045949589291E-2</v>
      </c>
      <c r="ET69" s="16">
        <f t="shared" si="500"/>
        <v>8.4361250870085988E-2</v>
      </c>
      <c r="EU69" s="16">
        <f t="shared" si="501"/>
        <v>2.4675765790727108E-3</v>
      </c>
      <c r="EV69" s="16">
        <f t="shared" si="502"/>
        <v>0.85503945190997599</v>
      </c>
      <c r="EW69" s="16">
        <f t="shared" si="503"/>
        <v>0.74134877618763295</v>
      </c>
      <c r="EX69" s="16">
        <f t="shared" si="504"/>
        <v>0.13203346370308169</v>
      </c>
      <c r="EY69" s="16">
        <f t="shared" si="505"/>
        <v>4.6457210005198472E-4</v>
      </c>
      <c r="EZ69" s="16">
        <f>DX69*$EN69</f>
        <v>1.1717563689922063E-3</v>
      </c>
      <c r="FB69" s="14">
        <f t="shared" si="506"/>
        <v>-5.9421807751094722</v>
      </c>
      <c r="FC69" s="4">
        <f t="shared" si="507"/>
        <v>2.7630084519942892</v>
      </c>
      <c r="FD69" s="4">
        <f t="shared" si="508"/>
        <v>2.0153199602649936</v>
      </c>
      <c r="FE69" s="4">
        <f t="shared" si="509"/>
        <v>2.7630084519942892</v>
      </c>
      <c r="FG69" s="4">
        <f t="shared" si="510"/>
        <v>3.0776918429492217</v>
      </c>
    </row>
    <row r="70" spans="1:163" x14ac:dyDescent="0.2">
      <c r="A70" s="56" t="s">
        <v>131</v>
      </c>
      <c r="B70" s="57" t="s">
        <v>132</v>
      </c>
      <c r="C70" s="138">
        <v>40.549999999999997</v>
      </c>
      <c r="D70" s="98">
        <v>0.02</v>
      </c>
      <c r="E70" s="148">
        <f t="shared" si="511"/>
        <v>6.4052172599744273E-2</v>
      </c>
      <c r="F70" s="138">
        <v>0.04</v>
      </c>
      <c r="G70" s="138">
        <v>12.55</v>
      </c>
      <c r="H70" s="138">
        <v>0.16</v>
      </c>
      <c r="I70" s="138">
        <v>47.3</v>
      </c>
      <c r="J70" s="150">
        <f t="shared" si="512"/>
        <v>0.11616698576785295</v>
      </c>
      <c r="K70" s="98">
        <v>0.02</v>
      </c>
      <c r="L70" s="98">
        <v>0.01</v>
      </c>
      <c r="M70" s="138">
        <v>0.37</v>
      </c>
      <c r="N70" s="141">
        <v>339</v>
      </c>
      <c r="O70" s="142">
        <v>830.2406433304227</v>
      </c>
      <c r="P70" s="11"/>
      <c r="Q70" s="140">
        <v>50.2</v>
      </c>
      <c r="R70" s="140">
        <v>1.3</v>
      </c>
      <c r="S70" s="140">
        <v>5.94</v>
      </c>
      <c r="T70" s="140">
        <v>1.27</v>
      </c>
      <c r="U70" s="140">
        <v>4.1500000000000004</v>
      </c>
      <c r="V70" s="140">
        <v>0.11</v>
      </c>
      <c r="W70" s="140">
        <v>15.15</v>
      </c>
      <c r="X70" s="140">
        <v>18.899999999999999</v>
      </c>
      <c r="Y70" s="140">
        <v>1.56</v>
      </c>
      <c r="Z70" s="100"/>
      <c r="AA70" s="140">
        <v>0.06</v>
      </c>
      <c r="AC70" s="139">
        <v>35.950000000000003</v>
      </c>
      <c r="AD70" s="139">
        <v>25.56</v>
      </c>
      <c r="AE70" s="11"/>
      <c r="AF70" s="83">
        <f t="shared" si="514"/>
        <v>0.32293234462978504</v>
      </c>
      <c r="AG70" s="22">
        <f t="shared" si="448"/>
        <v>1.7817016022181995E-3</v>
      </c>
      <c r="AH70" s="126">
        <f t="shared" si="513"/>
        <v>1256.3678216514293</v>
      </c>
      <c r="AI70" s="126">
        <f t="shared" si="449"/>
        <v>1256.3678225639637</v>
      </c>
      <c r="AJ70" s="126">
        <f t="shared" si="450"/>
        <v>-9.1253446043992881E-7</v>
      </c>
      <c r="AK70" s="12"/>
      <c r="AL70" s="25">
        <f t="shared" si="451"/>
        <v>3.5209991504865861</v>
      </c>
      <c r="AN70" s="2">
        <v>15.999000000000001</v>
      </c>
      <c r="AO70" s="2">
        <v>28.085000000000001</v>
      </c>
      <c r="AP70" s="2">
        <v>47.866999999999997</v>
      </c>
      <c r="AQ70" s="2">
        <v>26.9815386</v>
      </c>
      <c r="AR70" s="2">
        <v>51.996099999999998</v>
      </c>
      <c r="AS70" s="2">
        <v>55.844999999999999</v>
      </c>
      <c r="AT70" s="2">
        <v>54.938045000000002</v>
      </c>
      <c r="AU70" s="2">
        <v>24.305</v>
      </c>
      <c r="AV70" s="2">
        <v>40.078000000000003</v>
      </c>
      <c r="AW70" s="2">
        <v>22.989769280000001</v>
      </c>
      <c r="AX70" s="2">
        <v>39.098300000000002</v>
      </c>
      <c r="AY70" s="2">
        <v>58.693399999999997</v>
      </c>
      <c r="BA70" s="2">
        <f>AN70*2+AO70</f>
        <v>60.082999999999998</v>
      </c>
      <c r="BB70" s="2">
        <f>AN70*2+AP70</f>
        <v>79.864999999999995</v>
      </c>
      <c r="BC70" s="2">
        <f>AQ70*2+AN70*3</f>
        <v>101.9600772</v>
      </c>
      <c r="BD70" s="2">
        <f>AR70*2+AN70*3</f>
        <v>151.98919999999998</v>
      </c>
      <c r="BE70" s="2">
        <f>AS70+AN70</f>
        <v>71.843999999999994</v>
      </c>
      <c r="BF70" s="2">
        <f>AT70+AN70</f>
        <v>70.937044999999998</v>
      </c>
      <c r="BG70" s="2">
        <f>AU70+AN70</f>
        <v>40.304000000000002</v>
      </c>
      <c r="BH70" s="2">
        <f>AV70+AN70</f>
        <v>56.077000000000005</v>
      </c>
      <c r="BI70" s="2">
        <f>AW70*2+AN70</f>
        <v>61.978538560000004</v>
      </c>
      <c r="BJ70" s="2">
        <f>AX70*2+AN70</f>
        <v>94.195599999999999</v>
      </c>
      <c r="BK70" s="2">
        <f>AY70+AN70</f>
        <v>74.692399999999992</v>
      </c>
      <c r="BM70" s="2">
        <f t="shared" si="452"/>
        <v>0.67489972205116255</v>
      </c>
      <c r="BN70" s="2">
        <f t="shared" si="453"/>
        <v>2.5042258811744822E-4</v>
      </c>
      <c r="BO70" s="2">
        <f t="shared" si="454"/>
        <v>6.2820835721909664E-4</v>
      </c>
      <c r="BP70" s="2">
        <f t="shared" si="455"/>
        <v>2.6317659412642482E-4</v>
      </c>
      <c r="BQ70" s="2">
        <f t="shared" si="456"/>
        <v>0.17468403763710263</v>
      </c>
      <c r="BR70" s="2">
        <f t="shared" si="457"/>
        <v>2.2555210750602878E-3</v>
      </c>
      <c r="BS70" s="2">
        <f t="shared" si="458"/>
        <v>1.1735807860262006</v>
      </c>
      <c r="BT70" s="2">
        <f t="shared" si="459"/>
        <v>2.0715620623045624E-3</v>
      </c>
      <c r="BU70" s="2">
        <f t="shared" si="460"/>
        <v>3.2269234584546486E-4</v>
      </c>
      <c r="BV70" s="2">
        <f t="shared" si="461"/>
        <v>1.061620712644752E-4</v>
      </c>
      <c r="BW70" s="2">
        <f t="shared" si="462"/>
        <v>4.9536499028013563E-3</v>
      </c>
      <c r="BY70" s="2">
        <f t="shared" si="463"/>
        <v>0.67489972205116255</v>
      </c>
      <c r="BZ70" s="2">
        <f t="shared" si="463"/>
        <v>2.5042258811744822E-4</v>
      </c>
      <c r="CA70" s="2">
        <f t="shared" si="464"/>
        <v>1.2564167144381933E-3</v>
      </c>
      <c r="CB70" s="2">
        <f t="shared" si="464"/>
        <v>5.2635318825284964E-4</v>
      </c>
      <c r="CC70" s="2">
        <f t="shared" si="465"/>
        <v>0.17468403763710263</v>
      </c>
      <c r="CD70" s="2">
        <f t="shared" si="465"/>
        <v>2.2555210750602878E-3</v>
      </c>
      <c r="CE70" s="2">
        <f t="shared" si="465"/>
        <v>1.1735807860262006</v>
      </c>
      <c r="CF70" s="2">
        <f t="shared" si="465"/>
        <v>2.0715620623045624E-3</v>
      </c>
      <c r="CG70" s="2">
        <f t="shared" si="466"/>
        <v>6.4538469169092972E-4</v>
      </c>
      <c r="CH70" s="2">
        <f t="shared" si="466"/>
        <v>2.123241425289504E-4</v>
      </c>
      <c r="CI70" s="2">
        <f>BW70</f>
        <v>4.9536499028013563E-3</v>
      </c>
      <c r="CK70" s="2">
        <f t="shared" si="467"/>
        <v>1.3497994441023251</v>
      </c>
      <c r="CL70" s="2">
        <f t="shared" si="467"/>
        <v>5.0084517623489645E-4</v>
      </c>
      <c r="CM70" s="2">
        <f t="shared" si="468"/>
        <v>1.8846250716572899E-3</v>
      </c>
      <c r="CN70" s="2">
        <f t="shared" si="468"/>
        <v>7.895297823792744E-4</v>
      </c>
      <c r="CO70" s="2">
        <f t="shared" si="469"/>
        <v>0.17468403763710263</v>
      </c>
      <c r="CP70" s="2">
        <f t="shared" si="469"/>
        <v>2.2555210750602878E-3</v>
      </c>
      <c r="CQ70" s="2">
        <f t="shared" si="469"/>
        <v>1.1735807860262006</v>
      </c>
      <c r="CR70" s="2">
        <f t="shared" si="469"/>
        <v>2.0715620623045624E-3</v>
      </c>
      <c r="CS70" s="2">
        <f t="shared" si="469"/>
        <v>3.2269234584546486E-4</v>
      </c>
      <c r="CT70" s="2">
        <f t="shared" si="469"/>
        <v>1.061620712644752E-4</v>
      </c>
      <c r="CU70" s="2">
        <f t="shared" si="469"/>
        <v>4.9536499028013563E-3</v>
      </c>
      <c r="CW70" s="14">
        <f>SUM(CK70:CU70)</f>
        <v>2.710948855253176</v>
      </c>
      <c r="CY70" s="14">
        <f>4/CW70</f>
        <v>1.475498142375113</v>
      </c>
      <c r="DA70" s="16">
        <f t="shared" si="470"/>
        <v>0.99581328617597042</v>
      </c>
      <c r="DB70" s="16">
        <f t="shared" si="471"/>
        <v>3.6949806357606288E-4</v>
      </c>
      <c r="DC70" s="16">
        <f t="shared" si="472"/>
        <v>1.8538405282025969E-3</v>
      </c>
      <c r="DD70" s="16">
        <f t="shared" si="473"/>
        <v>7.7663315150029776E-4</v>
      </c>
      <c r="DE70" s="16">
        <f t="shared" si="474"/>
        <v>0.25774597303612928</v>
      </c>
      <c r="DF70" s="16">
        <f t="shared" si="475"/>
        <v>3.3280171563393724E-3</v>
      </c>
      <c r="DG70" s="16">
        <f t="shared" si="476"/>
        <v>1.731616269708784</v>
      </c>
      <c r="DH70" s="16">
        <f t="shared" si="477"/>
        <v>3.0565859747451402E-3</v>
      </c>
      <c r="DI70" s="16">
        <f t="shared" si="478"/>
        <v>9.5226391370730184E-4</v>
      </c>
      <c r="DJ70" s="16">
        <f t="shared" si="479"/>
        <v>3.1328387788285504E-4</v>
      </c>
      <c r="DK70" s="16">
        <f t="shared" si="480"/>
        <v>7.3091012295600603E-3</v>
      </c>
      <c r="DL70" s="16">
        <f t="shared" si="481"/>
        <v>0.87043788833526237</v>
      </c>
      <c r="DN70" s="2">
        <f t="shared" si="482"/>
        <v>0.8355108766206748</v>
      </c>
      <c r="DO70" s="2">
        <f t="shared" si="483"/>
        <v>1.6277468227634134E-2</v>
      </c>
      <c r="DP70" s="2">
        <f t="shared" si="484"/>
        <v>5.825809633655319E-2</v>
      </c>
      <c r="DQ70" s="2">
        <f t="shared" si="485"/>
        <v>8.3558568635139878E-3</v>
      </c>
      <c r="DR70" s="2">
        <f t="shared" si="486"/>
        <v>5.7764044318245097E-2</v>
      </c>
      <c r="DS70" s="2">
        <f t="shared" si="487"/>
        <v>1.5506707391039478E-3</v>
      </c>
      <c r="DT70" s="2">
        <f t="shared" si="488"/>
        <v>0.37589321159190153</v>
      </c>
      <c r="DU70" s="2">
        <f t="shared" si="489"/>
        <v>0.337036574709774</v>
      </c>
      <c r="DV70" s="2">
        <f t="shared" si="490"/>
        <v>2.5170002975946258E-2</v>
      </c>
      <c r="DW70" s="2">
        <f t="shared" si="491"/>
        <v>0</v>
      </c>
      <c r="DX70" s="2">
        <f t="shared" si="492"/>
        <v>8.0329457883265235E-4</v>
      </c>
      <c r="DZ70" s="2">
        <f t="shared" si="493"/>
        <v>1.6710217532413496</v>
      </c>
      <c r="EA70" s="2">
        <f t="shared" si="493"/>
        <v>3.2554936455268267E-2</v>
      </c>
      <c r="EB70" s="2">
        <f t="shared" si="494"/>
        <v>0.17477428900965958</v>
      </c>
      <c r="EC70" s="2">
        <f t="shared" si="494"/>
        <v>2.5067570590541963E-2</v>
      </c>
      <c r="ED70" s="2">
        <f t="shared" si="495"/>
        <v>5.7764044318245097E-2</v>
      </c>
      <c r="EE70" s="2">
        <f t="shared" si="495"/>
        <v>1.5506707391039478E-3</v>
      </c>
      <c r="EF70" s="2">
        <f t="shared" si="495"/>
        <v>0.37589321159190153</v>
      </c>
      <c r="EG70" s="2">
        <f t="shared" si="495"/>
        <v>0.337036574709774</v>
      </c>
      <c r="EH70" s="2">
        <f t="shared" si="495"/>
        <v>2.5170002975946258E-2</v>
      </c>
      <c r="EI70" s="2">
        <f t="shared" si="495"/>
        <v>0</v>
      </c>
      <c r="EJ70" s="2">
        <f t="shared" si="495"/>
        <v>8.0329457883265235E-4</v>
      </c>
      <c r="EL70" s="16">
        <f>SUM(DZ70:EJ70)</f>
        <v>2.7016363482106227</v>
      </c>
      <c r="EN70" s="14">
        <f>6/EL70</f>
        <v>2.2208762493049758</v>
      </c>
      <c r="EP70" s="16">
        <f t="shared" si="496"/>
        <v>1.8555662619228366</v>
      </c>
      <c r="EQ70" s="16">
        <f t="shared" si="497"/>
        <v>3.6150242585569009E-2</v>
      </c>
      <c r="ER70" s="16">
        <f t="shared" si="498"/>
        <v>0.25876804496714439</v>
      </c>
      <c r="ES70" s="16">
        <f t="shared" si="499"/>
        <v>3.7114648101540366E-2</v>
      </c>
      <c r="ET70" s="16">
        <f t="shared" si="500"/>
        <v>0.12828679409019056</v>
      </c>
      <c r="EU70" s="16">
        <f t="shared" si="501"/>
        <v>3.4438478149681506E-3</v>
      </c>
      <c r="EV70" s="16">
        <f t="shared" si="502"/>
        <v>0.8348123058994239</v>
      </c>
      <c r="EW70" s="16">
        <f t="shared" si="503"/>
        <v>0.7485165239200392</v>
      </c>
      <c r="EX70" s="16">
        <f t="shared" si="504"/>
        <v>0.11179892360842922</v>
      </c>
      <c r="EY70" s="16">
        <f t="shared" si="505"/>
        <v>0</v>
      </c>
      <c r="EZ70" s="16">
        <f>DX70*$EN70</f>
        <v>1.7840178513248812E-3</v>
      </c>
      <c r="FB70" s="14">
        <f t="shared" si="506"/>
        <v>-5.5007946810753863</v>
      </c>
      <c r="FC70" s="4">
        <f t="shared" si="507"/>
        <v>3.4728758272414431</v>
      </c>
      <c r="FD70" s="4">
        <f t="shared" si="508"/>
        <v>1.6683025921970482</v>
      </c>
      <c r="FE70" s="4">
        <f t="shared" si="509"/>
        <v>3.4728758272414431</v>
      </c>
      <c r="FG70" s="4">
        <f t="shared" si="510"/>
        <v>3.5209991504865861</v>
      </c>
    </row>
    <row r="71" spans="1:163" x14ac:dyDescent="0.2">
      <c r="A71" s="56" t="s">
        <v>133</v>
      </c>
      <c r="B71" s="57" t="s">
        <v>145</v>
      </c>
      <c r="C71" s="138">
        <v>41.46668962334406</v>
      </c>
      <c r="D71" s="98">
        <v>1.5059852130797134E-3</v>
      </c>
      <c r="E71" s="148">
        <f t="shared" si="511"/>
        <v>9.0573007729524008E-3</v>
      </c>
      <c r="F71" s="138">
        <v>4.1355122783021617E-3</v>
      </c>
      <c r="G71" s="138">
        <v>8.9744333097865425</v>
      </c>
      <c r="H71" s="138">
        <v>0.11936499420603429</v>
      </c>
      <c r="I71" s="138">
        <v>49.078932162895143</v>
      </c>
      <c r="J71" s="150">
        <f t="shared" si="512"/>
        <v>3.1776627931358957E-2</v>
      </c>
      <c r="K71" s="98">
        <v>6.1615085145573078E-3</v>
      </c>
      <c r="L71" s="98"/>
      <c r="M71" s="138">
        <v>0.36057990976820919</v>
      </c>
      <c r="N71" s="141">
        <v>47.936312499774949</v>
      </c>
      <c r="O71" s="142">
        <v>227.10624573943051</v>
      </c>
      <c r="P71" s="11"/>
      <c r="Q71" s="140">
        <v>52.561269586179193</v>
      </c>
      <c r="R71" s="140">
        <v>0.3917235837685818</v>
      </c>
      <c r="S71" s="140">
        <v>4.9919646444355177</v>
      </c>
      <c r="T71" s="140">
        <v>0.81357975090397772</v>
      </c>
      <c r="U71" s="140">
        <v>2.792286058658096</v>
      </c>
      <c r="V71" s="140">
        <v>0</v>
      </c>
      <c r="W71" s="140">
        <v>15.176777822418646</v>
      </c>
      <c r="X71" s="140">
        <v>22.087183607874653</v>
      </c>
      <c r="Y71" s="140">
        <v>1.1852149457613501</v>
      </c>
      <c r="Z71" s="100"/>
      <c r="AA71" s="140"/>
      <c r="AC71" s="139">
        <v>54.895245769540693</v>
      </c>
      <c r="AD71" s="139">
        <v>12.520145044319097</v>
      </c>
      <c r="AE71" s="11"/>
      <c r="AF71" s="83">
        <f t="shared" si="514"/>
        <v>0.13269750195298355</v>
      </c>
      <c r="AG71" s="22">
        <f t="shared" si="448"/>
        <v>1.6499244417224115E-4</v>
      </c>
      <c r="AH71" s="126">
        <f t="shared" si="513"/>
        <v>902.80307109577393</v>
      </c>
      <c r="AI71" s="126">
        <f t="shared" si="449"/>
        <v>902.65314486136526</v>
      </c>
      <c r="AJ71" s="126">
        <f t="shared" si="450"/>
        <v>0.14992623440866737</v>
      </c>
      <c r="AK71" s="12"/>
      <c r="AL71" s="25">
        <f t="shared" si="451"/>
        <v>1.5619441252616053</v>
      </c>
      <c r="AN71" s="2">
        <v>15.999000000000001</v>
      </c>
      <c r="AO71" s="2">
        <v>28.085000000000001</v>
      </c>
      <c r="AP71" s="2">
        <v>47.866999999999997</v>
      </c>
      <c r="AQ71" s="2">
        <v>26.9815386</v>
      </c>
      <c r="AR71" s="2">
        <v>51.996099999999998</v>
      </c>
      <c r="AS71" s="2">
        <v>55.844999999999999</v>
      </c>
      <c r="AT71" s="2">
        <v>54.938045000000002</v>
      </c>
      <c r="AU71" s="2">
        <v>24.305</v>
      </c>
      <c r="AV71" s="2">
        <v>40.078000000000003</v>
      </c>
      <c r="AW71" s="2">
        <v>22.989769280000001</v>
      </c>
      <c r="AX71" s="2">
        <v>39.098300000000002</v>
      </c>
      <c r="AY71" s="2">
        <v>58.693399999999997</v>
      </c>
      <c r="BA71" s="2">
        <f t="shared" ref="BA71:BA72" si="515">AN71*2+AO71</f>
        <v>60.082999999999998</v>
      </c>
      <c r="BB71" s="2">
        <f t="shared" ref="BB71:BB72" si="516">AN71*2+AP71</f>
        <v>79.864999999999995</v>
      </c>
      <c r="BC71" s="2">
        <f t="shared" ref="BC71:BC72" si="517">AQ71*2+AN71*3</f>
        <v>101.9600772</v>
      </c>
      <c r="BD71" s="2">
        <f t="shared" ref="BD71:BD72" si="518">AR71*2+AN71*3</f>
        <v>151.98919999999998</v>
      </c>
      <c r="BE71" s="2">
        <f t="shared" ref="BE71:BE72" si="519">AS71+AN71</f>
        <v>71.843999999999994</v>
      </c>
      <c r="BF71" s="2">
        <f t="shared" ref="BF71:BF72" si="520">AT71+AN71</f>
        <v>70.937044999999998</v>
      </c>
      <c r="BG71" s="2">
        <f t="shared" ref="BG71:BG72" si="521">AU71+AN71</f>
        <v>40.304000000000002</v>
      </c>
      <c r="BH71" s="2">
        <f t="shared" ref="BH71:BH72" si="522">AV71+AN71</f>
        <v>56.077000000000005</v>
      </c>
      <c r="BI71" s="2">
        <f t="shared" ref="BI71:BI72" si="523">AW71*2+AN71</f>
        <v>61.978538560000004</v>
      </c>
      <c r="BJ71" s="2">
        <f t="shared" ref="BJ71:BJ72" si="524">AX71*2+AN71</f>
        <v>94.195599999999999</v>
      </c>
      <c r="BK71" s="2">
        <f t="shared" ref="BK71:BK72" si="525">AY71+AN71</f>
        <v>74.692399999999992</v>
      </c>
      <c r="BM71" s="2">
        <f t="shared" si="452"/>
        <v>0.69015677684776155</v>
      </c>
      <c r="BN71" s="2">
        <f t="shared" si="453"/>
        <v>1.8856635736301429E-5</v>
      </c>
      <c r="BO71" s="2">
        <f t="shared" si="454"/>
        <v>8.8831835181784276E-5</v>
      </c>
      <c r="BP71" s="2">
        <f t="shared" si="455"/>
        <v>2.7209250909289358E-5</v>
      </c>
      <c r="BQ71" s="2">
        <f t="shared" si="456"/>
        <v>0.12491555745485418</v>
      </c>
      <c r="BR71" s="2">
        <f t="shared" si="457"/>
        <v>1.6826891253509967E-3</v>
      </c>
      <c r="BS71" s="2">
        <f t="shared" si="458"/>
        <v>1.2177186423902129</v>
      </c>
      <c r="BT71" s="2">
        <f t="shared" si="459"/>
        <v>5.6666062612762726E-4</v>
      </c>
      <c r="BU71" s="2">
        <f t="shared" si="460"/>
        <v>9.9413581825465158E-5</v>
      </c>
      <c r="BV71" s="2">
        <f t="shared" si="461"/>
        <v>0</v>
      </c>
      <c r="BW71" s="2">
        <f t="shared" si="462"/>
        <v>4.8275314458794899E-3</v>
      </c>
      <c r="BY71" s="2">
        <f t="shared" si="463"/>
        <v>0.69015677684776155</v>
      </c>
      <c r="BZ71" s="2">
        <f t="shared" si="463"/>
        <v>1.8856635736301429E-5</v>
      </c>
      <c r="CA71" s="2">
        <f t="shared" si="464"/>
        <v>1.7766367036356855E-4</v>
      </c>
      <c r="CB71" s="2">
        <f t="shared" si="464"/>
        <v>5.4418501818578715E-5</v>
      </c>
      <c r="CC71" s="2">
        <f t="shared" si="465"/>
        <v>0.12491555745485418</v>
      </c>
      <c r="CD71" s="2">
        <f t="shared" si="465"/>
        <v>1.6826891253509967E-3</v>
      </c>
      <c r="CE71" s="2">
        <f t="shared" si="465"/>
        <v>1.2177186423902129</v>
      </c>
      <c r="CF71" s="2">
        <f t="shared" si="465"/>
        <v>5.6666062612762726E-4</v>
      </c>
      <c r="CG71" s="2">
        <f t="shared" si="466"/>
        <v>1.9882716365093032E-4</v>
      </c>
      <c r="CH71" s="2">
        <f t="shared" si="466"/>
        <v>0</v>
      </c>
      <c r="CI71" s="2">
        <f t="shared" ref="CI71:CI72" si="526">BW71</f>
        <v>4.8275314458794899E-3</v>
      </c>
      <c r="CK71" s="2">
        <f t="shared" si="467"/>
        <v>1.3803135536955231</v>
      </c>
      <c r="CL71" s="2">
        <f t="shared" si="467"/>
        <v>3.7713271472602857E-5</v>
      </c>
      <c r="CM71" s="2">
        <f t="shared" si="468"/>
        <v>2.6649550554535282E-4</v>
      </c>
      <c r="CN71" s="2">
        <f t="shared" si="468"/>
        <v>8.162775272786807E-5</v>
      </c>
      <c r="CO71" s="2">
        <f t="shared" si="469"/>
        <v>0.12491555745485418</v>
      </c>
      <c r="CP71" s="2">
        <f t="shared" si="469"/>
        <v>1.6826891253509967E-3</v>
      </c>
      <c r="CQ71" s="2">
        <f t="shared" si="469"/>
        <v>1.2177186423902129</v>
      </c>
      <c r="CR71" s="2">
        <f t="shared" si="469"/>
        <v>5.6666062612762726E-4</v>
      </c>
      <c r="CS71" s="2">
        <f t="shared" si="469"/>
        <v>9.9413581825465158E-5</v>
      </c>
      <c r="CT71" s="2">
        <f t="shared" si="469"/>
        <v>0</v>
      </c>
      <c r="CU71" s="2">
        <f t="shared" si="469"/>
        <v>4.8275314458794899E-3</v>
      </c>
      <c r="CW71" s="14">
        <f t="shared" ref="CW71:CW72" si="527">SUM(CK71:CU71)</f>
        <v>2.7305098848495195</v>
      </c>
      <c r="CY71" s="14">
        <f t="shared" ref="CY71:CY72" si="528">4/CW71</f>
        <v>1.4649278591498096</v>
      </c>
      <c r="DA71" s="16">
        <f t="shared" si="470"/>
        <v>1.0110298895853242</v>
      </c>
      <c r="DB71" s="16">
        <f t="shared" si="471"/>
        <v>2.7623611019947847E-5</v>
      </c>
      <c r="DC71" s="16">
        <f t="shared" si="472"/>
        <v>2.6026446027439993E-4</v>
      </c>
      <c r="DD71" s="16">
        <f t="shared" si="473"/>
        <v>7.9719179367230541E-5</v>
      </c>
      <c r="DE71" s="16">
        <f t="shared" si="474"/>
        <v>0.18299228015684457</v>
      </c>
      <c r="DF71" s="16">
        <f t="shared" si="475"/>
        <v>2.4650181780151012E-3</v>
      </c>
      <c r="DG71" s="16">
        <f t="shared" si="476"/>
        <v>1.7838699638435072</v>
      </c>
      <c r="DH71" s="16">
        <f t="shared" si="477"/>
        <v>8.3011693789763563E-4</v>
      </c>
      <c r="DI71" s="16">
        <f t="shared" si="478"/>
        <v>2.9126745118798617E-4</v>
      </c>
      <c r="DJ71" s="16">
        <f t="shared" si="479"/>
        <v>0</v>
      </c>
      <c r="DK71" s="16">
        <f t="shared" si="480"/>
        <v>7.0719853059906263E-3</v>
      </c>
      <c r="DL71" s="16">
        <f t="shared" si="481"/>
        <v>0.9069623301199472</v>
      </c>
      <c r="DN71" s="2">
        <f t="shared" si="482"/>
        <v>0.87481100454669702</v>
      </c>
      <c r="DO71" s="2">
        <f t="shared" si="483"/>
        <v>4.9048216836985138E-3</v>
      </c>
      <c r="DP71" s="2">
        <f t="shared" si="484"/>
        <v>4.895999278858449E-2</v>
      </c>
      <c r="DQ71" s="2">
        <f t="shared" si="485"/>
        <v>5.352878697328348E-3</v>
      </c>
      <c r="DR71" s="2">
        <f t="shared" si="486"/>
        <v>3.8865960395552811E-2</v>
      </c>
      <c r="DS71" s="2">
        <f t="shared" si="487"/>
        <v>0</v>
      </c>
      <c r="DT71" s="2">
        <f t="shared" si="488"/>
        <v>0.37655760774162977</v>
      </c>
      <c r="DU71" s="2">
        <f t="shared" si="489"/>
        <v>0.39387241842243076</v>
      </c>
      <c r="DV71" s="2">
        <f t="shared" si="490"/>
        <v>1.9122989558941771E-2</v>
      </c>
      <c r="DW71" s="2">
        <f t="shared" si="491"/>
        <v>0</v>
      </c>
      <c r="DX71" s="2">
        <f t="shared" si="492"/>
        <v>0</v>
      </c>
      <c r="DZ71" s="2">
        <f t="shared" si="493"/>
        <v>1.749622009093394</v>
      </c>
      <c r="EA71" s="2">
        <f t="shared" si="493"/>
        <v>9.8096433673970276E-3</v>
      </c>
      <c r="EB71" s="2">
        <f t="shared" si="494"/>
        <v>0.14687997836575348</v>
      </c>
      <c r="EC71" s="2">
        <f t="shared" si="494"/>
        <v>1.6058636091985046E-2</v>
      </c>
      <c r="ED71" s="2">
        <f t="shared" si="495"/>
        <v>3.8865960395552811E-2</v>
      </c>
      <c r="EE71" s="2">
        <f t="shared" si="495"/>
        <v>0</v>
      </c>
      <c r="EF71" s="2">
        <f t="shared" si="495"/>
        <v>0.37655760774162977</v>
      </c>
      <c r="EG71" s="2">
        <f t="shared" si="495"/>
        <v>0.39387241842243076</v>
      </c>
      <c r="EH71" s="2">
        <f t="shared" si="495"/>
        <v>1.9122989558941771E-2</v>
      </c>
      <c r="EI71" s="2">
        <f t="shared" si="495"/>
        <v>0</v>
      </c>
      <c r="EJ71" s="2">
        <f t="shared" si="495"/>
        <v>0</v>
      </c>
      <c r="EL71" s="16">
        <f t="shared" ref="EL71:EL72" si="529">SUM(DZ71:EJ71)</f>
        <v>2.7507892430370848</v>
      </c>
      <c r="EN71" s="14">
        <f t="shared" ref="EN71:EN72" si="530">6/EL71</f>
        <v>2.1811921851837455</v>
      </c>
      <c r="EP71" s="16">
        <f t="shared" si="496"/>
        <v>1.9081309266299975</v>
      </c>
      <c r="EQ71" s="16">
        <f t="shared" si="497"/>
        <v>1.069835872620298E-2</v>
      </c>
      <c r="ER71" s="16">
        <f t="shared" si="498"/>
        <v>0.21358230731422606</v>
      </c>
      <c r="ES71" s="16">
        <f t="shared" si="499"/>
        <v>2.3351314365698282E-2</v>
      </c>
      <c r="ET71" s="16">
        <f t="shared" si="500"/>
        <v>8.477412908444075E-2</v>
      </c>
      <c r="EU71" s="16">
        <f t="shared" si="501"/>
        <v>0</v>
      </c>
      <c r="EV71" s="16">
        <f t="shared" si="502"/>
        <v>0.82134451127752917</v>
      </c>
      <c r="EW71" s="16">
        <f t="shared" si="503"/>
        <v>0.85911144102242831</v>
      </c>
      <c r="EX71" s="16">
        <f t="shared" si="504"/>
        <v>8.3421830766628305E-2</v>
      </c>
      <c r="EY71" s="16">
        <f t="shared" si="505"/>
        <v>0</v>
      </c>
      <c r="EZ71" s="16">
        <f t="shared" ref="EZ71:EZ72" si="531">DX71*$EN71</f>
        <v>0</v>
      </c>
      <c r="FB71" s="14">
        <f t="shared" si="506"/>
        <v>-6.9420873460887789</v>
      </c>
      <c r="FC71" s="4">
        <f t="shared" si="507"/>
        <v>0.75654218505701054</v>
      </c>
      <c r="FD71" s="4">
        <f t="shared" si="508"/>
        <v>2.1194677234743042</v>
      </c>
      <c r="FE71" s="4">
        <f t="shared" si="509"/>
        <v>2.1194677234743042</v>
      </c>
      <c r="FG71" s="4">
        <f t="shared" si="510"/>
        <v>1.5619441252616053</v>
      </c>
    </row>
    <row r="72" spans="1:163" x14ac:dyDescent="0.2">
      <c r="A72" s="56" t="s">
        <v>134</v>
      </c>
      <c r="B72" s="57" t="s">
        <v>145</v>
      </c>
      <c r="C72" s="138">
        <v>41.354961841290219</v>
      </c>
      <c r="D72" s="98">
        <v>2.940373348966031E-3</v>
      </c>
      <c r="E72" s="148">
        <f t="shared" si="511"/>
        <v>2.2148551309512508E-2</v>
      </c>
      <c r="F72" s="138">
        <v>1.2715015652216824E-2</v>
      </c>
      <c r="G72" s="138">
        <v>8.3312180408424474</v>
      </c>
      <c r="H72" s="138">
        <v>0.12575963086464256</v>
      </c>
      <c r="I72" s="138">
        <v>49.776518391009269</v>
      </c>
      <c r="J72" s="150">
        <f t="shared" si="512"/>
        <v>5.4069148897186302E-2</v>
      </c>
      <c r="K72" s="98">
        <v>1.3064608299390585E-2</v>
      </c>
      <c r="L72" s="98"/>
      <c r="M72" s="138">
        <v>0.41154209599342206</v>
      </c>
      <c r="N72" s="141">
        <v>117.22254826301892</v>
      </c>
      <c r="O72" s="142">
        <v>386.42997120056936</v>
      </c>
      <c r="P72" s="11"/>
      <c r="Q72" s="140">
        <v>53.104689531046908</v>
      </c>
      <c r="R72" s="140">
        <v>0.36996300369963014</v>
      </c>
      <c r="S72" s="140">
        <v>4.859514048595142</v>
      </c>
      <c r="T72" s="140">
        <v>1.0298970102989702</v>
      </c>
      <c r="U72" s="140">
        <v>2.1897810218978107</v>
      </c>
      <c r="V72" s="140">
        <v>0</v>
      </c>
      <c r="W72" s="140">
        <v>15.678432156784325</v>
      </c>
      <c r="X72" s="140">
        <v>21.307869213078696</v>
      </c>
      <c r="Y72" s="140">
        <v>1.4598540145985406</v>
      </c>
      <c r="Z72" s="100"/>
      <c r="AA72" s="140"/>
      <c r="AC72" s="139">
        <v>49.205231388329977</v>
      </c>
      <c r="AD72" s="139">
        <v>20.221327967806843</v>
      </c>
      <c r="AE72" s="11"/>
      <c r="AF72" s="83">
        <f t="shared" si="514"/>
        <v>0.2161085095955744</v>
      </c>
      <c r="AG72" s="22">
        <f t="shared" si="448"/>
        <v>4.5012594564824033E-4</v>
      </c>
      <c r="AH72" s="126">
        <f t="shared" si="513"/>
        <v>1029.370466220236</v>
      </c>
      <c r="AI72" s="126">
        <f t="shared" si="449"/>
        <v>1029.2207572296902</v>
      </c>
      <c r="AJ72" s="126">
        <f t="shared" si="450"/>
        <v>0.14970899054583242</v>
      </c>
      <c r="AK72" s="12"/>
      <c r="AL72" s="25">
        <f t="shared" si="451"/>
        <v>2.284518664197428</v>
      </c>
      <c r="AN72" s="2">
        <v>15.999000000000001</v>
      </c>
      <c r="AO72" s="2">
        <v>28.085000000000001</v>
      </c>
      <c r="AP72" s="2">
        <v>47.866999999999997</v>
      </c>
      <c r="AQ72" s="2">
        <v>26.9815386</v>
      </c>
      <c r="AR72" s="2">
        <v>51.996099999999998</v>
      </c>
      <c r="AS72" s="2">
        <v>55.844999999999999</v>
      </c>
      <c r="AT72" s="2">
        <v>54.938045000000002</v>
      </c>
      <c r="AU72" s="2">
        <v>24.305</v>
      </c>
      <c r="AV72" s="2">
        <v>40.078000000000003</v>
      </c>
      <c r="AW72" s="2">
        <v>22.989769280000001</v>
      </c>
      <c r="AX72" s="2">
        <v>39.098300000000002</v>
      </c>
      <c r="AY72" s="2">
        <v>58.693399999999997</v>
      </c>
      <c r="BA72" s="2">
        <f t="shared" si="515"/>
        <v>60.082999999999998</v>
      </c>
      <c r="BB72" s="2">
        <f t="shared" si="516"/>
        <v>79.864999999999995</v>
      </c>
      <c r="BC72" s="2">
        <f t="shared" si="517"/>
        <v>101.9600772</v>
      </c>
      <c r="BD72" s="2">
        <f t="shared" si="518"/>
        <v>151.98919999999998</v>
      </c>
      <c r="BE72" s="2">
        <f t="shared" si="519"/>
        <v>71.843999999999994</v>
      </c>
      <c r="BF72" s="2">
        <f t="shared" si="520"/>
        <v>70.937044999999998</v>
      </c>
      <c r="BG72" s="2">
        <f t="shared" si="521"/>
        <v>40.304000000000002</v>
      </c>
      <c r="BH72" s="2">
        <f t="shared" si="522"/>
        <v>56.077000000000005</v>
      </c>
      <c r="BI72" s="2">
        <f t="shared" si="523"/>
        <v>61.978538560000004</v>
      </c>
      <c r="BJ72" s="2">
        <f t="shared" si="524"/>
        <v>94.195599999999999</v>
      </c>
      <c r="BK72" s="2">
        <f t="shared" si="525"/>
        <v>74.692399999999992</v>
      </c>
      <c r="BM72" s="2">
        <f t="shared" si="452"/>
        <v>0.68829721953448098</v>
      </c>
      <c r="BN72" s="2">
        <f t="shared" si="453"/>
        <v>3.6816795203982111E-5</v>
      </c>
      <c r="BO72" s="2">
        <f t="shared" si="454"/>
        <v>2.1722768281223415E-4</v>
      </c>
      <c r="BP72" s="2">
        <f t="shared" si="455"/>
        <v>8.3657362840365137E-5</v>
      </c>
      <c r="BQ72" s="2">
        <f t="shared" si="456"/>
        <v>0.11596261400871956</v>
      </c>
      <c r="BR72" s="2">
        <f t="shared" si="457"/>
        <v>1.7728343612937721E-3</v>
      </c>
      <c r="BS72" s="2">
        <f t="shared" si="458"/>
        <v>1.235026756426391</v>
      </c>
      <c r="BT72" s="2">
        <f t="shared" si="459"/>
        <v>9.641947482423506E-4</v>
      </c>
      <c r="BU72" s="2">
        <f t="shared" si="460"/>
        <v>2.1079245498412385E-4</v>
      </c>
      <c r="BV72" s="2">
        <f t="shared" si="461"/>
        <v>0</v>
      </c>
      <c r="BW72" s="2">
        <f t="shared" si="462"/>
        <v>5.5098255778823829E-3</v>
      </c>
      <c r="BY72" s="2">
        <f t="shared" si="463"/>
        <v>0.68829721953448098</v>
      </c>
      <c r="BZ72" s="2">
        <f t="shared" si="463"/>
        <v>3.6816795203982111E-5</v>
      </c>
      <c r="CA72" s="2">
        <f t="shared" si="464"/>
        <v>4.344553656244683E-4</v>
      </c>
      <c r="CB72" s="2">
        <f t="shared" si="464"/>
        <v>1.6731472568073027E-4</v>
      </c>
      <c r="CC72" s="2">
        <f t="shared" si="465"/>
        <v>0.11596261400871956</v>
      </c>
      <c r="CD72" s="2">
        <f t="shared" si="465"/>
        <v>1.7728343612937721E-3</v>
      </c>
      <c r="CE72" s="2">
        <f t="shared" si="465"/>
        <v>1.235026756426391</v>
      </c>
      <c r="CF72" s="2">
        <f t="shared" si="465"/>
        <v>9.641947482423506E-4</v>
      </c>
      <c r="CG72" s="2">
        <f t="shared" si="466"/>
        <v>4.2158490996824769E-4</v>
      </c>
      <c r="CH72" s="2">
        <f t="shared" si="466"/>
        <v>0</v>
      </c>
      <c r="CI72" s="2">
        <f t="shared" si="526"/>
        <v>5.5098255778823829E-3</v>
      </c>
      <c r="CK72" s="2">
        <f t="shared" si="467"/>
        <v>1.376594439068962</v>
      </c>
      <c r="CL72" s="2">
        <f t="shared" si="467"/>
        <v>7.3633590407964222E-5</v>
      </c>
      <c r="CM72" s="2">
        <f t="shared" si="468"/>
        <v>6.5168304843670247E-4</v>
      </c>
      <c r="CN72" s="2">
        <f t="shared" si="468"/>
        <v>2.5097208852109542E-4</v>
      </c>
      <c r="CO72" s="2">
        <f t="shared" si="469"/>
        <v>0.11596261400871956</v>
      </c>
      <c r="CP72" s="2">
        <f t="shared" si="469"/>
        <v>1.7728343612937721E-3</v>
      </c>
      <c r="CQ72" s="2">
        <f t="shared" si="469"/>
        <v>1.235026756426391</v>
      </c>
      <c r="CR72" s="2">
        <f t="shared" si="469"/>
        <v>9.641947482423506E-4</v>
      </c>
      <c r="CS72" s="2">
        <f t="shared" si="469"/>
        <v>2.1079245498412385E-4</v>
      </c>
      <c r="CT72" s="2">
        <f t="shared" si="469"/>
        <v>0</v>
      </c>
      <c r="CU72" s="2">
        <f t="shared" si="469"/>
        <v>5.5098255778823829E-3</v>
      </c>
      <c r="CW72" s="14">
        <f t="shared" si="527"/>
        <v>2.7370177453738407</v>
      </c>
      <c r="CY72" s="14">
        <f t="shared" si="528"/>
        <v>1.461444671581277</v>
      </c>
      <c r="DA72" s="16">
        <f t="shared" si="470"/>
        <v>1.0059083039528756</v>
      </c>
      <c r="DB72" s="16">
        <f t="shared" si="471"/>
        <v>5.3805709175558769E-5</v>
      </c>
      <c r="DC72" s="16">
        <f t="shared" si="472"/>
        <v>6.3493247913177467E-4</v>
      </c>
      <c r="DD72" s="16">
        <f t="shared" si="473"/>
        <v>2.445212143231863E-4</v>
      </c>
      <c r="DE72" s="16">
        <f t="shared" si="474"/>
        <v>0.16947294434567955</v>
      </c>
      <c r="DF72" s="16">
        <f t="shared" si="475"/>
        <v>2.5908993309089797E-3</v>
      </c>
      <c r="DG72" s="16">
        <f t="shared" si="476"/>
        <v>1.8049232724396569</v>
      </c>
      <c r="DH72" s="16">
        <f t="shared" si="477"/>
        <v>1.4091172771854342E-3</v>
      </c>
      <c r="DI72" s="16">
        <f t="shared" si="478"/>
        <v>6.1612302029216801E-4</v>
      </c>
      <c r="DJ72" s="16">
        <f t="shared" si="479"/>
        <v>0</v>
      </c>
      <c r="DK72" s="16">
        <f t="shared" si="480"/>
        <v>8.0523052321384396E-3</v>
      </c>
      <c r="DL72" s="16">
        <f t="shared" si="481"/>
        <v>0.91416467327839024</v>
      </c>
      <c r="DN72" s="2">
        <f t="shared" si="482"/>
        <v>0.88385549208672853</v>
      </c>
      <c r="DO72" s="2">
        <f t="shared" si="483"/>
        <v>4.6323546447083223E-3</v>
      </c>
      <c r="DP72" s="2">
        <f t="shared" si="484"/>
        <v>4.7660949089543665E-2</v>
      </c>
      <c r="DQ72" s="2">
        <f t="shared" si="485"/>
        <v>6.7761196867867609E-3</v>
      </c>
      <c r="DR72" s="2">
        <f t="shared" si="486"/>
        <v>3.0479664577387267E-2</v>
      </c>
      <c r="DS72" s="2">
        <f t="shared" si="487"/>
        <v>0</v>
      </c>
      <c r="DT72" s="2">
        <f t="shared" si="488"/>
        <v>0.38900437070227084</v>
      </c>
      <c r="DU72" s="2">
        <f t="shared" si="489"/>
        <v>0.37997519862115831</v>
      </c>
      <c r="DV72" s="2">
        <f t="shared" si="490"/>
        <v>2.3554185828136127E-2</v>
      </c>
      <c r="DW72" s="2">
        <f t="shared" si="491"/>
        <v>0</v>
      </c>
      <c r="DX72" s="2">
        <f t="shared" si="492"/>
        <v>0</v>
      </c>
      <c r="DZ72" s="2">
        <f t="shared" si="493"/>
        <v>1.7677109841734571</v>
      </c>
      <c r="EA72" s="2">
        <f t="shared" si="493"/>
        <v>9.2647092894166446E-3</v>
      </c>
      <c r="EB72" s="2">
        <f t="shared" si="494"/>
        <v>0.142982847268631</v>
      </c>
      <c r="EC72" s="2">
        <f t="shared" si="494"/>
        <v>2.0328359060360283E-2</v>
      </c>
      <c r="ED72" s="2">
        <f t="shared" si="495"/>
        <v>3.0479664577387267E-2</v>
      </c>
      <c r="EE72" s="2">
        <f t="shared" si="495"/>
        <v>0</v>
      </c>
      <c r="EF72" s="2">
        <f t="shared" si="495"/>
        <v>0.38900437070227084</v>
      </c>
      <c r="EG72" s="2">
        <f t="shared" si="495"/>
        <v>0.37997519862115831</v>
      </c>
      <c r="EH72" s="2">
        <f t="shared" si="495"/>
        <v>2.3554185828136127E-2</v>
      </c>
      <c r="EI72" s="2">
        <f t="shared" si="495"/>
        <v>0</v>
      </c>
      <c r="EJ72" s="2">
        <f t="shared" si="495"/>
        <v>0</v>
      </c>
      <c r="EL72" s="16">
        <f t="shared" si="529"/>
        <v>2.7633003195208174</v>
      </c>
      <c r="EN72" s="14">
        <f t="shared" si="530"/>
        <v>2.1713166526324064</v>
      </c>
      <c r="EP72" s="16">
        <f t="shared" si="496"/>
        <v>1.9191301484885237</v>
      </c>
      <c r="EQ72" s="16">
        <f t="shared" si="497"/>
        <v>1.0058308780954255E-2</v>
      </c>
      <c r="ER72" s="16">
        <f t="shared" si="498"/>
        <v>0.20697402487678299</v>
      </c>
      <c r="ES72" s="16">
        <f t="shared" si="499"/>
        <v>2.9426203032300757E-2</v>
      </c>
      <c r="ET72" s="16">
        <f t="shared" si="500"/>
        <v>6.6181003263531046E-2</v>
      </c>
      <c r="EU72" s="16">
        <f t="shared" si="501"/>
        <v>0</v>
      </c>
      <c r="EV72" s="16">
        <f t="shared" si="502"/>
        <v>0.84465166805263048</v>
      </c>
      <c r="EW72" s="16">
        <f t="shared" si="503"/>
        <v>0.82504647635342721</v>
      </c>
      <c r="EX72" s="16">
        <f t="shared" si="504"/>
        <v>0.1022871918556604</v>
      </c>
      <c r="EY72" s="16">
        <f t="shared" si="505"/>
        <v>0</v>
      </c>
      <c r="EZ72" s="16">
        <f t="shared" si="531"/>
        <v>0</v>
      </c>
      <c r="FB72" s="14">
        <f t="shared" si="506"/>
        <v>-6.3724762559287536</v>
      </c>
      <c r="FC72" s="4">
        <f t="shared" si="507"/>
        <v>1.8129577499401539</v>
      </c>
      <c r="FD72" s="4">
        <f t="shared" si="508"/>
        <v>2.0690865638494573</v>
      </c>
      <c r="FE72" s="4">
        <f t="shared" si="509"/>
        <v>2.0690865638494573</v>
      </c>
      <c r="FG72" s="4">
        <f t="shared" si="510"/>
        <v>2.284518664197428</v>
      </c>
    </row>
    <row r="73" spans="1:163" x14ac:dyDescent="0.2">
      <c r="A73" s="56" t="s">
        <v>135</v>
      </c>
      <c r="B73" s="57" t="s">
        <v>145</v>
      </c>
      <c r="C73" s="138">
        <v>41.352247565691165</v>
      </c>
      <c r="D73" s="98">
        <v>3.403712950612695E-3</v>
      </c>
      <c r="E73" s="148">
        <f t="shared" si="511"/>
        <v>2.4930927297069857E-2</v>
      </c>
      <c r="F73" s="138">
        <v>1.11974038257072E-2</v>
      </c>
      <c r="G73" s="138">
        <v>9.1804405501242314</v>
      </c>
      <c r="H73" s="138">
        <v>0.12244392726685517</v>
      </c>
      <c r="I73" s="138">
        <v>48.972415873195608</v>
      </c>
      <c r="J73" s="150">
        <f t="shared" si="512"/>
        <v>5.9592816198351099E-2</v>
      </c>
      <c r="K73" s="98">
        <v>1.3733193524252297E-2</v>
      </c>
      <c r="L73" s="98"/>
      <c r="M73" s="138">
        <v>0.37245208372214533</v>
      </c>
      <c r="N73" s="141">
        <v>131.94844156996518</v>
      </c>
      <c r="O73" s="142">
        <v>425.90739297707006</v>
      </c>
      <c r="P73" s="11"/>
      <c r="Q73" s="140">
        <v>52.619955832162212</v>
      </c>
      <c r="R73" s="140">
        <v>0.31118249347520571</v>
      </c>
      <c r="S73" s="140">
        <v>5.3202168239309362</v>
      </c>
      <c r="T73" s="140">
        <v>0.89339490062236482</v>
      </c>
      <c r="U73" s="140">
        <v>2.9612527604898609</v>
      </c>
      <c r="V73" s="140">
        <v>0</v>
      </c>
      <c r="W73" s="140">
        <v>15.739811282874921</v>
      </c>
      <c r="X73" s="140">
        <v>20.859265207789598</v>
      </c>
      <c r="Y73" s="140">
        <v>1.2949206986548885</v>
      </c>
      <c r="Z73" s="100"/>
      <c r="AA73" s="140"/>
      <c r="AC73" s="139">
        <v>52.761291620561309</v>
      </c>
      <c r="AD73" s="139">
        <v>15.038728498139017</v>
      </c>
      <c r="AE73" s="11"/>
      <c r="AF73" s="83">
        <f t="shared" si="514"/>
        <v>0.16051827068015762</v>
      </c>
      <c r="AG73" s="22">
        <f t="shared" si="448"/>
        <v>4.725230662729675E-4</v>
      </c>
      <c r="AH73" s="126">
        <f t="shared" si="513"/>
        <v>1045.2859821794118</v>
      </c>
      <c r="AI73" s="126">
        <f t="shared" si="449"/>
        <v>1045.1364753018486</v>
      </c>
      <c r="AJ73" s="126">
        <f t="shared" si="450"/>
        <v>0.14950687756322623</v>
      </c>
      <c r="AK73" s="12"/>
      <c r="AL73" s="25">
        <f t="shared" si="451"/>
        <v>2.313180176660917</v>
      </c>
      <c r="AN73" s="2">
        <v>15.999000000000001</v>
      </c>
      <c r="AO73" s="2">
        <v>28.085000000000001</v>
      </c>
      <c r="AP73" s="2">
        <v>47.866999999999997</v>
      </c>
      <c r="AQ73" s="2">
        <v>26.9815386</v>
      </c>
      <c r="AR73" s="2">
        <v>51.996099999999998</v>
      </c>
      <c r="AS73" s="2">
        <v>55.844999999999999</v>
      </c>
      <c r="AT73" s="2">
        <v>54.938045000000002</v>
      </c>
      <c r="AU73" s="2">
        <v>24.305</v>
      </c>
      <c r="AV73" s="2">
        <v>40.078000000000003</v>
      </c>
      <c r="AW73" s="2">
        <v>22.989769280000001</v>
      </c>
      <c r="AX73" s="2">
        <v>39.098300000000002</v>
      </c>
      <c r="AY73" s="2">
        <v>58.693399999999997</v>
      </c>
      <c r="BA73" s="2">
        <f>AN73*2+AO73</f>
        <v>60.082999999999998</v>
      </c>
      <c r="BB73" s="2">
        <f>AN73*2+AP73</f>
        <v>79.864999999999995</v>
      </c>
      <c r="BC73" s="2">
        <f>AQ73*2+AN73*3</f>
        <v>101.9600772</v>
      </c>
      <c r="BD73" s="2">
        <f>AR73*2+AN73*3</f>
        <v>151.98919999999998</v>
      </c>
      <c r="BE73" s="2">
        <f>AS73+AN73</f>
        <v>71.843999999999994</v>
      </c>
      <c r="BF73" s="2">
        <f>AT73+AN73</f>
        <v>70.937044999999998</v>
      </c>
      <c r="BG73" s="2">
        <f>AU73+AN73</f>
        <v>40.304000000000002</v>
      </c>
      <c r="BH73" s="2">
        <f>AV73+AN73</f>
        <v>56.077000000000005</v>
      </c>
      <c r="BI73" s="2">
        <f>AW73*2+AN73</f>
        <v>61.978538560000004</v>
      </c>
      <c r="BJ73" s="2">
        <f>AX73*2+AN73</f>
        <v>94.195599999999999</v>
      </c>
      <c r="BK73" s="2">
        <f>AY73+AN73</f>
        <v>74.692399999999992</v>
      </c>
      <c r="BM73" s="2">
        <f t="shared" si="452"/>
        <v>0.68825204410051377</v>
      </c>
      <c r="BN73" s="2">
        <f t="shared" si="453"/>
        <v>4.2618330315065364E-5</v>
      </c>
      <c r="BO73" s="2">
        <f t="shared" si="454"/>
        <v>2.445165596350672E-4</v>
      </c>
      <c r="BP73" s="2">
        <f t="shared" si="455"/>
        <v>7.3672365047695504E-5</v>
      </c>
      <c r="BQ73" s="2">
        <f t="shared" si="456"/>
        <v>0.12778298187913023</v>
      </c>
      <c r="BR73" s="2">
        <f t="shared" si="457"/>
        <v>1.7260928653971303E-3</v>
      </c>
      <c r="BS73" s="2">
        <f t="shared" si="458"/>
        <v>1.2150758205933805</v>
      </c>
      <c r="BT73" s="2">
        <f t="shared" si="459"/>
        <v>1.0626962248043064E-3</v>
      </c>
      <c r="BU73" s="2">
        <f t="shared" si="460"/>
        <v>2.2157982171453603E-4</v>
      </c>
      <c r="BV73" s="2">
        <f t="shared" si="461"/>
        <v>0</v>
      </c>
      <c r="BW73" s="2">
        <f t="shared" si="462"/>
        <v>4.9864789954820752E-3</v>
      </c>
      <c r="BY73" s="2">
        <f t="shared" si="463"/>
        <v>0.68825204410051377</v>
      </c>
      <c r="BZ73" s="2">
        <f t="shared" si="463"/>
        <v>4.2618330315065364E-5</v>
      </c>
      <c r="CA73" s="2">
        <f t="shared" si="464"/>
        <v>4.890331192701344E-4</v>
      </c>
      <c r="CB73" s="2">
        <f t="shared" si="464"/>
        <v>1.4734473009539101E-4</v>
      </c>
      <c r="CC73" s="2">
        <f t="shared" si="465"/>
        <v>0.12778298187913023</v>
      </c>
      <c r="CD73" s="2">
        <f t="shared" si="465"/>
        <v>1.7260928653971303E-3</v>
      </c>
      <c r="CE73" s="2">
        <f t="shared" si="465"/>
        <v>1.2150758205933805</v>
      </c>
      <c r="CF73" s="2">
        <f t="shared" si="465"/>
        <v>1.0626962248043064E-3</v>
      </c>
      <c r="CG73" s="2">
        <f t="shared" si="466"/>
        <v>4.4315964342907206E-4</v>
      </c>
      <c r="CH73" s="2">
        <f t="shared" si="466"/>
        <v>0</v>
      </c>
      <c r="CI73" s="2">
        <f>BW73</f>
        <v>4.9864789954820752E-3</v>
      </c>
      <c r="CK73" s="2">
        <f t="shared" si="467"/>
        <v>1.3765040882010275</v>
      </c>
      <c r="CL73" s="2">
        <f t="shared" si="467"/>
        <v>8.5236660630130727E-5</v>
      </c>
      <c r="CM73" s="2">
        <f t="shared" si="468"/>
        <v>7.3354967890520159E-4</v>
      </c>
      <c r="CN73" s="2">
        <f t="shared" si="468"/>
        <v>2.210170951430865E-4</v>
      </c>
      <c r="CO73" s="2">
        <f t="shared" si="469"/>
        <v>0.12778298187913023</v>
      </c>
      <c r="CP73" s="2">
        <f t="shared" si="469"/>
        <v>1.7260928653971303E-3</v>
      </c>
      <c r="CQ73" s="2">
        <f t="shared" si="469"/>
        <v>1.2150758205933805</v>
      </c>
      <c r="CR73" s="2">
        <f t="shared" si="469"/>
        <v>1.0626962248043064E-3</v>
      </c>
      <c r="CS73" s="2">
        <f t="shared" si="469"/>
        <v>2.2157982171453603E-4</v>
      </c>
      <c r="CT73" s="2">
        <f t="shared" si="469"/>
        <v>0</v>
      </c>
      <c r="CU73" s="2">
        <f t="shared" si="469"/>
        <v>4.9864789954820752E-3</v>
      </c>
      <c r="CW73" s="14">
        <f>SUM(CK73:CU73)</f>
        <v>2.7283995420156146</v>
      </c>
      <c r="CY73" s="14">
        <f>4/CW73</f>
        <v>1.4660609410031591</v>
      </c>
      <c r="DA73" s="16">
        <f t="shared" si="470"/>
        <v>1.009019439421347</v>
      </c>
      <c r="DB73" s="16">
        <f t="shared" si="471"/>
        <v>6.2481069445688187E-5</v>
      </c>
      <c r="DC73" s="16">
        <f t="shared" si="472"/>
        <v>7.1695235501888341E-4</v>
      </c>
      <c r="DD73" s="16">
        <f t="shared" si="473"/>
        <v>2.1601635365550543E-4</v>
      </c>
      <c r="DE73" s="16">
        <f t="shared" si="474"/>
        <v>0.18733763865790728</v>
      </c>
      <c r="DF73" s="16">
        <f t="shared" si="475"/>
        <v>2.5305573305029559E-3</v>
      </c>
      <c r="DG73" s="16">
        <f t="shared" si="476"/>
        <v>1.7813752009293171</v>
      </c>
      <c r="DH73" s="16">
        <f t="shared" si="477"/>
        <v>1.5579774273371061E-3</v>
      </c>
      <c r="DI73" s="16">
        <f t="shared" si="478"/>
        <v>6.4969904386024985E-4</v>
      </c>
      <c r="DJ73" s="16">
        <f t="shared" si="479"/>
        <v>0</v>
      </c>
      <c r="DK73" s="16">
        <f t="shared" si="480"/>
        <v>7.3104820884089382E-3</v>
      </c>
      <c r="DL73" s="16">
        <f t="shared" si="481"/>
        <v>0.9048425779062903</v>
      </c>
      <c r="DN73" s="2">
        <f t="shared" si="482"/>
        <v>0.87578775747153459</v>
      </c>
      <c r="DO73" s="2">
        <f t="shared" si="483"/>
        <v>3.8963562696450976E-3</v>
      </c>
      <c r="DP73" s="2">
        <f t="shared" si="484"/>
        <v>5.217941149156894E-2</v>
      </c>
      <c r="DQ73" s="2">
        <f t="shared" si="485"/>
        <v>5.8780156788927436E-3</v>
      </c>
      <c r="DR73" s="2">
        <f t="shared" si="486"/>
        <v>4.1217815829990831E-2</v>
      </c>
      <c r="DS73" s="2">
        <f t="shared" si="487"/>
        <v>0</v>
      </c>
      <c r="DT73" s="2">
        <f t="shared" si="488"/>
        <v>0.39052727478351829</v>
      </c>
      <c r="DU73" s="2">
        <f t="shared" si="489"/>
        <v>0.37197541251831578</v>
      </c>
      <c r="DV73" s="2">
        <f t="shared" si="490"/>
        <v>2.0893049896639711E-2</v>
      </c>
      <c r="DW73" s="2">
        <f t="shared" si="491"/>
        <v>0</v>
      </c>
      <c r="DX73" s="2">
        <f t="shared" si="492"/>
        <v>0</v>
      </c>
      <c r="DZ73" s="2">
        <f t="shared" si="493"/>
        <v>1.7515755149430692</v>
      </c>
      <c r="EA73" s="2">
        <f t="shared" si="493"/>
        <v>7.7927125392901952E-3</v>
      </c>
      <c r="EB73" s="2">
        <f t="shared" si="494"/>
        <v>0.15653823447470683</v>
      </c>
      <c r="EC73" s="2">
        <f t="shared" si="494"/>
        <v>1.763404703667823E-2</v>
      </c>
      <c r="ED73" s="2">
        <f t="shared" si="495"/>
        <v>4.1217815829990831E-2</v>
      </c>
      <c r="EE73" s="2">
        <f t="shared" si="495"/>
        <v>0</v>
      </c>
      <c r="EF73" s="2">
        <f t="shared" si="495"/>
        <v>0.39052727478351829</v>
      </c>
      <c r="EG73" s="2">
        <f t="shared" si="495"/>
        <v>0.37197541251831578</v>
      </c>
      <c r="EH73" s="2">
        <f t="shared" si="495"/>
        <v>2.0893049896639711E-2</v>
      </c>
      <c r="EI73" s="2">
        <f t="shared" si="495"/>
        <v>0</v>
      </c>
      <c r="EJ73" s="2">
        <f t="shared" si="495"/>
        <v>0</v>
      </c>
      <c r="EL73" s="16">
        <f>SUM(DZ73:EJ73)</f>
        <v>2.7581540620222094</v>
      </c>
      <c r="EN73" s="14">
        <f>6/EL73</f>
        <v>2.1753679689672412</v>
      </c>
      <c r="EP73" s="16">
        <f t="shared" si="496"/>
        <v>1.905160635217227</v>
      </c>
      <c r="EQ73" s="16">
        <f t="shared" si="497"/>
        <v>8.4760086246706331E-3</v>
      </c>
      <c r="ER73" s="16">
        <f t="shared" si="498"/>
        <v>0.2270188407966405</v>
      </c>
      <c r="ES73" s="16">
        <f t="shared" si="499"/>
        <v>2.5573694057901015E-2</v>
      </c>
      <c r="ET73" s="16">
        <f t="shared" si="500"/>
        <v>8.9663916307352959E-2</v>
      </c>
      <c r="EU73" s="16">
        <f t="shared" si="501"/>
        <v>0</v>
      </c>
      <c r="EV73" s="16">
        <f t="shared" si="502"/>
        <v>0.84954052457213391</v>
      </c>
      <c r="EW73" s="16">
        <f t="shared" si="503"/>
        <v>0.80918339763572034</v>
      </c>
      <c r="EX73" s="16">
        <f t="shared" si="504"/>
        <v>9.0900143038368714E-2</v>
      </c>
      <c r="EY73" s="16">
        <f t="shared" si="505"/>
        <v>0</v>
      </c>
      <c r="EZ73" s="16">
        <f t="shared" ref="EZ73:EZ78" si="532">DX73*$EN73</f>
        <v>0</v>
      </c>
      <c r="FB73" s="14">
        <f t="shared" si="506"/>
        <v>-6.2526371289601306</v>
      </c>
      <c r="FC73" s="4">
        <f t="shared" si="507"/>
        <v>1.8145485310148399</v>
      </c>
      <c r="FD73" s="4">
        <f t="shared" si="508"/>
        <v>1.8891915318550567</v>
      </c>
      <c r="FE73" s="4">
        <f t="shared" si="509"/>
        <v>1.8891915318550567</v>
      </c>
      <c r="FG73" s="4">
        <f t="shared" si="510"/>
        <v>2.313180176660917</v>
      </c>
    </row>
    <row r="74" spans="1:163" x14ac:dyDescent="0.2">
      <c r="A74" s="56" t="s">
        <v>136</v>
      </c>
      <c r="B74" s="57" t="s">
        <v>145</v>
      </c>
      <c r="C74" s="138">
        <v>41.07791566732287</v>
      </c>
      <c r="D74" s="98">
        <v>2.0378290450026033E-3</v>
      </c>
      <c r="E74" s="148">
        <f t="shared" si="511"/>
        <v>1.6191276531011673E-2</v>
      </c>
      <c r="F74" s="138">
        <v>1.4774828477524201E-2</v>
      </c>
      <c r="G74" s="138">
        <v>8.8453910201608323</v>
      </c>
      <c r="H74" s="138">
        <v>0.12330026101846196</v>
      </c>
      <c r="I74" s="138">
        <v>49.582327895323296</v>
      </c>
      <c r="J74" s="150">
        <f t="shared" si="512"/>
        <v>5.0509835356842225E-2</v>
      </c>
      <c r="K74" s="98">
        <v>9.9648661759951067E-3</v>
      </c>
      <c r="L74" s="98"/>
      <c r="M74" s="138">
        <v>0.37106515617454738</v>
      </c>
      <c r="N74" s="141">
        <v>85.693310956244929</v>
      </c>
      <c r="O74" s="142">
        <v>360.9917045190582</v>
      </c>
      <c r="P74" s="11"/>
      <c r="Q74" s="140">
        <v>53.60608182454736</v>
      </c>
      <c r="R74" s="140">
        <v>0.16004801440432126</v>
      </c>
      <c r="S74" s="140">
        <v>3.2209662898869658</v>
      </c>
      <c r="T74" s="140">
        <v>0.70021006301890554</v>
      </c>
      <c r="U74" s="140">
        <v>2.5507652295688699</v>
      </c>
      <c r="V74" s="140">
        <v>0</v>
      </c>
      <c r="W74" s="140">
        <v>16.785035510653195</v>
      </c>
      <c r="X74" s="140">
        <v>22.026607982394715</v>
      </c>
      <c r="Y74" s="140">
        <v>0.95028508552565738</v>
      </c>
      <c r="Z74" s="100"/>
      <c r="AA74" s="140"/>
      <c r="AC74" s="139">
        <v>36.615044247787608</v>
      </c>
      <c r="AD74" s="139">
        <v>30.279565567176185</v>
      </c>
      <c r="AE74" s="11"/>
      <c r="AF74" s="83">
        <f t="shared" si="514"/>
        <v>0.35681521375831354</v>
      </c>
      <c r="AG74" s="22">
        <f t="shared" si="448"/>
        <v>4.4220283939681431E-4</v>
      </c>
      <c r="AH74" s="126">
        <f t="shared" si="513"/>
        <v>1005.9979033010145</v>
      </c>
      <c r="AI74" s="126">
        <f t="shared" si="449"/>
        <v>1005.8483654375798</v>
      </c>
      <c r="AJ74" s="126">
        <f t="shared" si="450"/>
        <v>0.1495378634347162</v>
      </c>
      <c r="AK74" s="12"/>
      <c r="AL74" s="25">
        <f t="shared" si="451"/>
        <v>2.1156073708632563</v>
      </c>
      <c r="AN74" s="2">
        <v>15.999000000000001</v>
      </c>
      <c r="AO74" s="2">
        <v>28.085000000000001</v>
      </c>
      <c r="AP74" s="2">
        <v>47.866999999999997</v>
      </c>
      <c r="AQ74" s="2">
        <v>26.9815386</v>
      </c>
      <c r="AR74" s="2">
        <v>51.996099999999998</v>
      </c>
      <c r="AS74" s="2">
        <v>55.844999999999999</v>
      </c>
      <c r="AT74" s="2">
        <v>54.938045000000002</v>
      </c>
      <c r="AU74" s="2">
        <v>24.305</v>
      </c>
      <c r="AV74" s="2">
        <v>40.078000000000003</v>
      </c>
      <c r="AW74" s="2">
        <v>22.989769280000001</v>
      </c>
      <c r="AX74" s="2">
        <v>39.098300000000002</v>
      </c>
      <c r="AY74" s="2">
        <v>58.693399999999997</v>
      </c>
      <c r="BA74" s="2">
        <f t="shared" ref="BA74" si="533">AN74*2+AO74</f>
        <v>60.082999999999998</v>
      </c>
      <c r="BB74" s="2">
        <f t="shared" ref="BB74" si="534">AN74*2+AP74</f>
        <v>79.864999999999995</v>
      </c>
      <c r="BC74" s="2">
        <f t="shared" ref="BC74" si="535">AQ74*2+AN74*3</f>
        <v>101.9600772</v>
      </c>
      <c r="BD74" s="2">
        <f t="shared" ref="BD74" si="536">AR74*2+AN74*3</f>
        <v>151.98919999999998</v>
      </c>
      <c r="BE74" s="2">
        <f t="shared" ref="BE74" si="537">AS74+AN74</f>
        <v>71.843999999999994</v>
      </c>
      <c r="BF74" s="2">
        <f t="shared" ref="BF74" si="538">AT74+AN74</f>
        <v>70.937044999999998</v>
      </c>
      <c r="BG74" s="2">
        <f t="shared" ref="BG74" si="539">AU74+AN74</f>
        <v>40.304000000000002</v>
      </c>
      <c r="BH74" s="2">
        <f t="shared" ref="BH74" si="540">AV74+AN74</f>
        <v>56.077000000000005</v>
      </c>
      <c r="BI74" s="2">
        <f t="shared" ref="BI74" si="541">AW74*2+AN74</f>
        <v>61.978538560000004</v>
      </c>
      <c r="BJ74" s="2">
        <f t="shared" ref="BJ74" si="542">AX74*2+AN74</f>
        <v>94.195599999999999</v>
      </c>
      <c r="BK74" s="2">
        <f t="shared" ref="BK74" si="543">AY74+AN74</f>
        <v>74.692399999999992</v>
      </c>
      <c r="BM74" s="2">
        <f t="shared" si="452"/>
        <v>0.6836861619313761</v>
      </c>
      <c r="BN74" s="2">
        <f t="shared" si="453"/>
        <v>2.5515921179522987E-5</v>
      </c>
      <c r="BO74" s="2">
        <f t="shared" si="454"/>
        <v>1.5880015958845973E-4</v>
      </c>
      <c r="BP74" s="2">
        <f t="shared" si="455"/>
        <v>9.7209725937923242E-5</v>
      </c>
      <c r="BQ74" s="2">
        <f t="shared" si="456"/>
        <v>0.12311941178331988</v>
      </c>
      <c r="BR74" s="2">
        <f t="shared" si="457"/>
        <v>1.7381646080473464E-3</v>
      </c>
      <c r="BS74" s="2">
        <f t="shared" si="458"/>
        <v>1.2302086119323961</v>
      </c>
      <c r="BT74" s="2">
        <f t="shared" si="459"/>
        <v>9.0072285173675877E-4</v>
      </c>
      <c r="BU74" s="2">
        <f t="shared" si="460"/>
        <v>1.6077930211839939E-4</v>
      </c>
      <c r="BV74" s="2">
        <f t="shared" si="461"/>
        <v>0</v>
      </c>
      <c r="BW74" s="2">
        <f t="shared" si="462"/>
        <v>4.9679104724784234E-3</v>
      </c>
      <c r="BY74" s="2">
        <f t="shared" si="463"/>
        <v>0.6836861619313761</v>
      </c>
      <c r="BZ74" s="2">
        <f t="shared" si="463"/>
        <v>2.5515921179522987E-5</v>
      </c>
      <c r="CA74" s="2">
        <f t="shared" si="464"/>
        <v>3.1760031917691945E-4</v>
      </c>
      <c r="CB74" s="2">
        <f t="shared" si="464"/>
        <v>1.9441945187584648E-4</v>
      </c>
      <c r="CC74" s="2">
        <f t="shared" si="465"/>
        <v>0.12311941178331988</v>
      </c>
      <c r="CD74" s="2">
        <f t="shared" si="465"/>
        <v>1.7381646080473464E-3</v>
      </c>
      <c r="CE74" s="2">
        <f t="shared" si="465"/>
        <v>1.2302086119323961</v>
      </c>
      <c r="CF74" s="2">
        <f t="shared" si="465"/>
        <v>9.0072285173675877E-4</v>
      </c>
      <c r="CG74" s="2">
        <f t="shared" si="466"/>
        <v>3.2155860423679878E-4</v>
      </c>
      <c r="CH74" s="2">
        <f t="shared" si="466"/>
        <v>0</v>
      </c>
      <c r="CI74" s="2">
        <f t="shared" ref="CI74" si="544">BW74</f>
        <v>4.9679104724784234E-3</v>
      </c>
      <c r="CK74" s="2">
        <f t="shared" si="467"/>
        <v>1.3673723238627522</v>
      </c>
      <c r="CL74" s="2">
        <f t="shared" si="467"/>
        <v>5.1031842359045973E-5</v>
      </c>
      <c r="CM74" s="2">
        <f t="shared" si="468"/>
        <v>4.7640047876537921E-4</v>
      </c>
      <c r="CN74" s="2">
        <f t="shared" si="468"/>
        <v>2.9162917781376974E-4</v>
      </c>
      <c r="CO74" s="2">
        <f t="shared" si="469"/>
        <v>0.12311941178331988</v>
      </c>
      <c r="CP74" s="2">
        <f t="shared" si="469"/>
        <v>1.7381646080473464E-3</v>
      </c>
      <c r="CQ74" s="2">
        <f t="shared" si="469"/>
        <v>1.2302086119323961</v>
      </c>
      <c r="CR74" s="2">
        <f t="shared" si="469"/>
        <v>9.0072285173675877E-4</v>
      </c>
      <c r="CS74" s="2">
        <f t="shared" si="469"/>
        <v>1.6077930211839939E-4</v>
      </c>
      <c r="CT74" s="2">
        <f t="shared" si="469"/>
        <v>0</v>
      </c>
      <c r="CU74" s="2">
        <f t="shared" si="469"/>
        <v>4.9679104724784234E-3</v>
      </c>
      <c r="CW74" s="14">
        <f t="shared" ref="CW74" si="545">SUM(CK74:CU74)</f>
        <v>2.7292869863117875</v>
      </c>
      <c r="CY74" s="14">
        <f t="shared" ref="CY74" si="546">4/CW74</f>
        <v>1.4655842423538561</v>
      </c>
      <c r="DA74" s="16">
        <f t="shared" si="470"/>
        <v>1.0019996656420116</v>
      </c>
      <c r="DB74" s="16">
        <f t="shared" si="471"/>
        <v>3.7395732009851907E-5</v>
      </c>
      <c r="DC74" s="16">
        <f t="shared" si="472"/>
        <v>4.6547002315224835E-4</v>
      </c>
      <c r="DD74" s="16">
        <f t="shared" si="473"/>
        <v>2.8493808507631447E-4</v>
      </c>
      <c r="DE74" s="16">
        <f t="shared" si="474"/>
        <v>0.18044186983750929</v>
      </c>
      <c r="DF74" s="16">
        <f t="shared" si="475"/>
        <v>2.5474266601713575E-3</v>
      </c>
      <c r="DG74" s="16">
        <f t="shared" si="476"/>
        <v>1.8029743564561296</v>
      </c>
      <c r="DH74" s="16">
        <f t="shared" si="477"/>
        <v>1.3200852182334224E-3</v>
      </c>
      <c r="DI74" s="16">
        <f t="shared" si="478"/>
        <v>4.7127122336275223E-4</v>
      </c>
      <c r="DJ74" s="16">
        <f t="shared" si="479"/>
        <v>0</v>
      </c>
      <c r="DK74" s="16">
        <f t="shared" si="480"/>
        <v>7.2808913058890774E-3</v>
      </c>
      <c r="DL74" s="16">
        <f t="shared" si="481"/>
        <v>0.90902470825566628</v>
      </c>
      <c r="DN74" s="2">
        <f t="shared" si="482"/>
        <v>0.89220048640293192</v>
      </c>
      <c r="DO74" s="2">
        <f t="shared" si="483"/>
        <v>2.003981899509438E-3</v>
      </c>
      <c r="DP74" s="2">
        <f t="shared" si="484"/>
        <v>3.1590465389398172E-2</v>
      </c>
      <c r="DQ74" s="2">
        <f t="shared" si="485"/>
        <v>4.6069724889591206E-3</v>
      </c>
      <c r="DR74" s="2">
        <f t="shared" si="486"/>
        <v>3.5504220666567422E-2</v>
      </c>
      <c r="DS74" s="2">
        <f t="shared" si="487"/>
        <v>0</v>
      </c>
      <c r="DT74" s="2">
        <f t="shared" si="488"/>
        <v>0.41646078579429324</v>
      </c>
      <c r="DU74" s="2">
        <f t="shared" si="489"/>
        <v>0.39279219613022653</v>
      </c>
      <c r="DV74" s="2">
        <f t="shared" si="490"/>
        <v>1.5332486173511628E-2</v>
      </c>
      <c r="DW74" s="2">
        <f t="shared" si="491"/>
        <v>0</v>
      </c>
      <c r="DX74" s="2">
        <f t="shared" si="492"/>
        <v>0</v>
      </c>
      <c r="DZ74" s="2">
        <f t="shared" si="493"/>
        <v>1.7844009728058638</v>
      </c>
      <c r="EA74" s="2">
        <f t="shared" si="493"/>
        <v>4.007963799018876E-3</v>
      </c>
      <c r="EB74" s="2">
        <f t="shared" si="494"/>
        <v>9.4771396168194522E-2</v>
      </c>
      <c r="EC74" s="2">
        <f t="shared" si="494"/>
        <v>1.3820917466877362E-2</v>
      </c>
      <c r="ED74" s="2">
        <f t="shared" si="495"/>
        <v>3.5504220666567422E-2</v>
      </c>
      <c r="EE74" s="2">
        <f t="shared" si="495"/>
        <v>0</v>
      </c>
      <c r="EF74" s="2">
        <f t="shared" si="495"/>
        <v>0.41646078579429324</v>
      </c>
      <c r="EG74" s="2">
        <f t="shared" si="495"/>
        <v>0.39279219613022653</v>
      </c>
      <c r="EH74" s="2">
        <f t="shared" si="495"/>
        <v>1.5332486173511628E-2</v>
      </c>
      <c r="EI74" s="2">
        <f t="shared" si="495"/>
        <v>0</v>
      </c>
      <c r="EJ74" s="2">
        <f t="shared" si="495"/>
        <v>0</v>
      </c>
      <c r="EL74" s="16">
        <f t="shared" ref="EL74" si="547">SUM(DZ74:EJ74)</f>
        <v>2.7570909390045535</v>
      </c>
      <c r="EN74" s="14">
        <f t="shared" ref="EN74" si="548">6/EL74</f>
        <v>2.1762067819809734</v>
      </c>
      <c r="EP74" s="16">
        <f t="shared" si="496"/>
        <v>1.9416127493967836</v>
      </c>
      <c r="EQ74" s="16">
        <f t="shared" si="497"/>
        <v>4.3610790006795522E-3</v>
      </c>
      <c r="ER74" s="16">
        <f t="shared" si="498"/>
        <v>0.13749477005268704</v>
      </c>
      <c r="ES74" s="16">
        <f t="shared" si="499"/>
        <v>2.0051449549745207E-2</v>
      </c>
      <c r="ET74" s="16">
        <f t="shared" si="500"/>
        <v>7.726452580353306E-2</v>
      </c>
      <c r="EU74" s="16">
        <f t="shared" si="501"/>
        <v>0</v>
      </c>
      <c r="EV74" s="16">
        <f t="shared" si="502"/>
        <v>0.90630478647466639</v>
      </c>
      <c r="EW74" s="16">
        <f t="shared" si="503"/>
        <v>0.85479704112779964</v>
      </c>
      <c r="EX74" s="16">
        <f t="shared" si="504"/>
        <v>6.6733320790851022E-2</v>
      </c>
      <c r="EY74" s="16">
        <f t="shared" si="505"/>
        <v>0</v>
      </c>
      <c r="EZ74" s="16">
        <f t="shared" si="532"/>
        <v>0</v>
      </c>
      <c r="FB74" s="14">
        <f t="shared" si="506"/>
        <v>-6.4731677681778947</v>
      </c>
      <c r="FC74" s="4">
        <f t="shared" si="507"/>
        <v>1.6269580678503499</v>
      </c>
      <c r="FD74" s="4">
        <f t="shared" si="508"/>
        <v>2.0904014684446262</v>
      </c>
      <c r="FE74" s="4">
        <f t="shared" si="509"/>
        <v>2.0904014684446262</v>
      </c>
      <c r="FG74" s="4">
        <f t="shared" si="510"/>
        <v>2.1156073708632563</v>
      </c>
    </row>
    <row r="75" spans="1:163" x14ac:dyDescent="0.2">
      <c r="A75" s="56" t="s">
        <v>137</v>
      </c>
      <c r="B75" s="57" t="s">
        <v>145</v>
      </c>
      <c r="C75" s="138">
        <v>41.258438850731324</v>
      </c>
      <c r="D75" s="98">
        <v>1.8785679122368672E-3</v>
      </c>
      <c r="E75" s="148">
        <f t="shared" si="511"/>
        <v>8.1405558300907191E-3</v>
      </c>
      <c r="F75" s="138">
        <v>6.0821879920688058E-3</v>
      </c>
      <c r="G75" s="138">
        <v>9.5557420087487621</v>
      </c>
      <c r="H75" s="138">
        <v>0.1290161217292605</v>
      </c>
      <c r="I75" s="138">
        <v>48.767235079131609</v>
      </c>
      <c r="J75" s="150">
        <f t="shared" si="512"/>
        <v>3.4551396387617832E-2</v>
      </c>
      <c r="K75" s="98">
        <v>6.4335171610029607E-3</v>
      </c>
      <c r="L75" s="98"/>
      <c r="M75" s="138">
        <v>0.28956793965905331</v>
      </c>
      <c r="N75" s="141">
        <v>43.084384407153927</v>
      </c>
      <c r="O75" s="142">
        <v>246.93740114894655</v>
      </c>
      <c r="P75" s="11"/>
      <c r="Q75" s="140">
        <v>53.565705128205131</v>
      </c>
      <c r="R75" s="140">
        <v>0.29046474358974361</v>
      </c>
      <c r="S75" s="140">
        <v>3.7660256410256414</v>
      </c>
      <c r="T75" s="140">
        <v>1.2620192307692311</v>
      </c>
      <c r="U75" s="140">
        <v>2.6842948717948723</v>
      </c>
      <c r="V75" s="140">
        <v>0</v>
      </c>
      <c r="W75" s="140">
        <v>15.504807692307695</v>
      </c>
      <c r="X75" s="140">
        <v>21.504407051282051</v>
      </c>
      <c r="Y75" s="140">
        <v>1.4222756410256412</v>
      </c>
      <c r="Z75" s="100"/>
      <c r="AA75" s="140"/>
      <c r="AC75" s="139">
        <v>36.026902228468174</v>
      </c>
      <c r="AD75" s="139">
        <v>29.773137924111627</v>
      </c>
      <c r="AE75" s="11"/>
      <c r="AF75" s="83">
        <f>AD75/151.9892/(AD75/151.9892+AC75/101.9601)</f>
        <v>0.35666071933547977</v>
      </c>
      <c r="AG75" s="22">
        <f t="shared" si="448"/>
        <v>2.2595769623673378E-4</v>
      </c>
      <c r="AH75" s="126">
        <f t="shared" ref="AH75:AH106" si="549">10000/(0.575+0.884*AF75-0.897*LN(AG75))-273</f>
        <v>914.54280811420767</v>
      </c>
      <c r="AI75" s="126">
        <f t="shared" si="449"/>
        <v>914.39290893866519</v>
      </c>
      <c r="AJ75" s="126">
        <f t="shared" si="450"/>
        <v>0.14989917554248677</v>
      </c>
      <c r="AK75" s="12"/>
      <c r="AL75" s="25">
        <f t="shared" ref="AL75:AL106" si="550">FG75</f>
        <v>1.5848530909955609</v>
      </c>
      <c r="AN75" s="2">
        <v>15.999000000000001</v>
      </c>
      <c r="AO75" s="2">
        <v>28.085000000000001</v>
      </c>
      <c r="AP75" s="2">
        <v>47.866999999999997</v>
      </c>
      <c r="AQ75" s="2">
        <v>26.9815386</v>
      </c>
      <c r="AR75" s="2">
        <v>51.996099999999998</v>
      </c>
      <c r="AS75" s="2">
        <v>55.844999999999999</v>
      </c>
      <c r="AT75" s="2">
        <v>54.938045000000002</v>
      </c>
      <c r="AU75" s="2">
        <v>24.305</v>
      </c>
      <c r="AV75" s="2">
        <v>40.078000000000003</v>
      </c>
      <c r="AW75" s="2">
        <v>22.989769280000001</v>
      </c>
      <c r="AX75" s="2">
        <v>39.098300000000002</v>
      </c>
      <c r="AY75" s="2">
        <v>58.693399999999997</v>
      </c>
      <c r="BA75" s="2">
        <f>AN75*2+AO75</f>
        <v>60.082999999999998</v>
      </c>
      <c r="BB75" s="2">
        <f>AN75*2+AP75</f>
        <v>79.864999999999995</v>
      </c>
      <c r="BC75" s="2">
        <f>AQ75*2+AN75*3</f>
        <v>101.9600772</v>
      </c>
      <c r="BD75" s="2">
        <f>AR75*2+AN75*3</f>
        <v>151.98919999999998</v>
      </c>
      <c r="BE75" s="2">
        <f>AS75+AN75</f>
        <v>71.843999999999994</v>
      </c>
      <c r="BF75" s="2">
        <f>AT75+AN75</f>
        <v>70.937044999999998</v>
      </c>
      <c r="BG75" s="2">
        <f>AU75+AN75</f>
        <v>40.304000000000002</v>
      </c>
      <c r="BH75" s="2">
        <f>AV75+AN75</f>
        <v>56.077000000000005</v>
      </c>
      <c r="BI75" s="2">
        <f>AW75*2+AN75</f>
        <v>61.978538560000004</v>
      </c>
      <c r="BJ75" s="2">
        <f>AX75*2+AN75</f>
        <v>94.195599999999999</v>
      </c>
      <c r="BK75" s="2">
        <f>AY75+AN75</f>
        <v>74.692399999999992</v>
      </c>
      <c r="BM75" s="2">
        <f t="shared" si="452"/>
        <v>0.68669072534213216</v>
      </c>
      <c r="BN75" s="2">
        <f t="shared" si="453"/>
        <v>2.3521791926837381E-5</v>
      </c>
      <c r="BO75" s="2">
        <f t="shared" si="454"/>
        <v>7.9840620502106871E-5</v>
      </c>
      <c r="BP75" s="2">
        <f t="shared" si="455"/>
        <v>4.0017238014732665E-5</v>
      </c>
      <c r="BQ75" s="2">
        <f t="shared" si="456"/>
        <v>0.13300682045471804</v>
      </c>
      <c r="BR75" s="2">
        <f t="shared" si="457"/>
        <v>1.8187411348930661E-3</v>
      </c>
      <c r="BS75" s="2">
        <f t="shared" si="458"/>
        <v>1.2099849910463381</v>
      </c>
      <c r="BT75" s="2">
        <f t="shared" si="459"/>
        <v>6.161420259218187E-4</v>
      </c>
      <c r="BU75" s="2">
        <f t="shared" si="460"/>
        <v>1.0380233723605502E-4</v>
      </c>
      <c r="BV75" s="2">
        <f t="shared" si="461"/>
        <v>0</v>
      </c>
      <c r="BW75" s="2">
        <f t="shared" si="462"/>
        <v>3.8768059355309688E-3</v>
      </c>
      <c r="BY75" s="2">
        <f t="shared" ref="BY75:BY106" si="551">BM75</f>
        <v>0.68669072534213216</v>
      </c>
      <c r="BZ75" s="2">
        <f t="shared" ref="BZ75:BZ106" si="552">BN75</f>
        <v>2.3521791926837381E-5</v>
      </c>
      <c r="CA75" s="2">
        <f t="shared" ref="CA75:CA106" si="553">BO75*2</f>
        <v>1.5968124100421374E-4</v>
      </c>
      <c r="CB75" s="2">
        <f t="shared" ref="CB75:CB106" si="554">BP75*2</f>
        <v>8.003447602946533E-5</v>
      </c>
      <c r="CC75" s="2">
        <f t="shared" ref="CC75:CC106" si="555">BQ75</f>
        <v>0.13300682045471804</v>
      </c>
      <c r="CD75" s="2">
        <f t="shared" ref="CD75:CD106" si="556">BR75</f>
        <v>1.8187411348930661E-3</v>
      </c>
      <c r="CE75" s="2">
        <f t="shared" ref="CE75:CE106" si="557">BS75</f>
        <v>1.2099849910463381</v>
      </c>
      <c r="CF75" s="2">
        <f t="shared" ref="CF75:CF106" si="558">BT75</f>
        <v>6.161420259218187E-4</v>
      </c>
      <c r="CG75" s="2">
        <f t="shared" ref="CG75:CG106" si="559">BU75*2</f>
        <v>2.0760467447211004E-4</v>
      </c>
      <c r="CH75" s="2">
        <f t="shared" ref="CH75:CH106" si="560">BV75*2</f>
        <v>0</v>
      </c>
      <c r="CI75" s="2">
        <f>BW75</f>
        <v>3.8768059355309688E-3</v>
      </c>
      <c r="CK75" s="2">
        <f t="shared" ref="CK75:CK106" si="561">BM75*2</f>
        <v>1.3733814506842643</v>
      </c>
      <c r="CL75" s="2">
        <f t="shared" ref="CL75:CL106" si="562">BN75*2</f>
        <v>4.7043583853674761E-5</v>
      </c>
      <c r="CM75" s="2">
        <f t="shared" ref="CM75:CM106" si="563">BO75*3</f>
        <v>2.3952186150632063E-4</v>
      </c>
      <c r="CN75" s="2">
        <f t="shared" ref="CN75:CN106" si="564">BP75*3</f>
        <v>1.2005171404419799E-4</v>
      </c>
      <c r="CO75" s="2">
        <f t="shared" ref="CO75:CO106" si="565">BQ75</f>
        <v>0.13300682045471804</v>
      </c>
      <c r="CP75" s="2">
        <f t="shared" ref="CP75:CP106" si="566">BR75</f>
        <v>1.8187411348930661E-3</v>
      </c>
      <c r="CQ75" s="2">
        <f t="shared" ref="CQ75:CQ106" si="567">BS75</f>
        <v>1.2099849910463381</v>
      </c>
      <c r="CR75" s="2">
        <f t="shared" ref="CR75:CR106" si="568">BT75</f>
        <v>6.161420259218187E-4</v>
      </c>
      <c r="CS75" s="2">
        <f t="shared" ref="CS75:CS106" si="569">BU75</f>
        <v>1.0380233723605502E-4</v>
      </c>
      <c r="CT75" s="2">
        <f t="shared" ref="CT75:CT106" si="570">BV75</f>
        <v>0</v>
      </c>
      <c r="CU75" s="2">
        <f t="shared" ref="CU75:CU106" si="571">BW75</f>
        <v>3.8768059355309688E-3</v>
      </c>
      <c r="CW75" s="14">
        <f>SUM(CK75:CU75)</f>
        <v>2.7231953707783063</v>
      </c>
      <c r="CY75" s="14">
        <f>4/CW75</f>
        <v>1.4688626614611111</v>
      </c>
      <c r="DA75" s="16">
        <f t="shared" si="470"/>
        <v>1.0086543664267051</v>
      </c>
      <c r="DB75" s="16">
        <f t="shared" si="471"/>
        <v>3.4550281891988829E-5</v>
      </c>
      <c r="DC75" s="16">
        <f t="shared" si="472"/>
        <v>2.345498126468625E-4</v>
      </c>
      <c r="DD75" s="16">
        <f t="shared" si="473"/>
        <v>1.1755965346928594E-4</v>
      </c>
      <c r="DE75" s="16">
        <f t="shared" si="474"/>
        <v>0.1953687522855973</v>
      </c>
      <c r="DF75" s="16">
        <f t="shared" si="475"/>
        <v>2.6714809439078308E-3</v>
      </c>
      <c r="DG75" s="16">
        <f t="shared" si="476"/>
        <v>1.7773017742763229</v>
      </c>
      <c r="DH75" s="16">
        <f t="shared" si="477"/>
        <v>9.0502801603356347E-4</v>
      </c>
      <c r="DI75" s="16">
        <f t="shared" si="478"/>
        <v>3.0494275467687112E-4</v>
      </c>
      <c r="DJ75" s="16">
        <f t="shared" si="479"/>
        <v>0</v>
      </c>
      <c r="DK75" s="16">
        <f t="shared" si="480"/>
        <v>5.6944954844322512E-3</v>
      </c>
      <c r="DL75" s="16">
        <f t="shared" si="481"/>
        <v>0.90096229975813702</v>
      </c>
      <c r="DN75" s="2">
        <f t="shared" si="482"/>
        <v>0.89152847108508448</v>
      </c>
      <c r="DO75" s="2">
        <f t="shared" si="483"/>
        <v>3.6369466423307284E-3</v>
      </c>
      <c r="DP75" s="2">
        <f t="shared" si="484"/>
        <v>3.6936276868821762E-2</v>
      </c>
      <c r="DQ75" s="2">
        <f t="shared" si="485"/>
        <v>8.3033480718974189E-3</v>
      </c>
      <c r="DR75" s="2">
        <f t="shared" si="486"/>
        <v>3.7362826009059526E-2</v>
      </c>
      <c r="DS75" s="2">
        <f t="shared" si="487"/>
        <v>0</v>
      </c>
      <c r="DT75" s="2">
        <f t="shared" si="488"/>
        <v>0.38469649891593127</v>
      </c>
      <c r="DU75" s="2">
        <f t="shared" si="489"/>
        <v>0.38347998379517539</v>
      </c>
      <c r="DV75" s="2">
        <f t="shared" si="490"/>
        <v>2.2947873152071321E-2</v>
      </c>
      <c r="DW75" s="2">
        <f t="shared" si="491"/>
        <v>0</v>
      </c>
      <c r="DX75" s="2">
        <f t="shared" si="492"/>
        <v>0</v>
      </c>
      <c r="DZ75" s="2">
        <f t="shared" ref="DZ75:DZ106" si="572">DN75*2</f>
        <v>1.783056942170169</v>
      </c>
      <c r="EA75" s="2">
        <f t="shared" ref="EA75:EA106" si="573">DO75*2</f>
        <v>7.2738932846614568E-3</v>
      </c>
      <c r="EB75" s="2">
        <f t="shared" ref="EB75:EB106" si="574">DP75*3</f>
        <v>0.11080883060646529</v>
      </c>
      <c r="EC75" s="2">
        <f t="shared" ref="EC75:EC106" si="575">DQ75*3</f>
        <v>2.4910044215692255E-2</v>
      </c>
      <c r="ED75" s="2">
        <f t="shared" ref="ED75:ED106" si="576">DR75</f>
        <v>3.7362826009059526E-2</v>
      </c>
      <c r="EE75" s="2">
        <f t="shared" ref="EE75:EE106" si="577">DS75</f>
        <v>0</v>
      </c>
      <c r="EF75" s="2">
        <f t="shared" ref="EF75:EF106" si="578">DT75</f>
        <v>0.38469649891593127</v>
      </c>
      <c r="EG75" s="2">
        <f t="shared" ref="EG75:EG106" si="579">DU75</f>
        <v>0.38347998379517539</v>
      </c>
      <c r="EH75" s="2">
        <f t="shared" ref="EH75:EH106" si="580">DV75</f>
        <v>2.2947873152071321E-2</v>
      </c>
      <c r="EI75" s="2">
        <f t="shared" ref="EI75:EI106" si="581">DW75</f>
        <v>0</v>
      </c>
      <c r="EJ75" s="2">
        <f t="shared" ref="EJ75:EJ106" si="582">DX75</f>
        <v>0</v>
      </c>
      <c r="EL75" s="16">
        <f>SUM(DZ75:EJ75)</f>
        <v>2.7545368921492255</v>
      </c>
      <c r="EN75" s="14">
        <f>6/EL75</f>
        <v>2.1782245927076707</v>
      </c>
      <c r="EP75" s="16">
        <f t="shared" si="496"/>
        <v>1.9419492408166006</v>
      </c>
      <c r="EQ75" s="16">
        <f t="shared" si="497"/>
        <v>7.922086618690382E-3</v>
      </c>
      <c r="ER75" s="16">
        <f t="shared" si="498"/>
        <v>0.16091101327745408</v>
      </c>
      <c r="ES75" s="16">
        <f t="shared" si="499"/>
        <v>3.6173113944037556E-2</v>
      </c>
      <c r="ET75" s="16">
        <f t="shared" si="500"/>
        <v>8.1384626465991247E-2</v>
      </c>
      <c r="EU75" s="16">
        <f t="shared" si="501"/>
        <v>0</v>
      </c>
      <c r="EV75" s="16">
        <f t="shared" si="502"/>
        <v>0.83795537466722125</v>
      </c>
      <c r="EW75" s="16">
        <f t="shared" si="503"/>
        <v>0.83530553151379006</v>
      </c>
      <c r="EX75" s="16">
        <f t="shared" si="504"/>
        <v>9.9971243300355686E-2</v>
      </c>
      <c r="EY75" s="16">
        <f t="shared" si="505"/>
        <v>0</v>
      </c>
      <c r="EZ75" s="16">
        <f t="shared" si="532"/>
        <v>0</v>
      </c>
      <c r="FB75" s="14">
        <f t="shared" si="506"/>
        <v>-6.8275869427463212</v>
      </c>
      <c r="FC75" s="4">
        <f t="shared" si="507"/>
        <v>0.73502012086326307</v>
      </c>
      <c r="FD75" s="4">
        <f t="shared" si="508"/>
        <v>1.9567606129178945</v>
      </c>
      <c r="FE75" s="4">
        <f t="shared" si="509"/>
        <v>1.9567606129178945</v>
      </c>
      <c r="FG75" s="4">
        <f t="shared" si="510"/>
        <v>1.5848530909955609</v>
      </c>
    </row>
    <row r="76" spans="1:163" x14ac:dyDescent="0.2">
      <c r="A76" s="58" t="s">
        <v>138</v>
      </c>
      <c r="B76" s="57" t="s">
        <v>145</v>
      </c>
      <c r="C76" s="138">
        <v>40.869079716777691</v>
      </c>
      <c r="D76" s="98">
        <v>2.8838043239167552E-3</v>
      </c>
      <c r="E76" s="148">
        <f t="shared" si="511"/>
        <v>2.2535794111126942E-2</v>
      </c>
      <c r="F76" s="138">
        <v>1.6049185249174671E-2</v>
      </c>
      <c r="G76" s="138">
        <v>8.7876519254030292</v>
      </c>
      <c r="H76" s="138">
        <v>0.12668630855943211</v>
      </c>
      <c r="I76" s="138">
        <v>49.816688901346183</v>
      </c>
      <c r="J76" s="150">
        <f t="shared" si="512"/>
        <v>5.8018580512331025E-2</v>
      </c>
      <c r="K76" s="98">
        <v>1.142017533029154E-2</v>
      </c>
      <c r="L76" s="98"/>
      <c r="M76" s="138">
        <v>0.39989314791367597</v>
      </c>
      <c r="N76" s="141">
        <v>119.27205422697145</v>
      </c>
      <c r="O76" s="142">
        <v>414.65639562979533</v>
      </c>
      <c r="P76" s="11"/>
      <c r="Q76" s="140">
        <v>52.94885964030945</v>
      </c>
      <c r="R76" s="140">
        <v>0.21099166080578721</v>
      </c>
      <c r="S76" s="140">
        <v>3.5868582336983827</v>
      </c>
      <c r="T76" s="140">
        <v>0.73344720184868895</v>
      </c>
      <c r="U76" s="140">
        <v>2.8835526976790922</v>
      </c>
      <c r="V76" s="140">
        <v>0</v>
      </c>
      <c r="W76" s="140">
        <v>17.030041193609964</v>
      </c>
      <c r="X76" s="140">
        <v>21.621621621621621</v>
      </c>
      <c r="Y76" s="140">
        <v>0.98462775042700712</v>
      </c>
      <c r="Z76" s="100"/>
      <c r="AA76" s="140"/>
      <c r="AC76" s="139">
        <v>43.062972292191439</v>
      </c>
      <c r="AD76" s="139">
        <v>23.052896725440807</v>
      </c>
      <c r="AE76" s="11"/>
      <c r="AF76" s="83">
        <f t="shared" ref="AF76:AF106" si="583">AD76/151.9892/(AD76/151.9892+AC76/101.9601)</f>
        <v>0.26422954218261879</v>
      </c>
      <c r="AG76" s="22">
        <f t="shared" si="448"/>
        <v>5.2332184499984764E-4</v>
      </c>
      <c r="AH76" s="126">
        <f t="shared" si="549"/>
        <v>1045.2706873396376</v>
      </c>
      <c r="AI76" s="126">
        <f t="shared" si="449"/>
        <v>1045.1210813163052</v>
      </c>
      <c r="AJ76" s="126">
        <f t="shared" si="450"/>
        <v>0.14960602333235329</v>
      </c>
      <c r="AK76" s="12"/>
      <c r="AL76" s="25">
        <f t="shared" si="550"/>
        <v>2.3572199391433726</v>
      </c>
      <c r="AN76" s="2">
        <v>15.999000000000001</v>
      </c>
      <c r="AO76" s="2">
        <v>28.085000000000001</v>
      </c>
      <c r="AP76" s="2">
        <v>47.866999999999997</v>
      </c>
      <c r="AQ76" s="2">
        <v>26.9815386</v>
      </c>
      <c r="AR76" s="2">
        <v>51.996099999999998</v>
      </c>
      <c r="AS76" s="2">
        <v>55.844999999999999</v>
      </c>
      <c r="AT76" s="2">
        <v>54.938045000000002</v>
      </c>
      <c r="AU76" s="2">
        <v>24.305</v>
      </c>
      <c r="AV76" s="2">
        <v>40.078000000000003</v>
      </c>
      <c r="AW76" s="2">
        <v>22.989769280000001</v>
      </c>
      <c r="AX76" s="2">
        <v>39.098300000000002</v>
      </c>
      <c r="AY76" s="2">
        <v>58.693399999999997</v>
      </c>
      <c r="BA76" s="2">
        <f>AN76*2+AO76</f>
        <v>60.082999999999998</v>
      </c>
      <c r="BB76" s="2">
        <f>AN76*2+AP76</f>
        <v>79.864999999999995</v>
      </c>
      <c r="BC76" s="2">
        <f>AQ76*2+AN76*3</f>
        <v>101.9600772</v>
      </c>
      <c r="BD76" s="2">
        <f>AR76*2+AN76*3</f>
        <v>151.98919999999998</v>
      </c>
      <c r="BE76" s="2">
        <f>AS76+AN76</f>
        <v>71.843999999999994</v>
      </c>
      <c r="BF76" s="2">
        <f>AT76+AN76</f>
        <v>70.937044999999998</v>
      </c>
      <c r="BG76" s="2">
        <f>AU76+AN76</f>
        <v>40.304000000000002</v>
      </c>
      <c r="BH76" s="2">
        <f>AV76+AN76</f>
        <v>56.077000000000005</v>
      </c>
      <c r="BI76" s="2">
        <f>AW76*2+AN76</f>
        <v>61.978538560000004</v>
      </c>
      <c r="BJ76" s="2">
        <f>AX76*2+AN76</f>
        <v>94.195599999999999</v>
      </c>
      <c r="BK76" s="2">
        <f>AY76+AN76</f>
        <v>74.692399999999992</v>
      </c>
      <c r="BM76" s="2">
        <f t="shared" si="452"/>
        <v>0.6802103709331706</v>
      </c>
      <c r="BN76" s="2">
        <f t="shared" si="453"/>
        <v>3.6108487120976091E-5</v>
      </c>
      <c r="BO76" s="2">
        <f t="shared" si="454"/>
        <v>2.2102566739844469E-4</v>
      </c>
      <c r="BP76" s="2">
        <f t="shared" si="455"/>
        <v>1.0559424780954616E-4</v>
      </c>
      <c r="BQ76" s="2">
        <f t="shared" si="456"/>
        <v>0.12231573861982949</v>
      </c>
      <c r="BR76" s="2">
        <f t="shared" si="457"/>
        <v>1.7858977429836853E-3</v>
      </c>
      <c r="BS76" s="2">
        <f t="shared" si="458"/>
        <v>1.2360234443565448</v>
      </c>
      <c r="BT76" s="2">
        <f t="shared" si="459"/>
        <v>1.03462347330155E-3</v>
      </c>
      <c r="BU76" s="2">
        <f t="shared" si="460"/>
        <v>1.8426015836491417E-4</v>
      </c>
      <c r="BV76" s="2">
        <f t="shared" si="461"/>
        <v>0</v>
      </c>
      <c r="BW76" s="2">
        <f t="shared" si="462"/>
        <v>5.3538666305229989E-3</v>
      </c>
      <c r="BY76" s="2">
        <f t="shared" si="551"/>
        <v>0.6802103709331706</v>
      </c>
      <c r="BZ76" s="2">
        <f t="shared" si="552"/>
        <v>3.6108487120976091E-5</v>
      </c>
      <c r="CA76" s="2">
        <f t="shared" si="553"/>
        <v>4.4205133479688938E-4</v>
      </c>
      <c r="CB76" s="2">
        <f t="shared" si="554"/>
        <v>2.1118849561909233E-4</v>
      </c>
      <c r="CC76" s="2">
        <f t="shared" si="555"/>
        <v>0.12231573861982949</v>
      </c>
      <c r="CD76" s="2">
        <f t="shared" si="556"/>
        <v>1.7858977429836853E-3</v>
      </c>
      <c r="CE76" s="2">
        <f t="shared" si="557"/>
        <v>1.2360234443565448</v>
      </c>
      <c r="CF76" s="2">
        <f t="shared" si="558"/>
        <v>1.03462347330155E-3</v>
      </c>
      <c r="CG76" s="2">
        <f t="shared" si="559"/>
        <v>3.6852031672982835E-4</v>
      </c>
      <c r="CH76" s="2">
        <f t="shared" si="560"/>
        <v>0</v>
      </c>
      <c r="CI76" s="2">
        <f>BW76</f>
        <v>5.3538666305229989E-3</v>
      </c>
      <c r="CK76" s="2">
        <f t="shared" si="561"/>
        <v>1.3604207418663412</v>
      </c>
      <c r="CL76" s="2">
        <f t="shared" si="562"/>
        <v>7.2216974241952182E-5</v>
      </c>
      <c r="CM76" s="2">
        <f t="shared" si="563"/>
        <v>6.6307700219533406E-4</v>
      </c>
      <c r="CN76" s="2">
        <f t="shared" si="564"/>
        <v>3.1678274342863846E-4</v>
      </c>
      <c r="CO76" s="2">
        <f t="shared" si="565"/>
        <v>0.12231573861982949</v>
      </c>
      <c r="CP76" s="2">
        <f t="shared" si="566"/>
        <v>1.7858977429836853E-3</v>
      </c>
      <c r="CQ76" s="2">
        <f t="shared" si="567"/>
        <v>1.2360234443565448</v>
      </c>
      <c r="CR76" s="2">
        <f t="shared" si="568"/>
        <v>1.03462347330155E-3</v>
      </c>
      <c r="CS76" s="2">
        <f t="shared" si="569"/>
        <v>1.8426015836491417E-4</v>
      </c>
      <c r="CT76" s="2">
        <f t="shared" si="570"/>
        <v>0</v>
      </c>
      <c r="CU76" s="2">
        <f t="shared" si="571"/>
        <v>5.3538666305229989E-3</v>
      </c>
      <c r="CW76" s="14">
        <f>SUM(CK76:CU76)</f>
        <v>2.7281706495677547</v>
      </c>
      <c r="CY76" s="14">
        <f>4/CW76</f>
        <v>1.4661839429413079</v>
      </c>
      <c r="DA76" s="16">
        <f t="shared" si="470"/>
        <v>0.99731352368436577</v>
      </c>
      <c r="DB76" s="16">
        <f t="shared" si="471"/>
        <v>5.2941684020678159E-5</v>
      </c>
      <c r="DC76" s="16">
        <f t="shared" si="472"/>
        <v>6.4812856903497147E-4</v>
      </c>
      <c r="DD76" s="16">
        <f t="shared" si="473"/>
        <v>3.0964118121064391E-4</v>
      </c>
      <c r="DE76" s="16">
        <f t="shared" si="474"/>
        <v>0.17933737193340002</v>
      </c>
      <c r="DF76" s="16">
        <f t="shared" si="475"/>
        <v>2.6184545944978022E-3</v>
      </c>
      <c r="DG76" s="16">
        <f t="shared" si="476"/>
        <v>1.8122377272145751</v>
      </c>
      <c r="DH76" s="16">
        <f t="shared" si="477"/>
        <v>1.5169483235448976E-3</v>
      </c>
      <c r="DI76" s="16">
        <f t="shared" si="478"/>
        <v>5.4031857103691938E-4</v>
      </c>
      <c r="DJ76" s="16">
        <f t="shared" si="479"/>
        <v>0</v>
      </c>
      <c r="DK76" s="16">
        <f t="shared" si="480"/>
        <v>7.8497532863221059E-3</v>
      </c>
      <c r="DL76" s="16">
        <f t="shared" si="481"/>
        <v>0.90995199126052384</v>
      </c>
      <c r="DN76" s="2">
        <f t="shared" si="482"/>
        <v>0.88126191502270945</v>
      </c>
      <c r="DO76" s="2">
        <f t="shared" si="483"/>
        <v>2.6418538885091998E-3</v>
      </c>
      <c r="DP76" s="2">
        <f t="shared" si="484"/>
        <v>3.5179045879521781E-2</v>
      </c>
      <c r="DQ76" s="2">
        <f t="shared" si="485"/>
        <v>4.8256534138523596E-3</v>
      </c>
      <c r="DR76" s="2">
        <f t="shared" si="486"/>
        <v>4.0136305017525367E-2</v>
      </c>
      <c r="DS76" s="2">
        <f t="shared" si="487"/>
        <v>0</v>
      </c>
      <c r="DT76" s="2">
        <f t="shared" si="488"/>
        <v>0.42253972790814714</v>
      </c>
      <c r="DU76" s="2">
        <f t="shared" si="489"/>
        <v>0.38557022703820854</v>
      </c>
      <c r="DV76" s="2">
        <f t="shared" si="490"/>
        <v>1.5886591928491692E-2</v>
      </c>
      <c r="DW76" s="2">
        <f t="shared" si="491"/>
        <v>0</v>
      </c>
      <c r="DX76" s="2">
        <f t="shared" si="492"/>
        <v>0</v>
      </c>
      <c r="DZ76" s="2">
        <f t="shared" si="572"/>
        <v>1.7625238300454189</v>
      </c>
      <c r="EA76" s="2">
        <f t="shared" si="573"/>
        <v>5.2837077770183996E-3</v>
      </c>
      <c r="EB76" s="2">
        <f t="shared" si="574"/>
        <v>0.10553713763856534</v>
      </c>
      <c r="EC76" s="2">
        <f t="shared" si="575"/>
        <v>1.4476960241557079E-2</v>
      </c>
      <c r="ED76" s="2">
        <f t="shared" si="576"/>
        <v>4.0136305017525367E-2</v>
      </c>
      <c r="EE76" s="2">
        <f t="shared" si="577"/>
        <v>0</v>
      </c>
      <c r="EF76" s="2">
        <f t="shared" si="578"/>
        <v>0.42253972790814714</v>
      </c>
      <c r="EG76" s="2">
        <f t="shared" si="579"/>
        <v>0.38557022703820854</v>
      </c>
      <c r="EH76" s="2">
        <f t="shared" si="580"/>
        <v>1.5886591928491692E-2</v>
      </c>
      <c r="EI76" s="2">
        <f t="shared" si="581"/>
        <v>0</v>
      </c>
      <c r="EJ76" s="2">
        <f t="shared" si="582"/>
        <v>0</v>
      </c>
      <c r="EL76" s="16">
        <f>SUM(DZ76:EJ76)</f>
        <v>2.7519544875949329</v>
      </c>
      <c r="EN76" s="14">
        <f>6/EL76</f>
        <v>2.1802686152864732</v>
      </c>
      <c r="EP76" s="16">
        <f t="shared" si="496"/>
        <v>1.9213876951712683</v>
      </c>
      <c r="EQ76" s="16">
        <f t="shared" si="497"/>
        <v>5.7599511192891377E-3</v>
      </c>
      <c r="ER76" s="16">
        <f t="shared" si="498"/>
        <v>0.15339953929368852</v>
      </c>
      <c r="ES76" s="16">
        <f t="shared" si="499"/>
        <v>2.1042441372944653E-2</v>
      </c>
      <c r="ET76" s="16">
        <f t="shared" si="500"/>
        <v>8.750792616327556E-2</v>
      </c>
      <c r="EU76" s="16">
        <f t="shared" si="501"/>
        <v>0</v>
      </c>
      <c r="EV76" s="16">
        <f t="shared" si="502"/>
        <v>0.92125010746981917</v>
      </c>
      <c r="EW76" s="16">
        <f t="shared" si="503"/>
        <v>0.84064666500028606</v>
      </c>
      <c r="EX76" s="16">
        <f t="shared" si="504"/>
        <v>6.9274075571107679E-2</v>
      </c>
      <c r="EY76" s="16">
        <f t="shared" si="505"/>
        <v>0</v>
      </c>
      <c r="EZ76" s="16">
        <f t="shared" si="532"/>
        <v>0</v>
      </c>
      <c r="FB76" s="14">
        <f t="shared" si="506"/>
        <v>-6.3174708000641608</v>
      </c>
      <c r="FC76" s="4">
        <f t="shared" si="507"/>
        <v>1.9663589949195057</v>
      </c>
      <c r="FD76" s="4">
        <f t="shared" si="508"/>
        <v>2.0901134462920572</v>
      </c>
      <c r="FE76" s="4">
        <f t="shared" si="509"/>
        <v>2.0901134462920572</v>
      </c>
      <c r="FG76" s="4">
        <f t="shared" si="510"/>
        <v>2.3572199391433726</v>
      </c>
    </row>
    <row r="77" spans="1:163" x14ac:dyDescent="0.2">
      <c r="A77" s="58" t="s">
        <v>139</v>
      </c>
      <c r="B77" s="57" t="s">
        <v>145</v>
      </c>
      <c r="C77" s="138">
        <v>40.885719830852835</v>
      </c>
      <c r="D77" s="98">
        <v>3.1186975197620495E-3</v>
      </c>
      <c r="E77" s="148">
        <f>N77/(26.9815*10000)*101.9601/2</f>
        <v>2.0520623133734598E-2</v>
      </c>
      <c r="F77" s="138">
        <v>8.9647809950854189E-3</v>
      </c>
      <c r="G77" s="138">
        <v>9.3490212868298848</v>
      </c>
      <c r="H77" s="138">
        <v>0.1304549595113462</v>
      </c>
      <c r="I77" s="138">
        <v>49.324836372119599</v>
      </c>
      <c r="J77" s="150">
        <f>O77/40.078*56.077/10000</f>
        <v>5.3069379892383459E-2</v>
      </c>
      <c r="K77" s="98">
        <v>1.2714891885576158E-2</v>
      </c>
      <c r="L77" s="98"/>
      <c r="M77" s="138">
        <v>0.30996755068633836</v>
      </c>
      <c r="N77" s="141">
        <v>108.60663986850935</v>
      </c>
      <c r="O77" s="142">
        <v>379.28466346754368</v>
      </c>
      <c r="P77" s="11"/>
      <c r="Q77" s="140">
        <v>52.0778960048183</v>
      </c>
      <c r="R77" s="140">
        <v>0.40152579803252353</v>
      </c>
      <c r="S77" s="140">
        <v>5.6715518972093948</v>
      </c>
      <c r="T77" s="140">
        <v>0.78297530616342104</v>
      </c>
      <c r="U77" s="140">
        <v>2.9211001806866088</v>
      </c>
      <c r="V77" s="140">
        <v>0</v>
      </c>
      <c r="W77" s="140">
        <v>15.57920096366191</v>
      </c>
      <c r="X77" s="140">
        <v>21.140333266412362</v>
      </c>
      <c r="Y77" s="140">
        <v>1.4254165830154584</v>
      </c>
      <c r="Z77" s="100"/>
      <c r="AA77" s="140"/>
      <c r="AC77" s="139">
        <v>55.895680193334009</v>
      </c>
      <c r="AD77" s="139">
        <v>11.066357869298159</v>
      </c>
      <c r="AE77" s="11"/>
      <c r="AF77" s="83">
        <f t="shared" si="583"/>
        <v>0.11724257967807596</v>
      </c>
      <c r="AG77" s="22">
        <f t="shared" si="448"/>
        <v>3.6712359636303059E-4</v>
      </c>
      <c r="AH77" s="126">
        <f t="shared" si="549"/>
        <v>1013.3814734652904</v>
      </c>
      <c r="AI77" s="126">
        <f t="shared" si="449"/>
        <v>1013.2317899523082</v>
      </c>
      <c r="AJ77" s="126">
        <f t="shared" si="450"/>
        <v>0.14968351298216476</v>
      </c>
      <c r="AK77" s="12"/>
      <c r="AL77" s="25">
        <f t="shared" si="550"/>
        <v>2.1243955129938881</v>
      </c>
      <c r="AN77" s="2">
        <v>15.999000000000001</v>
      </c>
      <c r="AO77" s="2">
        <v>28.085000000000001</v>
      </c>
      <c r="AP77" s="2">
        <v>47.866999999999997</v>
      </c>
      <c r="AQ77" s="2">
        <v>26.9815386</v>
      </c>
      <c r="AR77" s="2">
        <v>51.996099999999998</v>
      </c>
      <c r="AS77" s="2">
        <v>55.844999999999999</v>
      </c>
      <c r="AT77" s="2">
        <v>54.938045000000002</v>
      </c>
      <c r="AU77" s="2">
        <v>24.305</v>
      </c>
      <c r="AV77" s="2">
        <v>40.078000000000003</v>
      </c>
      <c r="AW77" s="2">
        <v>22.989769280000001</v>
      </c>
      <c r="AX77" s="2">
        <v>39.098300000000002</v>
      </c>
      <c r="AY77" s="2">
        <v>58.693399999999997</v>
      </c>
      <c r="BA77" s="2">
        <f>AN77*2+AO77</f>
        <v>60.082999999999998</v>
      </c>
      <c r="BB77" s="2">
        <f>AN77*2+AP77</f>
        <v>79.864999999999995</v>
      </c>
      <c r="BC77" s="2">
        <f>AQ77*2+AN77*3</f>
        <v>101.9600772</v>
      </c>
      <c r="BD77" s="2">
        <f>AR77*2+AN77*3</f>
        <v>151.98919999999998</v>
      </c>
      <c r="BE77" s="2">
        <f>AS77+AN77</f>
        <v>71.843999999999994</v>
      </c>
      <c r="BF77" s="2">
        <f>AT77+AN77</f>
        <v>70.937044999999998</v>
      </c>
      <c r="BG77" s="2">
        <f>AU77+AN77</f>
        <v>40.304000000000002</v>
      </c>
      <c r="BH77" s="2">
        <f>AV77+AN77</f>
        <v>56.077000000000005</v>
      </c>
      <c r="BI77" s="2">
        <f>AW77*2+AN77</f>
        <v>61.978538560000004</v>
      </c>
      <c r="BJ77" s="2">
        <f>AX77*2+AN77</f>
        <v>94.195599999999999</v>
      </c>
      <c r="BK77" s="2">
        <f>AY77+AN77</f>
        <v>74.692399999999992</v>
      </c>
      <c r="BM77" s="2">
        <f t="shared" si="452"/>
        <v>0.68048732305066051</v>
      </c>
      <c r="BN77" s="2">
        <f t="shared" si="453"/>
        <v>3.9049615222713951E-5</v>
      </c>
      <c r="BO77" s="2">
        <f t="shared" si="454"/>
        <v>2.0126135343623099E-4</v>
      </c>
      <c r="BP77" s="2">
        <f t="shared" si="455"/>
        <v>5.8983013234397045E-5</v>
      </c>
      <c r="BQ77" s="2">
        <f t="shared" si="456"/>
        <v>0.13012946504690559</v>
      </c>
      <c r="BR77" s="2">
        <f t="shared" si="457"/>
        <v>1.8390244407748618E-3</v>
      </c>
      <c r="BS77" s="2">
        <f t="shared" si="458"/>
        <v>1.2238198782284537</v>
      </c>
      <c r="BT77" s="2">
        <f t="shared" si="459"/>
        <v>9.4636624449209933E-4</v>
      </c>
      <c r="BU77" s="2">
        <f t="shared" si="460"/>
        <v>2.0514991448640182E-4</v>
      </c>
      <c r="BV77" s="2">
        <f t="shared" si="461"/>
        <v>0</v>
      </c>
      <c r="BW77" s="2">
        <f t="shared" si="462"/>
        <v>4.1499208846728503E-3</v>
      </c>
      <c r="BY77" s="2">
        <f t="shared" si="551"/>
        <v>0.68048732305066051</v>
      </c>
      <c r="BZ77" s="2">
        <f t="shared" si="552"/>
        <v>3.9049615222713951E-5</v>
      </c>
      <c r="CA77" s="2">
        <f t="shared" si="553"/>
        <v>4.0252270687246198E-4</v>
      </c>
      <c r="CB77" s="2">
        <f t="shared" si="554"/>
        <v>1.1796602646879409E-4</v>
      </c>
      <c r="CC77" s="2">
        <f t="shared" si="555"/>
        <v>0.13012946504690559</v>
      </c>
      <c r="CD77" s="2">
        <f t="shared" si="556"/>
        <v>1.8390244407748618E-3</v>
      </c>
      <c r="CE77" s="2">
        <f t="shared" si="557"/>
        <v>1.2238198782284537</v>
      </c>
      <c r="CF77" s="2">
        <f t="shared" si="558"/>
        <v>9.4636624449209933E-4</v>
      </c>
      <c r="CG77" s="2">
        <f t="shared" si="559"/>
        <v>4.1029982897280363E-4</v>
      </c>
      <c r="CH77" s="2">
        <f t="shared" si="560"/>
        <v>0</v>
      </c>
      <c r="CI77" s="2">
        <f>BW77</f>
        <v>4.1499208846728503E-3</v>
      </c>
      <c r="CK77" s="2">
        <f t="shared" si="561"/>
        <v>1.360974646101321</v>
      </c>
      <c r="CL77" s="2">
        <f t="shared" si="562"/>
        <v>7.8099230445427903E-5</v>
      </c>
      <c r="CM77" s="2">
        <f t="shared" si="563"/>
        <v>6.0378406030869294E-4</v>
      </c>
      <c r="CN77" s="2">
        <f t="shared" si="564"/>
        <v>1.7694903970319112E-4</v>
      </c>
      <c r="CO77" s="2">
        <f t="shared" si="565"/>
        <v>0.13012946504690559</v>
      </c>
      <c r="CP77" s="2">
        <f t="shared" si="566"/>
        <v>1.8390244407748618E-3</v>
      </c>
      <c r="CQ77" s="2">
        <f t="shared" si="567"/>
        <v>1.2238198782284537</v>
      </c>
      <c r="CR77" s="2">
        <f t="shared" si="568"/>
        <v>9.4636624449209933E-4</v>
      </c>
      <c r="CS77" s="2">
        <f t="shared" si="569"/>
        <v>2.0514991448640182E-4</v>
      </c>
      <c r="CT77" s="2">
        <f t="shared" si="570"/>
        <v>0</v>
      </c>
      <c r="CU77" s="2">
        <f t="shared" si="571"/>
        <v>4.1499208846728503E-3</v>
      </c>
      <c r="CW77" s="14">
        <f>SUM(CK77:CU77)</f>
        <v>2.7229232831915637</v>
      </c>
      <c r="CY77" s="14">
        <f>4/CW77</f>
        <v>1.4690094372807898</v>
      </c>
      <c r="DA77" s="16">
        <f t="shared" si="470"/>
        <v>0.99964229951136185</v>
      </c>
      <c r="DB77" s="16">
        <f t="shared" si="471"/>
        <v>5.7364253284350384E-5</v>
      </c>
      <c r="DC77" s="16">
        <f t="shared" si="472"/>
        <v>5.9130965511545563E-4</v>
      </c>
      <c r="DD77" s="16">
        <f t="shared" si="473"/>
        <v>1.7329320616117397E-4</v>
      </c>
      <c r="DE77" s="16">
        <f t="shared" si="474"/>
        <v>0.19116141222220498</v>
      </c>
      <c r="DF77" s="16">
        <f t="shared" si="475"/>
        <v>2.701544258888299E-3</v>
      </c>
      <c r="DG77" s="16">
        <f t="shared" si="476"/>
        <v>1.7978029506494255</v>
      </c>
      <c r="DH77" s="16">
        <f t="shared" si="477"/>
        <v>1.3902209442828732E-3</v>
      </c>
      <c r="DI77" s="16">
        <f t="shared" si="478"/>
        <v>6.027343208757426E-4</v>
      </c>
      <c r="DJ77" s="16">
        <f t="shared" si="479"/>
        <v>0</v>
      </c>
      <c r="DK77" s="16">
        <f t="shared" si="480"/>
        <v>6.096272943553061E-3</v>
      </c>
      <c r="DL77" s="16">
        <f t="shared" si="481"/>
        <v>0.90388897066702112</v>
      </c>
      <c r="DN77" s="2">
        <f t="shared" si="482"/>
        <v>0.86676590724195368</v>
      </c>
      <c r="DO77" s="2">
        <f t="shared" si="483"/>
        <v>5.0275564769614164E-3</v>
      </c>
      <c r="DP77" s="2">
        <f t="shared" si="484"/>
        <v>5.56252216844084E-2</v>
      </c>
      <c r="DQ77" s="2">
        <f t="shared" si="485"/>
        <v>5.1515193590295962E-3</v>
      </c>
      <c r="DR77" s="2">
        <f t="shared" si="486"/>
        <v>4.0658930191618078E-2</v>
      </c>
      <c r="DS77" s="2">
        <f t="shared" si="487"/>
        <v>0</v>
      </c>
      <c r="DT77" s="2">
        <f t="shared" si="488"/>
        <v>0.38654230259184968</v>
      </c>
      <c r="DU77" s="2">
        <f t="shared" si="489"/>
        <v>0.37698759324522285</v>
      </c>
      <c r="DV77" s="2">
        <f t="shared" si="490"/>
        <v>2.2998551049014253E-2</v>
      </c>
      <c r="DW77" s="2">
        <f t="shared" si="491"/>
        <v>0</v>
      </c>
      <c r="DX77" s="2">
        <f t="shared" si="492"/>
        <v>0</v>
      </c>
      <c r="DZ77" s="2">
        <f t="shared" si="572"/>
        <v>1.7335318144839074</v>
      </c>
      <c r="EA77" s="2">
        <f t="shared" si="573"/>
        <v>1.0055112953922833E-2</v>
      </c>
      <c r="EB77" s="2">
        <f t="shared" si="574"/>
        <v>0.16687566505322521</v>
      </c>
      <c r="EC77" s="2">
        <f t="shared" si="575"/>
        <v>1.5454558077088789E-2</v>
      </c>
      <c r="ED77" s="2">
        <f t="shared" si="576"/>
        <v>4.0658930191618078E-2</v>
      </c>
      <c r="EE77" s="2">
        <f t="shared" si="577"/>
        <v>0</v>
      </c>
      <c r="EF77" s="2">
        <f t="shared" si="578"/>
        <v>0.38654230259184968</v>
      </c>
      <c r="EG77" s="2">
        <f t="shared" si="579"/>
        <v>0.37698759324522285</v>
      </c>
      <c r="EH77" s="2">
        <f t="shared" si="580"/>
        <v>2.2998551049014253E-2</v>
      </c>
      <c r="EI77" s="2">
        <f t="shared" si="581"/>
        <v>0</v>
      </c>
      <c r="EJ77" s="2">
        <f t="shared" si="582"/>
        <v>0</v>
      </c>
      <c r="EL77" s="16">
        <f>SUM(DZ77:EJ77)</f>
        <v>2.7531045276458492</v>
      </c>
      <c r="EN77" s="14">
        <f>6/EL77</f>
        <v>2.1793578630051278</v>
      </c>
      <c r="EP77" s="16">
        <f t="shared" si="496"/>
        <v>1.8889930953325249</v>
      </c>
      <c r="EQ77" s="16">
        <f t="shared" si="497"/>
        <v>1.0956844739768221E-2</v>
      </c>
      <c r="ER77" s="16">
        <f t="shared" si="498"/>
        <v>0.24245452851863758</v>
      </c>
      <c r="ES77" s="16">
        <f t="shared" si="499"/>
        <v>2.2454008443048575E-2</v>
      </c>
      <c r="ET77" s="16">
        <f t="shared" si="500"/>
        <v>8.8610359214479448E-2</v>
      </c>
      <c r="EU77" s="16">
        <f t="shared" si="501"/>
        <v>0</v>
      </c>
      <c r="EV77" s="16">
        <f t="shared" si="502"/>
        <v>0.84241400653765497</v>
      </c>
      <c r="EW77" s="16">
        <f t="shared" si="503"/>
        <v>0.82159087559435517</v>
      </c>
      <c r="EX77" s="16">
        <f t="shared" si="504"/>
        <v>0.10024414613278809</v>
      </c>
      <c r="EY77" s="16">
        <f t="shared" si="505"/>
        <v>0</v>
      </c>
      <c r="EZ77" s="16">
        <f t="shared" si="532"/>
        <v>0</v>
      </c>
      <c r="FB77" s="14">
        <f t="shared" si="506"/>
        <v>-6.3817798656658464</v>
      </c>
      <c r="FC77" s="4">
        <f t="shared" si="507"/>
        <v>1.550250010918244</v>
      </c>
      <c r="FD77" s="4">
        <f t="shared" si="508"/>
        <v>1.9045330472817454</v>
      </c>
      <c r="FE77" s="4">
        <f t="shared" si="509"/>
        <v>1.9045330472817454</v>
      </c>
      <c r="FG77" s="4">
        <f t="shared" si="510"/>
        <v>2.1243955129938881</v>
      </c>
    </row>
    <row r="78" spans="1:163" x14ac:dyDescent="0.2">
      <c r="A78" s="58" t="s">
        <v>140</v>
      </c>
      <c r="B78" s="57" t="s">
        <v>145</v>
      </c>
      <c r="C78" s="138">
        <v>41.377494663192273</v>
      </c>
      <c r="D78" s="98">
        <v>2.6038400944840062E-3</v>
      </c>
      <c r="E78" s="148">
        <f t="shared" ref="E78:E115" si="584">N78/(26.9815*10000)*101.9601/2</f>
        <v>1.8702355308541752E-2</v>
      </c>
      <c r="F78" s="138">
        <v>1.5664283214135058E-2</v>
      </c>
      <c r="G78" s="138">
        <v>9.0697233298388653</v>
      </c>
      <c r="H78" s="138">
        <v>0.1232887440186525</v>
      </c>
      <c r="I78" s="138">
        <v>49.140140153417398</v>
      </c>
      <c r="J78" s="150">
        <f t="shared" ref="J78:J115" si="585">O78/40.078*56.077/10000</f>
        <v>5.3951496702674719E-2</v>
      </c>
      <c r="K78" s="98">
        <v>1.3895042280830182E-2</v>
      </c>
      <c r="L78" s="98"/>
      <c r="M78" s="138">
        <v>0.28935310953281312</v>
      </c>
      <c r="N78" s="141">
        <v>98.983347359882799</v>
      </c>
      <c r="O78" s="142">
        <v>385.58911583176666</v>
      </c>
      <c r="P78" s="11"/>
      <c r="Q78" s="140">
        <v>53.677134543995173</v>
      </c>
      <c r="R78" s="140">
        <v>0.21069529447175678</v>
      </c>
      <c r="S78" s="140">
        <v>3.8527139560549801</v>
      </c>
      <c r="T78" s="140">
        <v>0.88291361492926668</v>
      </c>
      <c r="U78" s="140">
        <v>2.8995685763017955</v>
      </c>
      <c r="V78" s="140">
        <v>0</v>
      </c>
      <c r="W78" s="140">
        <v>16.243603892846391</v>
      </c>
      <c r="X78" s="140">
        <v>20.969198354570075</v>
      </c>
      <c r="Y78" s="140">
        <v>1.2641717668305406</v>
      </c>
      <c r="Z78" s="100"/>
      <c r="AA78" s="140"/>
      <c r="AC78" s="139">
        <v>40.909090909090914</v>
      </c>
      <c r="AD78" s="139">
        <v>26.204394275347713</v>
      </c>
      <c r="AE78" s="11"/>
      <c r="AF78" s="83">
        <f t="shared" si="583"/>
        <v>0.30055569366346874</v>
      </c>
      <c r="AG78" s="22">
        <f t="shared" si="448"/>
        <v>4.5716868531990942E-4</v>
      </c>
      <c r="AH78" s="126">
        <f t="shared" si="549"/>
        <v>1019.1512385036146</v>
      </c>
      <c r="AI78" s="126">
        <f t="shared" si="449"/>
        <v>1019.0015752645975</v>
      </c>
      <c r="AJ78" s="126">
        <f t="shared" si="450"/>
        <v>0.1496632390171726</v>
      </c>
      <c r="AK78" s="12"/>
      <c r="AL78" s="25">
        <f t="shared" si="550"/>
        <v>2.166477568537883</v>
      </c>
      <c r="AN78" s="2">
        <v>15.999000000000001</v>
      </c>
      <c r="AO78" s="2">
        <v>28.085000000000001</v>
      </c>
      <c r="AP78" s="2">
        <v>47.866999999999997</v>
      </c>
      <c r="AQ78" s="2">
        <v>26.9815386</v>
      </c>
      <c r="AR78" s="2">
        <v>51.996099999999998</v>
      </c>
      <c r="AS78" s="2">
        <v>55.844999999999999</v>
      </c>
      <c r="AT78" s="2">
        <v>54.938045000000002</v>
      </c>
      <c r="AU78" s="2">
        <v>24.305</v>
      </c>
      <c r="AV78" s="2">
        <v>40.078000000000003</v>
      </c>
      <c r="AW78" s="2">
        <v>22.989769280000001</v>
      </c>
      <c r="AX78" s="2">
        <v>39.098300000000002</v>
      </c>
      <c r="AY78" s="2">
        <v>58.693399999999997</v>
      </c>
      <c r="BA78" s="2">
        <f>AN78*2+AO78</f>
        <v>60.082999999999998</v>
      </c>
      <c r="BB78" s="2">
        <f>AN78*2+AP78</f>
        <v>79.864999999999995</v>
      </c>
      <c r="BC78" s="2">
        <f>AQ78*2+AN78*3</f>
        <v>101.9600772</v>
      </c>
      <c r="BD78" s="2">
        <f>AR78*2+AN78*3</f>
        <v>151.98919999999998</v>
      </c>
      <c r="BE78" s="2">
        <f>AS78+AN78</f>
        <v>71.843999999999994</v>
      </c>
      <c r="BF78" s="2">
        <f>AT78+AN78</f>
        <v>70.937044999999998</v>
      </c>
      <c r="BG78" s="2">
        <f>AU78+AN78</f>
        <v>40.304000000000002</v>
      </c>
      <c r="BH78" s="2">
        <f>AV78+AN78</f>
        <v>56.077000000000005</v>
      </c>
      <c r="BI78" s="2">
        <f>AW78*2+AN78</f>
        <v>61.978538560000004</v>
      </c>
      <c r="BJ78" s="2">
        <f>AX78*2+AN78</f>
        <v>94.195599999999999</v>
      </c>
      <c r="BK78" s="2">
        <f>AY78+AN78</f>
        <v>74.692399999999992</v>
      </c>
      <c r="BM78" s="2">
        <f t="shared" si="452"/>
        <v>0.68867224777711289</v>
      </c>
      <c r="BN78" s="2">
        <f t="shared" si="453"/>
        <v>3.2603018775233287E-5</v>
      </c>
      <c r="BO78" s="2">
        <f t="shared" si="454"/>
        <v>1.8342821839822764E-4</v>
      </c>
      <c r="BP78" s="2">
        <f t="shared" si="455"/>
        <v>1.0306181764319478E-4</v>
      </c>
      <c r="BQ78" s="2">
        <f t="shared" si="456"/>
        <v>0.12624190370579125</v>
      </c>
      <c r="BR78" s="2">
        <f t="shared" si="457"/>
        <v>1.7380022528236481E-3</v>
      </c>
      <c r="BS78" s="2">
        <f t="shared" si="458"/>
        <v>1.2192373003527539</v>
      </c>
      <c r="BT78" s="2">
        <f t="shared" si="459"/>
        <v>9.6209670101244206E-4</v>
      </c>
      <c r="BU78" s="2">
        <f t="shared" si="460"/>
        <v>2.2419118946115049E-4</v>
      </c>
      <c r="BV78" s="2">
        <f t="shared" si="461"/>
        <v>0</v>
      </c>
      <c r="BW78" s="2">
        <f t="shared" si="462"/>
        <v>3.8739297376013241E-3</v>
      </c>
      <c r="BY78" s="2">
        <f t="shared" si="551"/>
        <v>0.68867224777711289</v>
      </c>
      <c r="BZ78" s="2">
        <f t="shared" si="552"/>
        <v>3.2603018775233287E-5</v>
      </c>
      <c r="CA78" s="2">
        <f t="shared" si="553"/>
        <v>3.6685643679645527E-4</v>
      </c>
      <c r="CB78" s="2">
        <f t="shared" si="554"/>
        <v>2.0612363528638955E-4</v>
      </c>
      <c r="CC78" s="2">
        <f t="shared" si="555"/>
        <v>0.12624190370579125</v>
      </c>
      <c r="CD78" s="2">
        <f t="shared" si="556"/>
        <v>1.7380022528236481E-3</v>
      </c>
      <c r="CE78" s="2">
        <f t="shared" si="557"/>
        <v>1.2192373003527539</v>
      </c>
      <c r="CF78" s="2">
        <f t="shared" si="558"/>
        <v>9.6209670101244206E-4</v>
      </c>
      <c r="CG78" s="2">
        <f t="shared" si="559"/>
        <v>4.4838237892230097E-4</v>
      </c>
      <c r="CH78" s="2">
        <f t="shared" si="560"/>
        <v>0</v>
      </c>
      <c r="CI78" s="2">
        <f>BW78</f>
        <v>3.8739297376013241E-3</v>
      </c>
      <c r="CK78" s="2">
        <f t="shared" si="561"/>
        <v>1.3773444955542258</v>
      </c>
      <c r="CL78" s="2">
        <f t="shared" si="562"/>
        <v>6.5206037550466573E-5</v>
      </c>
      <c r="CM78" s="2">
        <f t="shared" si="563"/>
        <v>5.5028465519468286E-4</v>
      </c>
      <c r="CN78" s="2">
        <f t="shared" si="564"/>
        <v>3.0918545292958432E-4</v>
      </c>
      <c r="CO78" s="2">
        <f t="shared" si="565"/>
        <v>0.12624190370579125</v>
      </c>
      <c r="CP78" s="2">
        <f t="shared" si="566"/>
        <v>1.7380022528236481E-3</v>
      </c>
      <c r="CQ78" s="2">
        <f t="shared" si="567"/>
        <v>1.2192373003527539</v>
      </c>
      <c r="CR78" s="2">
        <f t="shared" si="568"/>
        <v>9.6209670101244206E-4</v>
      </c>
      <c r="CS78" s="2">
        <f t="shared" si="569"/>
        <v>2.2419118946115049E-4</v>
      </c>
      <c r="CT78" s="2">
        <f t="shared" si="570"/>
        <v>0</v>
      </c>
      <c r="CU78" s="2">
        <f t="shared" si="571"/>
        <v>3.8739297376013241E-3</v>
      </c>
      <c r="CW78" s="14">
        <f>SUM(CK78:CU78)</f>
        <v>2.730546595639344</v>
      </c>
      <c r="CY78" s="14">
        <f>4/CW78</f>
        <v>1.4649081639507491</v>
      </c>
      <c r="DA78" s="16">
        <f t="shared" si="470"/>
        <v>1.0088415980550058</v>
      </c>
      <c r="DB78" s="16">
        <f t="shared" si="471"/>
        <v>4.7760428373278795E-5</v>
      </c>
      <c r="DC78" s="16">
        <f t="shared" si="472"/>
        <v>5.3741098926100937E-4</v>
      </c>
      <c r="DD78" s="16">
        <f t="shared" si="473"/>
        <v>3.0195219611423875E-4</v>
      </c>
      <c r="DE78" s="16">
        <f t="shared" si="474"/>
        <v>0.18493279537129792</v>
      </c>
      <c r="DF78" s="16">
        <f t="shared" si="475"/>
        <v>2.5460136891261561E-3</v>
      </c>
      <c r="DG78" s="16">
        <f t="shared" si="476"/>
        <v>1.7860706750800208</v>
      </c>
      <c r="DH78" s="16">
        <f t="shared" si="477"/>
        <v>1.4093833118232093E-3</v>
      </c>
      <c r="DI78" s="16">
        <f t="shared" si="478"/>
        <v>6.5683900745493694E-4</v>
      </c>
      <c r="DJ78" s="16">
        <f t="shared" si="479"/>
        <v>0</v>
      </c>
      <c r="DK78" s="16">
        <f t="shared" si="480"/>
        <v>5.674951299183763E-3</v>
      </c>
      <c r="DL78" s="16">
        <f t="shared" si="481"/>
        <v>0.90617327765082412</v>
      </c>
      <c r="DN78" s="2">
        <f t="shared" si="482"/>
        <v>0.893383062496799</v>
      </c>
      <c r="DO78" s="2">
        <f t="shared" si="483"/>
        <v>2.6381430472892605E-3</v>
      </c>
      <c r="DP78" s="2">
        <f t="shared" si="484"/>
        <v>3.7786495085695954E-2</v>
      </c>
      <c r="DQ78" s="2">
        <f t="shared" si="485"/>
        <v>5.8090549521233534E-3</v>
      </c>
      <c r="DR78" s="2">
        <f t="shared" si="486"/>
        <v>4.0359230781997046E-2</v>
      </c>
      <c r="DS78" s="2">
        <f t="shared" si="487"/>
        <v>0</v>
      </c>
      <c r="DT78" s="2">
        <f t="shared" si="488"/>
        <v>0.40302709142631971</v>
      </c>
      <c r="DU78" s="2">
        <f t="shared" si="489"/>
        <v>0.37393580888011257</v>
      </c>
      <c r="DV78" s="2">
        <f t="shared" si="490"/>
        <v>2.0396927649507658E-2</v>
      </c>
      <c r="DW78" s="2">
        <f t="shared" si="491"/>
        <v>0</v>
      </c>
      <c r="DX78" s="2">
        <f t="shared" si="492"/>
        <v>0</v>
      </c>
      <c r="DZ78" s="2">
        <f t="shared" si="572"/>
        <v>1.786766124993598</v>
      </c>
      <c r="EA78" s="2">
        <f t="shared" si="573"/>
        <v>5.2762860945785211E-3</v>
      </c>
      <c r="EB78" s="2">
        <f t="shared" si="574"/>
        <v>0.11335948525708786</v>
      </c>
      <c r="EC78" s="2">
        <f t="shared" si="575"/>
        <v>1.742716485637006E-2</v>
      </c>
      <c r="ED78" s="2">
        <f t="shared" si="576"/>
        <v>4.0359230781997046E-2</v>
      </c>
      <c r="EE78" s="2">
        <f t="shared" si="577"/>
        <v>0</v>
      </c>
      <c r="EF78" s="2">
        <f t="shared" si="578"/>
        <v>0.40302709142631971</v>
      </c>
      <c r="EG78" s="2">
        <f t="shared" si="579"/>
        <v>0.37393580888011257</v>
      </c>
      <c r="EH78" s="2">
        <f t="shared" si="580"/>
        <v>2.0396927649507658E-2</v>
      </c>
      <c r="EI78" s="2">
        <f t="shared" si="581"/>
        <v>0</v>
      </c>
      <c r="EJ78" s="2">
        <f t="shared" si="582"/>
        <v>0</v>
      </c>
      <c r="EL78" s="16">
        <f>SUM(DZ78:EJ78)</f>
        <v>2.7605481199395716</v>
      </c>
      <c r="EN78" s="14">
        <f>6/EL78</f>
        <v>2.17348140271916</v>
      </c>
      <c r="EP78" s="16">
        <f t="shared" si="496"/>
        <v>1.9417514718410818</v>
      </c>
      <c r="EQ78" s="16">
        <f t="shared" si="497"/>
        <v>5.7339548509960613E-3</v>
      </c>
      <c r="ER78" s="16">
        <f t="shared" si="498"/>
        <v>0.16425648868539819</v>
      </c>
      <c r="ES78" s="16">
        <f t="shared" si="499"/>
        <v>2.5251745811627497E-2</v>
      </c>
      <c r="ET78" s="16">
        <f t="shared" si="500"/>
        <v>8.7720037532721243E-2</v>
      </c>
      <c r="EU78" s="16">
        <f t="shared" si="501"/>
        <v>0</v>
      </c>
      <c r="EV78" s="16">
        <f t="shared" si="502"/>
        <v>0.87597188800710046</v>
      </c>
      <c r="EW78" s="16">
        <f t="shared" si="503"/>
        <v>0.81274252641167077</v>
      </c>
      <c r="EX78" s="16">
        <f t="shared" si="504"/>
        <v>8.8664685837626253E-2</v>
      </c>
      <c r="EY78" s="16">
        <f t="shared" si="505"/>
        <v>0</v>
      </c>
      <c r="EZ78" s="16">
        <f t="shared" si="532"/>
        <v>0</v>
      </c>
      <c r="FB78" s="14">
        <f t="shared" si="506"/>
        <v>-6.3572621224927977</v>
      </c>
      <c r="FC78" s="4">
        <f t="shared" si="507"/>
        <v>1.5964592456747955</v>
      </c>
      <c r="FD78" s="4">
        <f t="shared" si="508"/>
        <v>1.8996590045686308</v>
      </c>
      <c r="FE78" s="4">
        <f t="shared" si="509"/>
        <v>1.8996590045686308</v>
      </c>
      <c r="FG78" s="4">
        <f t="shared" si="510"/>
        <v>2.166477568537883</v>
      </c>
    </row>
    <row r="79" spans="1:163" x14ac:dyDescent="0.2">
      <c r="A79" s="58" t="s">
        <v>141</v>
      </c>
      <c r="B79" s="57" t="s">
        <v>145</v>
      </c>
      <c r="C79" s="138">
        <v>41.174015060012664</v>
      </c>
      <c r="D79" s="98">
        <v>4.0636172017174538E-3</v>
      </c>
      <c r="E79" s="148">
        <f t="shared" si="584"/>
        <v>3.0295099535332864E-2</v>
      </c>
      <c r="F79" s="138">
        <v>1.7482904317950732E-2</v>
      </c>
      <c r="G79" s="138">
        <v>9.3431802881564199</v>
      </c>
      <c r="H79" s="138">
        <v>0.12600428591680854</v>
      </c>
      <c r="I79" s="138">
        <v>49.036691405292046</v>
      </c>
      <c r="J79" s="150">
        <f t="shared" si="585"/>
        <v>6.7485216084650135E-2</v>
      </c>
      <c r="K79" s="98">
        <v>1.703829805327824E-2</v>
      </c>
      <c r="L79" s="98"/>
      <c r="M79" s="138">
        <v>0.32010896062206146</v>
      </c>
      <c r="N79" s="141">
        <v>160.33864778723907</v>
      </c>
      <c r="O79" s="142">
        <v>482.31404858330654</v>
      </c>
      <c r="P79" s="11"/>
      <c r="Q79" s="140">
        <v>52.462462462462454</v>
      </c>
      <c r="R79" s="140">
        <v>0.33033033033033027</v>
      </c>
      <c r="S79" s="140">
        <v>5.7957957957957946</v>
      </c>
      <c r="T79" s="140">
        <v>0.99099099099099075</v>
      </c>
      <c r="U79" s="140">
        <v>3.2432432432432425</v>
      </c>
      <c r="V79" s="140">
        <v>0</v>
      </c>
      <c r="W79" s="140">
        <v>15.775775775775772</v>
      </c>
      <c r="X79" s="140">
        <v>19.899899899899896</v>
      </c>
      <c r="Y79" s="140">
        <v>1.5015015015015012</v>
      </c>
      <c r="Z79" s="100"/>
      <c r="AA79" s="140"/>
      <c r="AC79" s="139">
        <v>49.65946643024099</v>
      </c>
      <c r="AD79" s="139">
        <v>17.056903361005883</v>
      </c>
      <c r="AE79" s="11"/>
      <c r="AF79" s="83">
        <f t="shared" si="583"/>
        <v>0.18726780761795667</v>
      </c>
      <c r="AG79" s="22">
        <f t="shared" si="448"/>
        <v>6.1005688770115617E-4</v>
      </c>
      <c r="AH79" s="126">
        <f t="shared" si="549"/>
        <v>1081.9949366083786</v>
      </c>
      <c r="AI79" s="126">
        <f t="shared" si="449"/>
        <v>1081.8457436977399</v>
      </c>
      <c r="AJ79" s="126">
        <f t="shared" si="450"/>
        <v>0.14919291063870332</v>
      </c>
      <c r="AK79" s="12"/>
      <c r="AL79" s="25">
        <f t="shared" si="550"/>
        <v>2.5342393307619955</v>
      </c>
      <c r="AN79" s="2">
        <v>15.999000000000001</v>
      </c>
      <c r="AO79" s="2">
        <v>28.085000000000001</v>
      </c>
      <c r="AP79" s="2">
        <v>47.866999999999997</v>
      </c>
      <c r="AQ79" s="2">
        <v>26.9815386</v>
      </c>
      <c r="AR79" s="2">
        <v>51.996099999999998</v>
      </c>
      <c r="AS79" s="2">
        <v>55.844999999999999</v>
      </c>
      <c r="AT79" s="2">
        <v>54.938045000000002</v>
      </c>
      <c r="AU79" s="2">
        <v>24.305</v>
      </c>
      <c r="AV79" s="2">
        <v>40.078000000000003</v>
      </c>
      <c r="AW79" s="2">
        <v>22.989769280000001</v>
      </c>
      <c r="AX79" s="2">
        <v>39.098300000000002</v>
      </c>
      <c r="AY79" s="2">
        <v>58.693399999999997</v>
      </c>
      <c r="BA79" s="2">
        <f t="shared" ref="BA79:BA80" si="586">AN79*2+AO79</f>
        <v>60.082999999999998</v>
      </c>
      <c r="BB79" s="2">
        <f t="shared" ref="BB79:BB80" si="587">AN79*2+AP79</f>
        <v>79.864999999999995</v>
      </c>
      <c r="BC79" s="2">
        <f t="shared" ref="BC79:BC80" si="588">AQ79*2+AN79*3</f>
        <v>101.9600772</v>
      </c>
      <c r="BD79" s="2">
        <f t="shared" ref="BD79:BD80" si="589">AR79*2+AN79*3</f>
        <v>151.98919999999998</v>
      </c>
      <c r="BE79" s="2">
        <f t="shared" ref="BE79:BE80" si="590">AS79+AN79</f>
        <v>71.843999999999994</v>
      </c>
      <c r="BF79" s="2">
        <f t="shared" ref="BF79:BF80" si="591">AT79+AN79</f>
        <v>70.937044999999998</v>
      </c>
      <c r="BG79" s="2">
        <f t="shared" ref="BG79:BG80" si="592">AU79+AN79</f>
        <v>40.304000000000002</v>
      </c>
      <c r="BH79" s="2">
        <f t="shared" ref="BH79:BH80" si="593">AV79+AN79</f>
        <v>56.077000000000005</v>
      </c>
      <c r="BI79" s="2">
        <f t="shared" ref="BI79:BI80" si="594">AW79*2+AN79</f>
        <v>61.978538560000004</v>
      </c>
      <c r="BJ79" s="2">
        <f t="shared" ref="BJ79:BJ80" si="595">AX79*2+AN79</f>
        <v>94.195599999999999</v>
      </c>
      <c r="BK79" s="2">
        <f t="shared" ref="BK79:BK80" si="596">AY79+AN79</f>
        <v>74.692399999999992</v>
      </c>
      <c r="BM79" s="2">
        <f t="shared" si="452"/>
        <v>0.6852856059120328</v>
      </c>
      <c r="BN79" s="2">
        <f t="shared" si="453"/>
        <v>5.0881076838633366E-5</v>
      </c>
      <c r="BO79" s="2">
        <f t="shared" si="454"/>
        <v>2.9712707529543596E-4</v>
      </c>
      <c r="BP79" s="2">
        <f t="shared" si="455"/>
        <v>1.1502728034591099E-4</v>
      </c>
      <c r="BQ79" s="2">
        <f t="shared" si="456"/>
        <v>0.13004816391287263</v>
      </c>
      <c r="BR79" s="2">
        <f t="shared" si="457"/>
        <v>1.7762832652080242E-3</v>
      </c>
      <c r="BS79" s="2">
        <f t="shared" si="458"/>
        <v>1.2166705886584965</v>
      </c>
      <c r="BT79" s="2">
        <f t="shared" si="459"/>
        <v>1.2034384165460015E-3</v>
      </c>
      <c r="BU79" s="2">
        <f t="shared" si="460"/>
        <v>2.7490641840132861E-4</v>
      </c>
      <c r="BV79" s="2">
        <f t="shared" si="461"/>
        <v>0</v>
      </c>
      <c r="BW79" s="2">
        <f t="shared" si="462"/>
        <v>4.2856965450576165E-3</v>
      </c>
      <c r="BY79" s="2">
        <f t="shared" si="551"/>
        <v>0.6852856059120328</v>
      </c>
      <c r="BZ79" s="2">
        <f t="shared" si="552"/>
        <v>5.0881076838633366E-5</v>
      </c>
      <c r="CA79" s="2">
        <f t="shared" si="553"/>
        <v>5.9425415059087192E-4</v>
      </c>
      <c r="CB79" s="2">
        <f t="shared" si="554"/>
        <v>2.3005456069182198E-4</v>
      </c>
      <c r="CC79" s="2">
        <f t="shared" si="555"/>
        <v>0.13004816391287263</v>
      </c>
      <c r="CD79" s="2">
        <f t="shared" si="556"/>
        <v>1.7762832652080242E-3</v>
      </c>
      <c r="CE79" s="2">
        <f t="shared" si="557"/>
        <v>1.2166705886584965</v>
      </c>
      <c r="CF79" s="2">
        <f t="shared" si="558"/>
        <v>1.2034384165460015E-3</v>
      </c>
      <c r="CG79" s="2">
        <f t="shared" si="559"/>
        <v>5.4981283680265722E-4</v>
      </c>
      <c r="CH79" s="2">
        <f t="shared" si="560"/>
        <v>0</v>
      </c>
      <c r="CI79" s="2">
        <f t="shared" ref="CI79:CI80" si="597">BW79</f>
        <v>4.2856965450576165E-3</v>
      </c>
      <c r="CK79" s="2">
        <f t="shared" si="561"/>
        <v>1.3705712118240656</v>
      </c>
      <c r="CL79" s="2">
        <f t="shared" si="562"/>
        <v>1.0176215367726673E-4</v>
      </c>
      <c r="CM79" s="2">
        <f t="shared" si="563"/>
        <v>8.9138122588630782E-4</v>
      </c>
      <c r="CN79" s="2">
        <f t="shared" si="564"/>
        <v>3.4508184103773296E-4</v>
      </c>
      <c r="CO79" s="2">
        <f t="shared" si="565"/>
        <v>0.13004816391287263</v>
      </c>
      <c r="CP79" s="2">
        <f t="shared" si="566"/>
        <v>1.7762832652080242E-3</v>
      </c>
      <c r="CQ79" s="2">
        <f t="shared" si="567"/>
        <v>1.2166705886584965</v>
      </c>
      <c r="CR79" s="2">
        <f t="shared" si="568"/>
        <v>1.2034384165460015E-3</v>
      </c>
      <c r="CS79" s="2">
        <f t="shared" si="569"/>
        <v>2.7490641840132861E-4</v>
      </c>
      <c r="CT79" s="2">
        <f t="shared" si="570"/>
        <v>0</v>
      </c>
      <c r="CU79" s="2">
        <f t="shared" si="571"/>
        <v>4.2856965450576165E-3</v>
      </c>
      <c r="CW79" s="14">
        <f t="shared" ref="CW79:CW80" si="598">SUM(CK79:CU79)</f>
        <v>2.7261685142612486</v>
      </c>
      <c r="CY79" s="14">
        <f t="shared" ref="CY79:CY80" si="599">4/CW79</f>
        <v>1.4672607284087649</v>
      </c>
      <c r="DA79" s="16">
        <f t="shared" si="470"/>
        <v>1.005492657298531</v>
      </c>
      <c r="DB79" s="16">
        <f t="shared" si="471"/>
        <v>7.4655805864475529E-5</v>
      </c>
      <c r="DC79" s="16">
        <f t="shared" si="472"/>
        <v>8.7192577785589456E-4</v>
      </c>
      <c r="DD79" s="16">
        <f t="shared" si="473"/>
        <v>3.3755002229444113E-4</v>
      </c>
      <c r="DE79" s="16">
        <f t="shared" si="474"/>
        <v>0.19081456371102395</v>
      </c>
      <c r="DF79" s="16">
        <f t="shared" si="475"/>
        <v>2.606270677569425E-3</v>
      </c>
      <c r="DG79" s="16">
        <f t="shared" si="476"/>
        <v>1.7851729741485864</v>
      </c>
      <c r="DH79" s="16">
        <f t="shared" si="477"/>
        <v>1.7657579276563768E-3</v>
      </c>
      <c r="DI79" s="16">
        <f t="shared" si="478"/>
        <v>8.0671878341555617E-4</v>
      </c>
      <c r="DJ79" s="16">
        <f t="shared" si="479"/>
        <v>0</v>
      </c>
      <c r="DK79" s="16">
        <f t="shared" si="480"/>
        <v>6.2882342344401654E-3</v>
      </c>
      <c r="DL79" s="16">
        <f t="shared" si="481"/>
        <v>0.9034333162254079</v>
      </c>
      <c r="DN79" s="2">
        <f t="shared" si="482"/>
        <v>0.87316649405759461</v>
      </c>
      <c r="DO79" s="2">
        <f t="shared" si="483"/>
        <v>4.1361088127506457E-3</v>
      </c>
      <c r="DP79" s="2">
        <f t="shared" si="484"/>
        <v>5.6843776063714033E-2</v>
      </c>
      <c r="DQ79" s="2">
        <f t="shared" si="485"/>
        <v>6.5201408454744871E-3</v>
      </c>
      <c r="DR79" s="2">
        <f t="shared" si="486"/>
        <v>4.5142854563265444E-2</v>
      </c>
      <c r="DS79" s="2">
        <f t="shared" si="487"/>
        <v>0</v>
      </c>
      <c r="DT79" s="2">
        <f t="shared" si="488"/>
        <v>0.39141960539340442</v>
      </c>
      <c r="DU79" s="2">
        <f t="shared" si="489"/>
        <v>0.35486741266294369</v>
      </c>
      <c r="DV79" s="2">
        <f t="shared" si="490"/>
        <v>2.4226152090500358E-2</v>
      </c>
      <c r="DW79" s="2">
        <f t="shared" si="491"/>
        <v>0</v>
      </c>
      <c r="DX79" s="2">
        <f t="shared" si="492"/>
        <v>0</v>
      </c>
      <c r="DZ79" s="2">
        <f t="shared" si="572"/>
        <v>1.7463329881151892</v>
      </c>
      <c r="EA79" s="2">
        <f t="shared" si="573"/>
        <v>8.2722176255012915E-3</v>
      </c>
      <c r="EB79" s="2">
        <f t="shared" si="574"/>
        <v>0.17053132819114208</v>
      </c>
      <c r="EC79" s="2">
        <f t="shared" si="575"/>
        <v>1.9560422536423462E-2</v>
      </c>
      <c r="ED79" s="2">
        <f t="shared" si="576"/>
        <v>4.5142854563265444E-2</v>
      </c>
      <c r="EE79" s="2">
        <f t="shared" si="577"/>
        <v>0</v>
      </c>
      <c r="EF79" s="2">
        <f t="shared" si="578"/>
        <v>0.39141960539340442</v>
      </c>
      <c r="EG79" s="2">
        <f t="shared" si="579"/>
        <v>0.35486741266294369</v>
      </c>
      <c r="EH79" s="2">
        <f t="shared" si="580"/>
        <v>2.4226152090500358E-2</v>
      </c>
      <c r="EI79" s="2">
        <f t="shared" si="581"/>
        <v>0</v>
      </c>
      <c r="EJ79" s="2">
        <f t="shared" si="582"/>
        <v>0</v>
      </c>
      <c r="EL79" s="16">
        <f t="shared" ref="EL79:EL80" si="600">SUM(DZ79:EJ79)</f>
        <v>2.7603529811783698</v>
      </c>
      <c r="EN79" s="14">
        <f t="shared" ref="EN79:EN80" si="601">6/EL79</f>
        <v>2.1736350535280651</v>
      </c>
      <c r="EP79" s="16">
        <f t="shared" si="496"/>
        <v>1.8979452990497925</v>
      </c>
      <c r="EQ79" s="16">
        <f t="shared" si="497"/>
        <v>8.990391100601151E-3</v>
      </c>
      <c r="ER79" s="16">
        <f t="shared" si="498"/>
        <v>0.24711524845397678</v>
      </c>
      <c r="ES79" s="16">
        <f t="shared" si="499"/>
        <v>2.8344813391326919E-2</v>
      </c>
      <c r="ET79" s="16">
        <f t="shared" si="500"/>
        <v>9.8124091095033145E-2</v>
      </c>
      <c r="EU79" s="16">
        <f t="shared" si="501"/>
        <v>0</v>
      </c>
      <c r="EV79" s="16">
        <f t="shared" si="502"/>
        <v>0.85080337492122671</v>
      </c>
      <c r="EW79" s="16">
        <f t="shared" si="503"/>
        <v>0.77135224751898357</v>
      </c>
      <c r="EX79" s="16">
        <f t="shared" si="504"/>
        <v>0.10531762679202758</v>
      </c>
      <c r="EY79" s="16">
        <f t="shared" si="505"/>
        <v>0</v>
      </c>
      <c r="EZ79" s="16">
        <f t="shared" ref="EZ79:EZ80" si="602">DX79*$EN79</f>
        <v>0</v>
      </c>
      <c r="FB79" s="14">
        <f t="shared" si="506"/>
        <v>-6.0795651212219743</v>
      </c>
      <c r="FC79" s="4">
        <f t="shared" si="507"/>
        <v>2.0414798526564488</v>
      </c>
      <c r="FD79" s="4">
        <f t="shared" si="508"/>
        <v>1.7694971418263652</v>
      </c>
      <c r="FE79" s="4">
        <f t="shared" si="509"/>
        <v>2.0414798526564488</v>
      </c>
      <c r="FG79" s="4">
        <f t="shared" si="510"/>
        <v>2.5342393307619955</v>
      </c>
    </row>
    <row r="80" spans="1:163" x14ac:dyDescent="0.2">
      <c r="A80" s="58" t="s">
        <v>142</v>
      </c>
      <c r="B80" s="57" t="s">
        <v>145</v>
      </c>
      <c r="C80" s="138">
        <v>41.333717191018074</v>
      </c>
      <c r="D80" s="98">
        <v>2.2755918140249035E-3</v>
      </c>
      <c r="E80" s="148">
        <f t="shared" si="584"/>
        <v>2.0161542663027304E-2</v>
      </c>
      <c r="F80" s="138">
        <v>9.7202392905597571E-3</v>
      </c>
      <c r="G80" s="138">
        <v>9.2107728071727841</v>
      </c>
      <c r="H80" s="138">
        <v>0.12847859784914581</v>
      </c>
      <c r="I80" s="138">
        <v>48.937843820558328</v>
      </c>
      <c r="J80" s="150">
        <f t="shared" si="585"/>
        <v>5.3056791488833403E-2</v>
      </c>
      <c r="K80" s="98">
        <v>1.1719703330368913E-2</v>
      </c>
      <c r="L80" s="98"/>
      <c r="M80" s="138">
        <v>0.38918758340166704</v>
      </c>
      <c r="N80" s="141">
        <v>106.7061847453016</v>
      </c>
      <c r="O80" s="142">
        <v>379.19469466795039</v>
      </c>
      <c r="P80" s="11"/>
      <c r="Q80" s="140">
        <v>53.136272545090193</v>
      </c>
      <c r="R80" s="140">
        <v>0.25050100200400799</v>
      </c>
      <c r="S80" s="140">
        <v>4.7394789579158321</v>
      </c>
      <c r="T80" s="140">
        <v>0.8016032064128259</v>
      </c>
      <c r="U80" s="140">
        <v>2.9058116232464934</v>
      </c>
      <c r="V80" s="140">
        <v>0</v>
      </c>
      <c r="W80" s="140">
        <v>15.85170340681363</v>
      </c>
      <c r="X80" s="140">
        <v>21.15230460921844</v>
      </c>
      <c r="Y80" s="140">
        <v>1.1623246492985972</v>
      </c>
      <c r="Z80" s="100"/>
      <c r="AA80" s="140"/>
      <c r="AC80" s="139">
        <v>53.201675643327349</v>
      </c>
      <c r="AD80" s="139">
        <v>14.063435068821065</v>
      </c>
      <c r="AE80" s="11"/>
      <c r="AF80" s="83">
        <f t="shared" si="583"/>
        <v>0.15062088736510923</v>
      </c>
      <c r="AG80" s="22">
        <f t="shared" si="448"/>
        <v>3.7896442958288665E-4</v>
      </c>
      <c r="AH80" s="126">
        <f t="shared" si="549"/>
        <v>1013.210681375964</v>
      </c>
      <c r="AI80" s="126">
        <f t="shared" si="449"/>
        <v>1013.0609593231022</v>
      </c>
      <c r="AJ80" s="126">
        <f t="shared" si="450"/>
        <v>0.14972205286176177</v>
      </c>
      <c r="AK80" s="12"/>
      <c r="AL80" s="25">
        <f t="shared" si="550"/>
        <v>2.1227416362178753</v>
      </c>
      <c r="AN80" s="2">
        <v>15.999000000000001</v>
      </c>
      <c r="AO80" s="2">
        <v>28.085000000000001</v>
      </c>
      <c r="AP80" s="2">
        <v>47.866999999999997</v>
      </c>
      <c r="AQ80" s="2">
        <v>26.9815386</v>
      </c>
      <c r="AR80" s="2">
        <v>51.996099999999998</v>
      </c>
      <c r="AS80" s="2">
        <v>55.844999999999999</v>
      </c>
      <c r="AT80" s="2">
        <v>54.938045000000002</v>
      </c>
      <c r="AU80" s="2">
        <v>24.305</v>
      </c>
      <c r="AV80" s="2">
        <v>40.078000000000003</v>
      </c>
      <c r="AW80" s="2">
        <v>22.989769280000001</v>
      </c>
      <c r="AX80" s="2">
        <v>39.098300000000002</v>
      </c>
      <c r="AY80" s="2">
        <v>58.693399999999997</v>
      </c>
      <c r="BA80" s="2">
        <f t="shared" si="586"/>
        <v>60.082999999999998</v>
      </c>
      <c r="BB80" s="2">
        <f t="shared" si="587"/>
        <v>79.864999999999995</v>
      </c>
      <c r="BC80" s="2">
        <f t="shared" si="588"/>
        <v>101.9600772</v>
      </c>
      <c r="BD80" s="2">
        <f t="shared" si="589"/>
        <v>151.98919999999998</v>
      </c>
      <c r="BE80" s="2">
        <f t="shared" si="590"/>
        <v>71.843999999999994</v>
      </c>
      <c r="BF80" s="2">
        <f t="shared" si="591"/>
        <v>70.937044999999998</v>
      </c>
      <c r="BG80" s="2">
        <f t="shared" si="592"/>
        <v>40.304000000000002</v>
      </c>
      <c r="BH80" s="2">
        <f t="shared" si="593"/>
        <v>56.077000000000005</v>
      </c>
      <c r="BI80" s="2">
        <f t="shared" si="594"/>
        <v>61.978538560000004</v>
      </c>
      <c r="BJ80" s="2">
        <f t="shared" si="595"/>
        <v>94.195599999999999</v>
      </c>
      <c r="BK80" s="2">
        <f t="shared" si="596"/>
        <v>74.692399999999992</v>
      </c>
      <c r="BM80" s="2">
        <f t="shared" si="452"/>
        <v>0.68794363116052915</v>
      </c>
      <c r="BN80" s="2">
        <f t="shared" si="453"/>
        <v>2.8492979578349762E-5</v>
      </c>
      <c r="BO80" s="2">
        <f t="shared" si="454"/>
        <v>1.9773957824177976E-4</v>
      </c>
      <c r="BP80" s="2">
        <f t="shared" si="455"/>
        <v>6.3953486764584317E-5</v>
      </c>
      <c r="BQ80" s="2">
        <f t="shared" si="456"/>
        <v>0.12820517798525674</v>
      </c>
      <c r="BR80" s="2">
        <f t="shared" si="457"/>
        <v>1.8111636571433983E-3</v>
      </c>
      <c r="BS80" s="2">
        <f t="shared" si="458"/>
        <v>1.2142180384219512</v>
      </c>
      <c r="BT80" s="2">
        <f t="shared" si="459"/>
        <v>9.461417602374128E-4</v>
      </c>
      <c r="BU80" s="2">
        <f t="shared" si="460"/>
        <v>1.8909292801448256E-4</v>
      </c>
      <c r="BV80" s="2">
        <f t="shared" si="461"/>
        <v>0</v>
      </c>
      <c r="BW80" s="2">
        <f t="shared" si="462"/>
        <v>5.2105379315923314E-3</v>
      </c>
      <c r="BY80" s="2">
        <f t="shared" si="551"/>
        <v>0.68794363116052915</v>
      </c>
      <c r="BZ80" s="2">
        <f t="shared" si="552"/>
        <v>2.8492979578349762E-5</v>
      </c>
      <c r="CA80" s="2">
        <f t="shared" si="553"/>
        <v>3.9547915648355952E-4</v>
      </c>
      <c r="CB80" s="2">
        <f t="shared" si="554"/>
        <v>1.2790697352916863E-4</v>
      </c>
      <c r="CC80" s="2">
        <f t="shared" si="555"/>
        <v>0.12820517798525674</v>
      </c>
      <c r="CD80" s="2">
        <f t="shared" si="556"/>
        <v>1.8111636571433983E-3</v>
      </c>
      <c r="CE80" s="2">
        <f t="shared" si="557"/>
        <v>1.2142180384219512</v>
      </c>
      <c r="CF80" s="2">
        <f t="shared" si="558"/>
        <v>9.461417602374128E-4</v>
      </c>
      <c r="CG80" s="2">
        <f t="shared" si="559"/>
        <v>3.7818585602896512E-4</v>
      </c>
      <c r="CH80" s="2">
        <f t="shared" si="560"/>
        <v>0</v>
      </c>
      <c r="CI80" s="2">
        <f t="shared" si="597"/>
        <v>5.2105379315923314E-3</v>
      </c>
      <c r="CK80" s="2">
        <f t="shared" si="561"/>
        <v>1.3758872623210583</v>
      </c>
      <c r="CL80" s="2">
        <f t="shared" si="562"/>
        <v>5.6985959156699524E-5</v>
      </c>
      <c r="CM80" s="2">
        <f t="shared" si="563"/>
        <v>5.9321873472533934E-4</v>
      </c>
      <c r="CN80" s="2">
        <f t="shared" si="564"/>
        <v>1.9186046029375295E-4</v>
      </c>
      <c r="CO80" s="2">
        <f t="shared" si="565"/>
        <v>0.12820517798525674</v>
      </c>
      <c r="CP80" s="2">
        <f t="shared" si="566"/>
        <v>1.8111636571433983E-3</v>
      </c>
      <c r="CQ80" s="2">
        <f t="shared" si="567"/>
        <v>1.2142180384219512</v>
      </c>
      <c r="CR80" s="2">
        <f t="shared" si="568"/>
        <v>9.461417602374128E-4</v>
      </c>
      <c r="CS80" s="2">
        <f t="shared" si="569"/>
        <v>1.8909292801448256E-4</v>
      </c>
      <c r="CT80" s="2">
        <f t="shared" si="570"/>
        <v>0</v>
      </c>
      <c r="CU80" s="2">
        <f t="shared" si="571"/>
        <v>5.2105379315923314E-3</v>
      </c>
      <c r="CW80" s="14">
        <f t="shared" si="598"/>
        <v>2.7273094801594295</v>
      </c>
      <c r="CY80" s="14">
        <f t="shared" si="599"/>
        <v>1.4666469020472781</v>
      </c>
      <c r="DA80" s="16">
        <f t="shared" si="470"/>
        <v>1.0089703954247453</v>
      </c>
      <c r="DB80" s="16">
        <f t="shared" si="471"/>
        <v>4.1789140228683038E-5</v>
      </c>
      <c r="DC80" s="16">
        <f t="shared" si="472"/>
        <v>5.8002827968088328E-4</v>
      </c>
      <c r="DD80" s="16">
        <f t="shared" si="473"/>
        <v>1.8759436647679839E-4</v>
      </c>
      <c r="DE80" s="16">
        <f t="shared" si="474"/>
        <v>0.18803172711849669</v>
      </c>
      <c r="DF80" s="16">
        <f t="shared" si="475"/>
        <v>2.6563375668499836E-3</v>
      </c>
      <c r="DG80" s="16">
        <f t="shared" si="476"/>
        <v>1.7808291244614776</v>
      </c>
      <c r="DH80" s="16">
        <f t="shared" si="477"/>
        <v>1.3876558815497601E-3</v>
      </c>
      <c r="DI80" s="16">
        <f t="shared" si="478"/>
        <v>5.5466511414297966E-4</v>
      </c>
      <c r="DJ80" s="16">
        <f t="shared" si="479"/>
        <v>0</v>
      </c>
      <c r="DK80" s="16">
        <f t="shared" si="480"/>
        <v>7.642019315369725E-3</v>
      </c>
      <c r="DL80" s="16">
        <f t="shared" si="481"/>
        <v>0.90449719848530441</v>
      </c>
      <c r="DN80" s="2">
        <f t="shared" si="482"/>
        <v>0.88438114849608362</v>
      </c>
      <c r="DO80" s="2">
        <f t="shared" si="483"/>
        <v>3.1365554623928879E-3</v>
      </c>
      <c r="DP80" s="2">
        <f t="shared" si="484"/>
        <v>4.6483673689449029E-2</v>
      </c>
      <c r="DQ80" s="2">
        <f t="shared" si="485"/>
        <v>5.2740800426137255E-3</v>
      </c>
      <c r="DR80" s="2">
        <f t="shared" si="486"/>
        <v>4.0446128044742687E-2</v>
      </c>
      <c r="DS80" s="2">
        <f t="shared" si="487"/>
        <v>0</v>
      </c>
      <c r="DT80" s="2">
        <f t="shared" si="488"/>
        <v>0.39330347873197768</v>
      </c>
      <c r="DU80" s="2">
        <f t="shared" si="489"/>
        <v>0.37720107368829359</v>
      </c>
      <c r="DV80" s="2">
        <f t="shared" si="490"/>
        <v>1.875366338580858E-2</v>
      </c>
      <c r="DW80" s="2">
        <f t="shared" si="491"/>
        <v>0</v>
      </c>
      <c r="DX80" s="2">
        <f t="shared" si="492"/>
        <v>0</v>
      </c>
      <c r="DZ80" s="2">
        <f t="shared" si="572"/>
        <v>1.7687622969921672</v>
      </c>
      <c r="EA80" s="2">
        <f t="shared" si="573"/>
        <v>6.2731109247857759E-3</v>
      </c>
      <c r="EB80" s="2">
        <f t="shared" si="574"/>
        <v>0.13945102106834709</v>
      </c>
      <c r="EC80" s="2">
        <f t="shared" si="575"/>
        <v>1.5822240127841176E-2</v>
      </c>
      <c r="ED80" s="2">
        <f t="shared" si="576"/>
        <v>4.0446128044742687E-2</v>
      </c>
      <c r="EE80" s="2">
        <f t="shared" si="577"/>
        <v>0</v>
      </c>
      <c r="EF80" s="2">
        <f t="shared" si="578"/>
        <v>0.39330347873197768</v>
      </c>
      <c r="EG80" s="2">
        <f t="shared" si="579"/>
        <v>0.37720107368829359</v>
      </c>
      <c r="EH80" s="2">
        <f t="shared" si="580"/>
        <v>1.875366338580858E-2</v>
      </c>
      <c r="EI80" s="2">
        <f t="shared" si="581"/>
        <v>0</v>
      </c>
      <c r="EJ80" s="2">
        <f t="shared" si="582"/>
        <v>0</v>
      </c>
      <c r="EL80" s="16">
        <f t="shared" si="600"/>
        <v>2.760013012963964</v>
      </c>
      <c r="EN80" s="14">
        <f t="shared" si="601"/>
        <v>2.1739027938700297</v>
      </c>
      <c r="EP80" s="16">
        <f t="shared" si="496"/>
        <v>1.9225586495616218</v>
      </c>
      <c r="EQ80" s="16">
        <f t="shared" si="497"/>
        <v>6.8185666828242024E-3</v>
      </c>
      <c r="ER80" s="16">
        <f t="shared" si="498"/>
        <v>0.20210197620567208</v>
      </c>
      <c r="ES80" s="16">
        <f t="shared" si="499"/>
        <v>2.2930674679464285E-2</v>
      </c>
      <c r="ET80" s="16">
        <f t="shared" si="500"/>
        <v>8.7925950757691093E-2</v>
      </c>
      <c r="EU80" s="16">
        <f t="shared" si="501"/>
        <v>0</v>
      </c>
      <c r="EV80" s="16">
        <f t="shared" si="502"/>
        <v>0.85500353125424811</v>
      </c>
      <c r="EW80" s="16">
        <f t="shared" si="503"/>
        <v>0.81999846794175635</v>
      </c>
      <c r="EX80" s="16">
        <f t="shared" si="504"/>
        <v>8.1537282459414703E-2</v>
      </c>
      <c r="EY80" s="16">
        <f t="shared" si="505"/>
        <v>0</v>
      </c>
      <c r="EZ80" s="16">
        <f t="shared" si="602"/>
        <v>0</v>
      </c>
      <c r="FB80" s="14">
        <f t="shared" si="506"/>
        <v>-6.3816865645019574</v>
      </c>
      <c r="FC80" s="4">
        <f t="shared" si="507"/>
        <v>1.5469999719272738</v>
      </c>
      <c r="FD80" s="4">
        <f t="shared" si="508"/>
        <v>1.902188406437513</v>
      </c>
      <c r="FE80" s="4">
        <f t="shared" si="509"/>
        <v>1.902188406437513</v>
      </c>
      <c r="FG80" s="4">
        <f t="shared" si="510"/>
        <v>2.1227416362178753</v>
      </c>
    </row>
    <row r="81" spans="1:163" x14ac:dyDescent="0.2">
      <c r="A81" s="58" t="s">
        <v>143</v>
      </c>
      <c r="B81" s="57" t="s">
        <v>145</v>
      </c>
      <c r="C81" s="138">
        <v>41.322508313029388</v>
      </c>
      <c r="D81" s="98">
        <v>2.4877821771980961E-3</v>
      </c>
      <c r="E81" s="148">
        <f t="shared" si="584"/>
        <v>2.5511774279086328E-2</v>
      </c>
      <c r="F81" s="138">
        <v>1.6066483728756537E-2</v>
      </c>
      <c r="G81" s="138">
        <v>9.3992388289175004</v>
      </c>
      <c r="H81" s="138">
        <v>0.12304552092578566</v>
      </c>
      <c r="I81" s="138">
        <v>48.813781995051251</v>
      </c>
      <c r="J81" s="150">
        <f t="shared" si="585"/>
        <v>6.283837789949194E-2</v>
      </c>
      <c r="K81" s="98">
        <v>1.6368213196609954E-2</v>
      </c>
      <c r="L81" s="98"/>
      <c r="M81" s="138">
        <v>0.34142534207606307</v>
      </c>
      <c r="N81" s="141">
        <v>135.02260937585737</v>
      </c>
      <c r="O81" s="142">
        <v>449.10328823864296</v>
      </c>
      <c r="P81" s="11"/>
      <c r="Q81" s="140">
        <v>52.848228663446051</v>
      </c>
      <c r="R81" s="140">
        <v>0.18115942028985507</v>
      </c>
      <c r="S81" s="140">
        <v>5.3542673107890497</v>
      </c>
      <c r="T81" s="140">
        <v>1.0466988727858293</v>
      </c>
      <c r="U81" s="140">
        <v>3.0696457326892106</v>
      </c>
      <c r="V81" s="140">
        <v>0</v>
      </c>
      <c r="W81" s="140">
        <v>15.630032206119163</v>
      </c>
      <c r="X81" s="140">
        <v>20.159017713365539</v>
      </c>
      <c r="Y81" s="140">
        <v>1.710950080515298</v>
      </c>
      <c r="Z81" s="100"/>
      <c r="AA81" s="140"/>
      <c r="AC81" s="139">
        <v>46.33286318758816</v>
      </c>
      <c r="AD81" s="139">
        <v>21.16663308482773</v>
      </c>
      <c r="AE81" s="11"/>
      <c r="AF81" s="83">
        <f>AD81/151.9892/(AD81/151.9892+AC81/101.9601)</f>
        <v>0.23457544830703569</v>
      </c>
      <c r="AG81" s="22">
        <f t="shared" si="448"/>
        <v>5.5061942051361354E-4</v>
      </c>
      <c r="AH81" s="126">
        <f t="shared" si="549"/>
        <v>1057.8718731839474</v>
      </c>
      <c r="AI81" s="126">
        <f t="shared" si="449"/>
        <v>1057.7225824198194</v>
      </c>
      <c r="AJ81" s="126">
        <f t="shared" si="450"/>
        <v>0.14929076412795439</v>
      </c>
      <c r="AK81" s="12"/>
      <c r="AL81" s="25">
        <f t="shared" si="550"/>
        <v>2.3729380266526983</v>
      </c>
      <c r="AN81" s="2">
        <v>15.999000000000001</v>
      </c>
      <c r="AO81" s="2">
        <v>28.085000000000001</v>
      </c>
      <c r="AP81" s="2">
        <v>47.866999999999997</v>
      </c>
      <c r="AQ81" s="2">
        <v>26.9815386</v>
      </c>
      <c r="AR81" s="2">
        <v>51.996099999999998</v>
      </c>
      <c r="AS81" s="2">
        <v>55.844999999999999</v>
      </c>
      <c r="AT81" s="2">
        <v>54.938045000000002</v>
      </c>
      <c r="AU81" s="2">
        <v>24.305</v>
      </c>
      <c r="AV81" s="2">
        <v>40.078000000000003</v>
      </c>
      <c r="AW81" s="2">
        <v>22.989769280000001</v>
      </c>
      <c r="AX81" s="2">
        <v>39.098300000000002</v>
      </c>
      <c r="AY81" s="2">
        <v>58.693399999999997</v>
      </c>
      <c r="BA81" s="2">
        <f>AN81*2+AO81</f>
        <v>60.082999999999998</v>
      </c>
      <c r="BB81" s="2">
        <f>AN81*2+AP81</f>
        <v>79.864999999999995</v>
      </c>
      <c r="BC81" s="2">
        <f>AQ81*2+AN81*3</f>
        <v>101.9600772</v>
      </c>
      <c r="BD81" s="2">
        <f>AR81*2+AN81*3</f>
        <v>151.98919999999998</v>
      </c>
      <c r="BE81" s="2">
        <f>AS81+AN81</f>
        <v>71.843999999999994</v>
      </c>
      <c r="BF81" s="2">
        <f>AT81+AN81</f>
        <v>70.937044999999998</v>
      </c>
      <c r="BG81" s="2">
        <f>AU81+AN81</f>
        <v>40.304000000000002</v>
      </c>
      <c r="BH81" s="2">
        <f>AV81+AN81</f>
        <v>56.077000000000005</v>
      </c>
      <c r="BI81" s="2">
        <f>AW81*2+AN81</f>
        <v>61.978538560000004</v>
      </c>
      <c r="BJ81" s="2">
        <f>AX81*2+AN81</f>
        <v>94.195599999999999</v>
      </c>
      <c r="BK81" s="2">
        <f>AY81+AN81</f>
        <v>74.692399999999992</v>
      </c>
      <c r="BM81" s="2">
        <f t="shared" si="452"/>
        <v>0.68775707459729685</v>
      </c>
      <c r="BN81" s="2">
        <f t="shared" si="453"/>
        <v>3.1149842574320369E-5</v>
      </c>
      <c r="BO81" s="2">
        <f t="shared" si="454"/>
        <v>2.5021336762077627E-4</v>
      </c>
      <c r="BP81" s="2">
        <f t="shared" si="455"/>
        <v>1.0570806168304418E-4</v>
      </c>
      <c r="BQ81" s="2">
        <f t="shared" si="456"/>
        <v>0.13082844536659291</v>
      </c>
      <c r="BR81" s="2">
        <f t="shared" si="457"/>
        <v>1.7345735352492576E-3</v>
      </c>
      <c r="BS81" s="2">
        <f t="shared" si="458"/>
        <v>1.2111398867370795</v>
      </c>
      <c r="BT81" s="2">
        <f t="shared" si="459"/>
        <v>1.1205731030456683E-3</v>
      </c>
      <c r="BU81" s="2">
        <f t="shared" si="460"/>
        <v>2.6409485568563805E-4</v>
      </c>
      <c r="BV81" s="2">
        <f t="shared" si="461"/>
        <v>0</v>
      </c>
      <c r="BW81" s="2">
        <f t="shared" si="462"/>
        <v>4.5710854394297555E-3</v>
      </c>
      <c r="BY81" s="2">
        <f t="shared" si="551"/>
        <v>0.68775707459729685</v>
      </c>
      <c r="BZ81" s="2">
        <f t="shared" si="552"/>
        <v>3.1149842574320369E-5</v>
      </c>
      <c r="CA81" s="2">
        <f t="shared" si="553"/>
        <v>5.0042673524155253E-4</v>
      </c>
      <c r="CB81" s="2">
        <f t="shared" si="554"/>
        <v>2.1141612336608836E-4</v>
      </c>
      <c r="CC81" s="2">
        <f t="shared" si="555"/>
        <v>0.13082844536659291</v>
      </c>
      <c r="CD81" s="2">
        <f t="shared" si="556"/>
        <v>1.7345735352492576E-3</v>
      </c>
      <c r="CE81" s="2">
        <f t="shared" si="557"/>
        <v>1.2111398867370795</v>
      </c>
      <c r="CF81" s="2">
        <f t="shared" si="558"/>
        <v>1.1205731030456683E-3</v>
      </c>
      <c r="CG81" s="2">
        <f t="shared" si="559"/>
        <v>5.281897113712761E-4</v>
      </c>
      <c r="CH81" s="2">
        <f t="shared" si="560"/>
        <v>0</v>
      </c>
      <c r="CI81" s="2">
        <f>BW81</f>
        <v>4.5710854394297555E-3</v>
      </c>
      <c r="CK81" s="2">
        <f t="shared" si="561"/>
        <v>1.3755141491945937</v>
      </c>
      <c r="CL81" s="2">
        <f t="shared" si="562"/>
        <v>6.2299685148640738E-5</v>
      </c>
      <c r="CM81" s="2">
        <f t="shared" si="563"/>
        <v>7.506401028623288E-4</v>
      </c>
      <c r="CN81" s="2">
        <f t="shared" si="564"/>
        <v>3.1712418504913255E-4</v>
      </c>
      <c r="CO81" s="2">
        <f t="shared" si="565"/>
        <v>0.13082844536659291</v>
      </c>
      <c r="CP81" s="2">
        <f t="shared" si="566"/>
        <v>1.7345735352492576E-3</v>
      </c>
      <c r="CQ81" s="2">
        <f t="shared" si="567"/>
        <v>1.2111398867370795</v>
      </c>
      <c r="CR81" s="2">
        <f t="shared" si="568"/>
        <v>1.1205731030456683E-3</v>
      </c>
      <c r="CS81" s="2">
        <f t="shared" si="569"/>
        <v>2.6409485568563805E-4</v>
      </c>
      <c r="CT81" s="2">
        <f t="shared" si="570"/>
        <v>0</v>
      </c>
      <c r="CU81" s="2">
        <f t="shared" si="571"/>
        <v>4.5710854394297555E-3</v>
      </c>
      <c r="CW81" s="14">
        <f>SUM(CK81:CU81)</f>
        <v>2.7263028722047364</v>
      </c>
      <c r="CY81" s="14">
        <f>4/CW81</f>
        <v>1.4671884187119812</v>
      </c>
      <c r="DA81" s="16">
        <f t="shared" si="470"/>
        <v>1.009069214736386</v>
      </c>
      <c r="DB81" s="16">
        <f t="shared" si="471"/>
        <v>4.5702688269744255E-5</v>
      </c>
      <c r="DC81" s="16">
        <f t="shared" si="472"/>
        <v>7.3422031036025274E-4</v>
      </c>
      <c r="DD81" s="16">
        <f t="shared" si="473"/>
        <v>3.1018728773170832E-4</v>
      </c>
      <c r="DE81" s="16">
        <f t="shared" si="474"/>
        <v>0.19194997987995829</v>
      </c>
      <c r="DF81" s="16">
        <f t="shared" si="475"/>
        <v>2.5449462023220092E-3</v>
      </c>
      <c r="DG81" s="16">
        <f t="shared" si="476"/>
        <v>1.7769704152607837</v>
      </c>
      <c r="DH81" s="16">
        <f t="shared" si="477"/>
        <v>1.644091879108752E-3</v>
      </c>
      <c r="DI81" s="16">
        <f t="shared" si="478"/>
        <v>7.7495382740676039E-4</v>
      </c>
      <c r="DJ81" s="16">
        <f t="shared" si="479"/>
        <v>0</v>
      </c>
      <c r="DK81" s="16">
        <f t="shared" si="480"/>
        <v>6.7066436176743049E-3</v>
      </c>
      <c r="DL81" s="16">
        <f t="shared" si="481"/>
        <v>0.90251003526923324</v>
      </c>
      <c r="DN81" s="2">
        <f t="shared" si="482"/>
        <v>0.87958704897302153</v>
      </c>
      <c r="DO81" s="2">
        <f t="shared" si="483"/>
        <v>2.2683205445421031E-3</v>
      </c>
      <c r="DP81" s="2">
        <f t="shared" si="484"/>
        <v>5.2513370505657575E-2</v>
      </c>
      <c r="DQ81" s="2">
        <f t="shared" si="485"/>
        <v>6.8866661103935637E-3</v>
      </c>
      <c r="DR81" s="2">
        <f t="shared" si="486"/>
        <v>4.2726542685390723E-2</v>
      </c>
      <c r="DS81" s="2">
        <f t="shared" si="487"/>
        <v>0</v>
      </c>
      <c r="DT81" s="2">
        <f t="shared" si="488"/>
        <v>0.38780349856389346</v>
      </c>
      <c r="DU81" s="2">
        <f t="shared" si="489"/>
        <v>0.35948816294319486</v>
      </c>
      <c r="DV81" s="2">
        <f t="shared" si="490"/>
        <v>2.7605524755298424E-2</v>
      </c>
      <c r="DW81" s="2">
        <f t="shared" si="491"/>
        <v>0</v>
      </c>
      <c r="DX81" s="2">
        <f t="shared" si="492"/>
        <v>0</v>
      </c>
      <c r="DZ81" s="2">
        <f t="shared" si="572"/>
        <v>1.7591740979460431</v>
      </c>
      <c r="EA81" s="2">
        <f t="shared" si="573"/>
        <v>4.5366410890842063E-3</v>
      </c>
      <c r="EB81" s="2">
        <f t="shared" si="574"/>
        <v>0.15754011151697273</v>
      </c>
      <c r="EC81" s="2">
        <f t="shared" si="575"/>
        <v>2.0659998331180693E-2</v>
      </c>
      <c r="ED81" s="2">
        <f t="shared" si="576"/>
        <v>4.2726542685390723E-2</v>
      </c>
      <c r="EE81" s="2">
        <f t="shared" si="577"/>
        <v>0</v>
      </c>
      <c r="EF81" s="2">
        <f t="shared" si="578"/>
        <v>0.38780349856389346</v>
      </c>
      <c r="EG81" s="2">
        <f t="shared" si="579"/>
        <v>0.35948816294319486</v>
      </c>
      <c r="EH81" s="2">
        <f t="shared" si="580"/>
        <v>2.7605524755298424E-2</v>
      </c>
      <c r="EI81" s="2">
        <f t="shared" si="581"/>
        <v>0</v>
      </c>
      <c r="EJ81" s="2">
        <f t="shared" si="582"/>
        <v>0</v>
      </c>
      <c r="EL81" s="16">
        <f>SUM(DZ81:EJ81)</f>
        <v>2.7595345778310576</v>
      </c>
      <c r="EN81" s="14">
        <f>6/EL81</f>
        <v>2.1742796949172085</v>
      </c>
      <c r="EP81" s="16">
        <f t="shared" si="496"/>
        <v>1.9124682604941889</v>
      </c>
      <c r="EQ81" s="16">
        <f t="shared" si="497"/>
        <v>4.93196330156144E-3</v>
      </c>
      <c r="ER81" s="16">
        <f t="shared" si="498"/>
        <v>0.22835751040423097</v>
      </c>
      <c r="ES81" s="16">
        <f t="shared" si="499"/>
        <v>2.9947076579006394E-2</v>
      </c>
      <c r="ET81" s="16">
        <f t="shared" si="500"/>
        <v>9.2899454194858427E-2</v>
      </c>
      <c r="EU81" s="16">
        <f t="shared" si="501"/>
        <v>0</v>
      </c>
      <c r="EV81" s="16">
        <f t="shared" si="502"/>
        <v>0.84319327254532839</v>
      </c>
      <c r="EW81" s="16">
        <f t="shared" si="503"/>
        <v>0.78162781325047748</v>
      </c>
      <c r="EX81" s="16">
        <f t="shared" si="504"/>
        <v>0.12004426388595942</v>
      </c>
      <c r="EY81" s="16">
        <f t="shared" si="505"/>
        <v>0</v>
      </c>
      <c r="EZ81" s="16">
        <f>DX81*$EN81</f>
        <v>0</v>
      </c>
      <c r="FB81" s="14">
        <f t="shared" si="506"/>
        <v>-6.164190502505889</v>
      </c>
      <c r="FC81" s="4">
        <f t="shared" si="507"/>
        <v>1.8259701475565138</v>
      </c>
      <c r="FD81" s="4">
        <f t="shared" si="508"/>
        <v>1.760371574712416</v>
      </c>
      <c r="FE81" s="4">
        <f t="shared" si="509"/>
        <v>1.8259701475565138</v>
      </c>
      <c r="FG81" s="4">
        <f t="shared" si="510"/>
        <v>2.3729380266526983</v>
      </c>
    </row>
    <row r="82" spans="1:163" x14ac:dyDescent="0.2">
      <c r="A82" s="58" t="s">
        <v>144</v>
      </c>
      <c r="B82" s="57" t="s">
        <v>145</v>
      </c>
      <c r="C82" s="138">
        <v>41.266833279026415</v>
      </c>
      <c r="D82" s="98">
        <v>3.3727199357117426E-3</v>
      </c>
      <c r="E82" s="148">
        <f t="shared" si="584"/>
        <v>3.1056499370572362E-2</v>
      </c>
      <c r="F82" s="138">
        <v>1.6237823127820621E-2</v>
      </c>
      <c r="G82" s="138">
        <v>9.0578391956637923</v>
      </c>
      <c r="H82" s="138">
        <v>0.1230289355211296</v>
      </c>
      <c r="I82" s="138">
        <v>49.241342869893217</v>
      </c>
      <c r="J82" s="150">
        <f t="shared" si="585"/>
        <v>6.6171807520095965E-2</v>
      </c>
      <c r="K82" s="98">
        <v>1.9536290846791971E-2</v>
      </c>
      <c r="L82" s="98"/>
      <c r="M82" s="138">
        <v>0.31095571989543491</v>
      </c>
      <c r="N82" s="141">
        <v>164.36840249609372</v>
      </c>
      <c r="O82" s="142">
        <v>472.92717188694235</v>
      </c>
      <c r="P82" s="11"/>
      <c r="Q82" s="140">
        <v>52.369976951598353</v>
      </c>
      <c r="R82" s="140">
        <v>0.43090490029061024</v>
      </c>
      <c r="S82" s="140">
        <v>6.1328790459965932</v>
      </c>
      <c r="T82" s="140">
        <v>0.89187293315963512</v>
      </c>
      <c r="U82" s="140">
        <v>3.0263553462270765</v>
      </c>
      <c r="V82" s="140">
        <v>0</v>
      </c>
      <c r="W82" s="140">
        <v>15.702976250125261</v>
      </c>
      <c r="X82" s="140">
        <v>19.801583324982463</v>
      </c>
      <c r="Y82" s="140">
        <v>1.6434512476200018</v>
      </c>
      <c r="Z82" s="100"/>
      <c r="AA82" s="140"/>
      <c r="AC82" s="139">
        <v>53.236327145007522</v>
      </c>
      <c r="AD82" s="139">
        <v>14.641244355243352</v>
      </c>
      <c r="AE82" s="11"/>
      <c r="AF82" s="83">
        <f t="shared" ref="AF82:AF88" si="603">AD82/151.9892/(AD82/151.9892+AC82/101.9601)</f>
        <v>0.15575921697443851</v>
      </c>
      <c r="AG82" s="22">
        <f t="shared" si="448"/>
        <v>5.8337043586758459E-4</v>
      </c>
      <c r="AH82" s="126">
        <f t="shared" si="549"/>
        <v>1079.7460612540051</v>
      </c>
      <c r="AI82" s="126">
        <f t="shared" si="449"/>
        <v>1079.5968978864009</v>
      </c>
      <c r="AJ82" s="126">
        <f t="shared" si="450"/>
        <v>0.14916336760416016</v>
      </c>
      <c r="AK82" s="12"/>
      <c r="AL82" s="25">
        <f t="shared" si="550"/>
        <v>2.5414248525437193</v>
      </c>
      <c r="AN82" s="2">
        <v>15.999000000000001</v>
      </c>
      <c r="AO82" s="2">
        <v>28.085000000000001</v>
      </c>
      <c r="AP82" s="2">
        <v>47.866999999999997</v>
      </c>
      <c r="AQ82" s="2">
        <v>26.9815386</v>
      </c>
      <c r="AR82" s="2">
        <v>51.996099999999998</v>
      </c>
      <c r="AS82" s="2">
        <v>55.844999999999999</v>
      </c>
      <c r="AT82" s="2">
        <v>54.938045000000002</v>
      </c>
      <c r="AU82" s="2">
        <v>24.305</v>
      </c>
      <c r="AV82" s="2">
        <v>40.078000000000003</v>
      </c>
      <c r="AW82" s="2">
        <v>22.989769280000001</v>
      </c>
      <c r="AX82" s="2">
        <v>39.098300000000002</v>
      </c>
      <c r="AY82" s="2">
        <v>58.693399999999997</v>
      </c>
      <c r="BA82" s="2">
        <f>AN82*2+AO82</f>
        <v>60.082999999999998</v>
      </c>
      <c r="BB82" s="2">
        <f>AN82*2+AP82</f>
        <v>79.864999999999995</v>
      </c>
      <c r="BC82" s="2">
        <f>AQ82*2+AN82*3</f>
        <v>101.9600772</v>
      </c>
      <c r="BD82" s="2">
        <f>AR82*2+AN82*3</f>
        <v>151.98919999999998</v>
      </c>
      <c r="BE82" s="2">
        <f>AS82+AN82</f>
        <v>71.843999999999994</v>
      </c>
      <c r="BF82" s="2">
        <f>AT82+AN82</f>
        <v>70.937044999999998</v>
      </c>
      <c r="BG82" s="2">
        <f>AU82+AN82</f>
        <v>40.304000000000002</v>
      </c>
      <c r="BH82" s="2">
        <f>AV82+AN82</f>
        <v>56.077000000000005</v>
      </c>
      <c r="BI82" s="2">
        <f>AW82*2+AN82</f>
        <v>61.978538560000004</v>
      </c>
      <c r="BJ82" s="2">
        <f>AX82*2+AN82</f>
        <v>94.195599999999999</v>
      </c>
      <c r="BK82" s="2">
        <f>AY82+AN82</f>
        <v>74.692399999999992</v>
      </c>
      <c r="BM82" s="2">
        <f t="shared" si="452"/>
        <v>0.68683043920953368</v>
      </c>
      <c r="BN82" s="2">
        <f t="shared" si="453"/>
        <v>4.2230262764812405E-5</v>
      </c>
      <c r="BO82" s="2">
        <f t="shared" si="454"/>
        <v>3.0459470239173537E-4</v>
      </c>
      <c r="BP82" s="2">
        <f t="shared" si="455"/>
        <v>1.0683537467017802E-4</v>
      </c>
      <c r="BQ82" s="2">
        <f t="shared" si="456"/>
        <v>0.12607648788574957</v>
      </c>
      <c r="BR82" s="2">
        <f t="shared" si="457"/>
        <v>1.7343397306883817E-3</v>
      </c>
      <c r="BS82" s="2">
        <f t="shared" si="458"/>
        <v>1.2217482847829797</v>
      </c>
      <c r="BT82" s="2">
        <f t="shared" si="459"/>
        <v>1.1800168967686566E-3</v>
      </c>
      <c r="BU82" s="2">
        <f t="shared" si="460"/>
        <v>3.1521057612352921E-4</v>
      </c>
      <c r="BV82" s="2">
        <f t="shared" si="461"/>
        <v>0</v>
      </c>
      <c r="BW82" s="2">
        <f t="shared" si="462"/>
        <v>4.163150734150127E-3</v>
      </c>
      <c r="BY82" s="2">
        <f t="shared" si="551"/>
        <v>0.68683043920953368</v>
      </c>
      <c r="BZ82" s="2">
        <f t="shared" si="552"/>
        <v>4.2230262764812405E-5</v>
      </c>
      <c r="CA82" s="2">
        <f t="shared" si="553"/>
        <v>6.0918940478347074E-4</v>
      </c>
      <c r="CB82" s="2">
        <f t="shared" si="554"/>
        <v>2.1367074934035605E-4</v>
      </c>
      <c r="CC82" s="2">
        <f t="shared" si="555"/>
        <v>0.12607648788574957</v>
      </c>
      <c r="CD82" s="2">
        <f t="shared" si="556"/>
        <v>1.7343397306883817E-3</v>
      </c>
      <c r="CE82" s="2">
        <f t="shared" si="557"/>
        <v>1.2217482847829797</v>
      </c>
      <c r="CF82" s="2">
        <f t="shared" si="558"/>
        <v>1.1800168967686566E-3</v>
      </c>
      <c r="CG82" s="2">
        <f t="shared" si="559"/>
        <v>6.3042115224705843E-4</v>
      </c>
      <c r="CH82" s="2">
        <f t="shared" si="560"/>
        <v>0</v>
      </c>
      <c r="CI82" s="2">
        <f>BW82</f>
        <v>4.163150734150127E-3</v>
      </c>
      <c r="CK82" s="2">
        <f t="shared" si="561"/>
        <v>1.3736608784190674</v>
      </c>
      <c r="CL82" s="2">
        <f t="shared" si="562"/>
        <v>8.446052552962481E-5</v>
      </c>
      <c r="CM82" s="2">
        <f t="shared" si="563"/>
        <v>9.1378410717520616E-4</v>
      </c>
      <c r="CN82" s="2">
        <f t="shared" si="564"/>
        <v>3.2050612401053407E-4</v>
      </c>
      <c r="CO82" s="2">
        <f t="shared" si="565"/>
        <v>0.12607648788574957</v>
      </c>
      <c r="CP82" s="2">
        <f t="shared" si="566"/>
        <v>1.7343397306883817E-3</v>
      </c>
      <c r="CQ82" s="2">
        <f t="shared" si="567"/>
        <v>1.2217482847829797</v>
      </c>
      <c r="CR82" s="2">
        <f t="shared" si="568"/>
        <v>1.1800168967686566E-3</v>
      </c>
      <c r="CS82" s="2">
        <f t="shared" si="569"/>
        <v>3.1521057612352921E-4</v>
      </c>
      <c r="CT82" s="2">
        <f t="shared" si="570"/>
        <v>0</v>
      </c>
      <c r="CU82" s="2">
        <f t="shared" si="571"/>
        <v>4.163150734150127E-3</v>
      </c>
      <c r="CW82" s="14">
        <f>SUM(CK82:CU82)</f>
        <v>2.7301971197822428</v>
      </c>
      <c r="CY82" s="14">
        <f>4/CW82</f>
        <v>1.4650956778970725</v>
      </c>
      <c r="DA82" s="16">
        <f t="shared" si="470"/>
        <v>1.0062723079340359</v>
      </c>
      <c r="DB82" s="16">
        <f t="shared" si="471"/>
        <v>6.1871375453184335E-5</v>
      </c>
      <c r="DC82" s="16">
        <f t="shared" si="472"/>
        <v>8.9252076396895315E-4</v>
      </c>
      <c r="DD82" s="16">
        <f t="shared" si="473"/>
        <v>3.1304809135158441E-4</v>
      </c>
      <c r="DE82" s="16">
        <f t="shared" si="474"/>
        <v>0.18471411748585431</v>
      </c>
      <c r="DF82" s="16">
        <f t="shared" si="475"/>
        <v>2.5409736434367208E-3</v>
      </c>
      <c r="DG82" s="16">
        <f t="shared" si="476"/>
        <v>1.7899781315137053</v>
      </c>
      <c r="DH82" s="16">
        <f t="shared" si="477"/>
        <v>1.7288376553012748E-3</v>
      </c>
      <c r="DI82" s="16">
        <f t="shared" si="478"/>
        <v>9.2362730541205762E-4</v>
      </c>
      <c r="DJ82" s="16">
        <f t="shared" si="479"/>
        <v>0</v>
      </c>
      <c r="DK82" s="16">
        <f t="shared" si="480"/>
        <v>6.0994141470373754E-3</v>
      </c>
      <c r="DL82" s="16">
        <f t="shared" si="481"/>
        <v>0.90645928874261983</v>
      </c>
      <c r="DN82" s="2">
        <f t="shared" si="482"/>
        <v>0.87162719823574641</v>
      </c>
      <c r="DO82" s="2">
        <f t="shared" si="483"/>
        <v>5.3954160181632791E-3</v>
      </c>
      <c r="DP82" s="2">
        <f t="shared" si="484"/>
        <v>6.0149807791598973E-2</v>
      </c>
      <c r="DQ82" s="2">
        <f t="shared" si="485"/>
        <v>5.8680020235624322E-3</v>
      </c>
      <c r="DR82" s="2">
        <f t="shared" si="486"/>
        <v>4.2123981769209354E-2</v>
      </c>
      <c r="DS82" s="2">
        <f t="shared" si="487"/>
        <v>0</v>
      </c>
      <c r="DT82" s="2">
        <f t="shared" si="488"/>
        <v>0.38961334483240523</v>
      </c>
      <c r="DU82" s="2">
        <f t="shared" si="489"/>
        <v>0.353114170247739</v>
      </c>
      <c r="DV82" s="2">
        <f t="shared" si="490"/>
        <v>2.6516456918857716E-2</v>
      </c>
      <c r="DW82" s="2">
        <f t="shared" si="491"/>
        <v>0</v>
      </c>
      <c r="DX82" s="2">
        <f t="shared" si="492"/>
        <v>0</v>
      </c>
      <c r="DZ82" s="2">
        <f t="shared" si="572"/>
        <v>1.7432543964714928</v>
      </c>
      <c r="EA82" s="2">
        <f t="shared" si="573"/>
        <v>1.0790832036326558E-2</v>
      </c>
      <c r="EB82" s="2">
        <f t="shared" si="574"/>
        <v>0.18044942337479691</v>
      </c>
      <c r="EC82" s="2">
        <f t="shared" si="575"/>
        <v>1.7604006070687295E-2</v>
      </c>
      <c r="ED82" s="2">
        <f t="shared" si="576"/>
        <v>4.2123981769209354E-2</v>
      </c>
      <c r="EE82" s="2">
        <f t="shared" si="577"/>
        <v>0</v>
      </c>
      <c r="EF82" s="2">
        <f t="shared" si="578"/>
        <v>0.38961334483240523</v>
      </c>
      <c r="EG82" s="2">
        <f t="shared" si="579"/>
        <v>0.353114170247739</v>
      </c>
      <c r="EH82" s="2">
        <f t="shared" si="580"/>
        <v>2.6516456918857716E-2</v>
      </c>
      <c r="EI82" s="2">
        <f t="shared" si="581"/>
        <v>0</v>
      </c>
      <c r="EJ82" s="2">
        <f t="shared" si="582"/>
        <v>0</v>
      </c>
      <c r="EL82" s="16">
        <f>SUM(DZ82:EJ82)</f>
        <v>2.763466611721515</v>
      </c>
      <c r="EN82" s="14">
        <f>6/EL82</f>
        <v>2.1711859931834931</v>
      </c>
      <c r="EP82" s="16">
        <f t="shared" si="496"/>
        <v>1.8924647640872245</v>
      </c>
      <c r="EQ82" s="16">
        <f t="shared" si="497"/>
        <v>1.1714451686033966E-2</v>
      </c>
      <c r="ER82" s="16">
        <f t="shared" si="498"/>
        <v>0.26119284033959805</v>
      </c>
      <c r="ES82" s="16">
        <f t="shared" si="499"/>
        <v>2.5481047603062294E-2</v>
      </c>
      <c r="ET82" s="16">
        <f t="shared" si="500"/>
        <v>9.145899919442417E-2</v>
      </c>
      <c r="EU82" s="16">
        <f t="shared" si="501"/>
        <v>0</v>
      </c>
      <c r="EV82" s="16">
        <f t="shared" si="502"/>
        <v>0.8459230370574885</v>
      </c>
      <c r="EW82" s="16">
        <f t="shared" si="503"/>
        <v>0.76667654043650224</v>
      </c>
      <c r="EX82" s="16">
        <f t="shared" si="504"/>
        <v>0.1151443197021548</v>
      </c>
      <c r="EY82" s="16">
        <f t="shared" si="505"/>
        <v>0</v>
      </c>
      <c r="EZ82" s="16">
        <f>DX82*$EN82</f>
        <v>0</v>
      </c>
      <c r="FB82" s="14">
        <f t="shared" si="506"/>
        <v>-6.0946156848446549</v>
      </c>
      <c r="FC82" s="4">
        <f t="shared" si="507"/>
        <v>2.0389335296395834</v>
      </c>
      <c r="FD82" s="4">
        <f t="shared" si="508"/>
        <v>1.7918465552070146</v>
      </c>
      <c r="FE82" s="4">
        <f t="shared" si="509"/>
        <v>2.0389335296395834</v>
      </c>
      <c r="FG82" s="4">
        <f t="shared" si="510"/>
        <v>2.5414248525437193</v>
      </c>
    </row>
    <row r="83" spans="1:163" x14ac:dyDescent="0.2">
      <c r="A83" s="24" t="s">
        <v>146</v>
      </c>
      <c r="B83" s="60" t="s">
        <v>165</v>
      </c>
      <c r="C83" s="138">
        <v>40.773750000000007</v>
      </c>
      <c r="D83" s="98">
        <v>2.5000000000000001E-3</v>
      </c>
      <c r="E83" s="148">
        <f t="shared" si="584"/>
        <v>2.265367218245657E-2</v>
      </c>
      <c r="F83" s="138">
        <v>3.0000000000000002E-2</v>
      </c>
      <c r="G83" s="138">
        <v>9.15</v>
      </c>
      <c r="H83" s="138">
        <v>0.13</v>
      </c>
      <c r="I83" s="138">
        <v>48.983750000000001</v>
      </c>
      <c r="J83" s="150">
        <f t="shared" si="585"/>
        <v>5.735227355240937E-2</v>
      </c>
      <c r="K83" s="98"/>
      <c r="L83" s="98"/>
      <c r="M83" s="138">
        <v>0.37</v>
      </c>
      <c r="N83" s="141">
        <v>119.89593105360861</v>
      </c>
      <c r="O83" s="142">
        <v>409.8943273415951</v>
      </c>
      <c r="P83" s="11"/>
      <c r="Q83" s="140">
        <v>52.356128571428577</v>
      </c>
      <c r="R83" s="140">
        <v>0.19948814285714286</v>
      </c>
      <c r="S83" s="140">
        <v>5.3498342857142864</v>
      </c>
      <c r="T83" s="140">
        <v>1.3400728571428573</v>
      </c>
      <c r="U83" s="140">
        <v>2.8779571428571424</v>
      </c>
      <c r="V83" s="140">
        <v>8.1720571428571434E-2</v>
      </c>
      <c r="W83" s="140">
        <v>16.66308571428571</v>
      </c>
      <c r="X83" s="140">
        <v>20.027700000000003</v>
      </c>
      <c r="Y83" s="140">
        <v>0.94975885714285724</v>
      </c>
      <c r="Z83" s="100">
        <v>2.6340000000000001E-3</v>
      </c>
      <c r="AA83" s="140">
        <v>4.8718428571428572E-2</v>
      </c>
      <c r="AC83" s="139">
        <v>45.282499999999999</v>
      </c>
      <c r="AD83" s="139">
        <v>23.442499999999995</v>
      </c>
      <c r="AE83" s="11"/>
      <c r="AF83" s="83">
        <f t="shared" si="603"/>
        <v>0.257768759882955</v>
      </c>
      <c r="AG83" s="22">
        <f t="shared" si="448"/>
        <v>5.0027432633923861E-4</v>
      </c>
      <c r="AH83" s="126">
        <f t="shared" si="549"/>
        <v>1039.2696412962782</v>
      </c>
      <c r="AI83" s="126">
        <f t="shared" si="449"/>
        <v>1039.1197420067679</v>
      </c>
      <c r="AJ83" s="126">
        <f t="shared" si="450"/>
        <v>0.14989928951035836</v>
      </c>
      <c r="AK83" s="12"/>
      <c r="AL83" s="25">
        <f t="shared" si="550"/>
        <v>2.3053504520135966</v>
      </c>
      <c r="AN83" s="2">
        <v>15.999000000000001</v>
      </c>
      <c r="AO83" s="2">
        <v>28.085000000000001</v>
      </c>
      <c r="AP83" s="2">
        <v>47.866999999999997</v>
      </c>
      <c r="AQ83" s="2">
        <v>26.9815386</v>
      </c>
      <c r="AR83" s="2">
        <v>51.996099999999998</v>
      </c>
      <c r="AS83" s="2">
        <v>55.844999999999999</v>
      </c>
      <c r="AT83" s="2">
        <v>54.938045000000002</v>
      </c>
      <c r="AU83" s="2">
        <v>24.305</v>
      </c>
      <c r="AV83" s="2">
        <v>40.078000000000003</v>
      </c>
      <c r="AW83" s="2">
        <v>22.989769280000001</v>
      </c>
      <c r="AX83" s="2">
        <v>39.098300000000002</v>
      </c>
      <c r="AY83" s="2">
        <v>58.693399999999997</v>
      </c>
      <c r="BA83" s="2">
        <f>AN83*2+AO83</f>
        <v>60.082999999999998</v>
      </c>
      <c r="BB83" s="2">
        <f>AN83*2+AP83</f>
        <v>79.864999999999995</v>
      </c>
      <c r="BC83" s="2">
        <f>AQ83*2+AN83*3</f>
        <v>101.9600772</v>
      </c>
      <c r="BD83" s="2">
        <f>AR83*2+AN83*3</f>
        <v>151.98919999999998</v>
      </c>
      <c r="BE83" s="2">
        <f>AS83+AN83</f>
        <v>71.843999999999994</v>
      </c>
      <c r="BF83" s="2">
        <f>AT83+AN83</f>
        <v>70.937044999999998</v>
      </c>
      <c r="BG83" s="2">
        <f>AU83+AN83</f>
        <v>40.304000000000002</v>
      </c>
      <c r="BH83" s="2">
        <f>AV83+AN83</f>
        <v>56.077000000000005</v>
      </c>
      <c r="BI83" s="2">
        <f>AW83*2+AN83</f>
        <v>61.978538560000004</v>
      </c>
      <c r="BJ83" s="2">
        <f>AX83*2+AN83</f>
        <v>94.195599999999999</v>
      </c>
      <c r="BK83" s="2">
        <f>AY83+AN83</f>
        <v>74.692399999999992</v>
      </c>
      <c r="BM83" s="2">
        <f t="shared" si="452"/>
        <v>0.67862373716359048</v>
      </c>
      <c r="BN83" s="2">
        <f t="shared" si="453"/>
        <v>3.1302823514681028E-5</v>
      </c>
      <c r="BO83" s="2">
        <f t="shared" si="454"/>
        <v>2.2218178726973904E-4</v>
      </c>
      <c r="BP83" s="2">
        <f t="shared" si="455"/>
        <v>1.9738244559481863E-4</v>
      </c>
      <c r="BQ83" s="2">
        <f t="shared" si="456"/>
        <v>0.12735927843661268</v>
      </c>
      <c r="BR83" s="2">
        <f t="shared" si="457"/>
        <v>1.8326108734864838E-3</v>
      </c>
      <c r="BS83" s="2">
        <f t="shared" si="458"/>
        <v>1.2153570365224295</v>
      </c>
      <c r="BT83" s="2">
        <f t="shared" si="459"/>
        <v>1.0227414724826465E-3</v>
      </c>
      <c r="BU83" s="2">
        <f t="shared" si="460"/>
        <v>0</v>
      </c>
      <c r="BV83" s="2">
        <f t="shared" si="461"/>
        <v>0</v>
      </c>
      <c r="BW83" s="2">
        <f t="shared" si="462"/>
        <v>4.9536499028013563E-3</v>
      </c>
      <c r="BY83" s="2">
        <f t="shared" si="551"/>
        <v>0.67862373716359048</v>
      </c>
      <c r="BZ83" s="2">
        <f t="shared" si="552"/>
        <v>3.1302823514681028E-5</v>
      </c>
      <c r="CA83" s="2">
        <f t="shared" si="553"/>
        <v>4.4436357453947809E-4</v>
      </c>
      <c r="CB83" s="2">
        <f t="shared" si="554"/>
        <v>3.9476489118963725E-4</v>
      </c>
      <c r="CC83" s="2">
        <f t="shared" si="555"/>
        <v>0.12735927843661268</v>
      </c>
      <c r="CD83" s="2">
        <f t="shared" si="556"/>
        <v>1.8326108734864838E-3</v>
      </c>
      <c r="CE83" s="2">
        <f t="shared" si="557"/>
        <v>1.2153570365224295</v>
      </c>
      <c r="CF83" s="2">
        <f t="shared" si="558"/>
        <v>1.0227414724826465E-3</v>
      </c>
      <c r="CG83" s="2">
        <f t="shared" si="559"/>
        <v>0</v>
      </c>
      <c r="CH83" s="2">
        <f t="shared" si="560"/>
        <v>0</v>
      </c>
      <c r="CI83" s="2">
        <f>BW83</f>
        <v>4.9536499028013563E-3</v>
      </c>
      <c r="CK83" s="2">
        <f t="shared" si="561"/>
        <v>1.357247474327181</v>
      </c>
      <c r="CL83" s="2">
        <f t="shared" si="562"/>
        <v>6.2605647029362056E-5</v>
      </c>
      <c r="CM83" s="2">
        <f t="shared" si="563"/>
        <v>6.6654536180921708E-4</v>
      </c>
      <c r="CN83" s="2">
        <f t="shared" si="564"/>
        <v>5.9214733678445591E-4</v>
      </c>
      <c r="CO83" s="2">
        <f t="shared" si="565"/>
        <v>0.12735927843661268</v>
      </c>
      <c r="CP83" s="2">
        <f t="shared" si="566"/>
        <v>1.8326108734864838E-3</v>
      </c>
      <c r="CQ83" s="2">
        <f t="shared" si="567"/>
        <v>1.2153570365224295</v>
      </c>
      <c r="CR83" s="2">
        <f t="shared" si="568"/>
        <v>1.0227414724826465E-3</v>
      </c>
      <c r="CS83" s="2">
        <f t="shared" si="569"/>
        <v>0</v>
      </c>
      <c r="CT83" s="2">
        <f t="shared" si="570"/>
        <v>0</v>
      </c>
      <c r="CU83" s="2">
        <f t="shared" si="571"/>
        <v>4.9536499028013563E-3</v>
      </c>
      <c r="CW83" s="14">
        <f>SUM(CK83:CU83)</f>
        <v>2.7090940898806171</v>
      </c>
      <c r="CY83" s="14">
        <f>4/CW83</f>
        <v>1.4765083335205496</v>
      </c>
      <c r="DA83" s="16">
        <f t="shared" si="470"/>
        <v>1.0019936032469003</v>
      </c>
      <c r="DB83" s="16">
        <f t="shared" si="471"/>
        <v>4.6218879782149554E-5</v>
      </c>
      <c r="DC83" s="16">
        <f t="shared" si="472"/>
        <v>6.5610652092051934E-4</v>
      </c>
      <c r="DD83" s="16">
        <f t="shared" si="473"/>
        <v>5.8287365162283233E-4</v>
      </c>
      <c r="DE83" s="16">
        <f t="shared" si="474"/>
        <v>0.18804703596282266</v>
      </c>
      <c r="DF83" s="16">
        <f t="shared" si="475"/>
        <v>2.705865226803167E-3</v>
      </c>
      <c r="DG83" s="16">
        <f t="shared" si="476"/>
        <v>1.7944847926282061</v>
      </c>
      <c r="DH83" s="16">
        <f t="shared" si="477"/>
        <v>1.5100863071577054E-3</v>
      </c>
      <c r="DI83" s="16">
        <f t="shared" si="478"/>
        <v>0</v>
      </c>
      <c r="DJ83" s="16">
        <f t="shared" si="479"/>
        <v>0</v>
      </c>
      <c r="DK83" s="16">
        <f t="shared" si="480"/>
        <v>7.3141053628294631E-3</v>
      </c>
      <c r="DL83" s="16">
        <f t="shared" si="481"/>
        <v>0.90514803684313794</v>
      </c>
      <c r="DN83" s="2">
        <f t="shared" si="482"/>
        <v>0.87139671074061842</v>
      </c>
      <c r="DO83" s="2">
        <f t="shared" si="483"/>
        <v>2.4978168516514476E-3</v>
      </c>
      <c r="DP83" s="2">
        <f t="shared" si="484"/>
        <v>5.2469892458205068E-2</v>
      </c>
      <c r="DQ83" s="2">
        <f t="shared" si="485"/>
        <v>8.816895260603105E-3</v>
      </c>
      <c r="DR83" s="2">
        <f t="shared" si="486"/>
        <v>4.0058420227954215E-2</v>
      </c>
      <c r="DS83" s="2">
        <f t="shared" si="487"/>
        <v>1.1520154445194529E-3</v>
      </c>
      <c r="DT83" s="2">
        <f t="shared" si="488"/>
        <v>0.41343503657914127</v>
      </c>
      <c r="DU83" s="2">
        <f t="shared" si="489"/>
        <v>0.35714642366745725</v>
      </c>
      <c r="DV83" s="2">
        <f t="shared" si="490"/>
        <v>1.5323995679946816E-2</v>
      </c>
      <c r="DW83" s="2">
        <f t="shared" si="491"/>
        <v>2.7963089571062769E-5</v>
      </c>
      <c r="DX83" s="2">
        <f t="shared" si="492"/>
        <v>6.5225415934457292E-4</v>
      </c>
      <c r="DZ83" s="2">
        <f t="shared" si="572"/>
        <v>1.7427934214812368</v>
      </c>
      <c r="EA83" s="2">
        <f t="shared" si="573"/>
        <v>4.9956337033028953E-3</v>
      </c>
      <c r="EB83" s="2">
        <f t="shared" si="574"/>
        <v>0.1574096773746152</v>
      </c>
      <c r="EC83" s="2">
        <f t="shared" si="575"/>
        <v>2.6450685781809313E-2</v>
      </c>
      <c r="ED83" s="2">
        <f t="shared" si="576"/>
        <v>4.0058420227954215E-2</v>
      </c>
      <c r="EE83" s="2">
        <f t="shared" si="577"/>
        <v>1.1520154445194529E-3</v>
      </c>
      <c r="EF83" s="2">
        <f t="shared" si="578"/>
        <v>0.41343503657914127</v>
      </c>
      <c r="EG83" s="2">
        <f t="shared" si="579"/>
        <v>0.35714642366745725</v>
      </c>
      <c r="EH83" s="2">
        <f t="shared" si="580"/>
        <v>1.5323995679946816E-2</v>
      </c>
      <c r="EI83" s="2">
        <f t="shared" si="581"/>
        <v>2.7963089571062769E-5</v>
      </c>
      <c r="EJ83" s="2">
        <f t="shared" si="582"/>
        <v>6.5225415934457292E-4</v>
      </c>
      <c r="EL83" s="16">
        <f>SUM(DZ83:EJ83)</f>
        <v>2.7594455271888991</v>
      </c>
      <c r="EN83" s="14">
        <f>6/EL83</f>
        <v>2.1743498615507431</v>
      </c>
      <c r="EP83" s="16">
        <f t="shared" si="496"/>
        <v>1.8947213173546364</v>
      </c>
      <c r="EQ83" s="16">
        <f t="shared" si="497"/>
        <v>5.4311277255674377E-3</v>
      </c>
      <c r="ER83" s="16">
        <f t="shared" si="498"/>
        <v>0.22817580680416114</v>
      </c>
      <c r="ES83" s="16">
        <f t="shared" si="499"/>
        <v>3.8342029978399528E-2</v>
      </c>
      <c r="ET83" s="16">
        <f t="shared" si="500"/>
        <v>8.7101020476593738E-2</v>
      </c>
      <c r="EU83" s="16">
        <f t="shared" si="501"/>
        <v>2.50488462229519E-3</v>
      </c>
      <c r="EV83" s="16">
        <f t="shared" si="502"/>
        <v>0.89895241454608221</v>
      </c>
      <c r="EW83" s="16">
        <f t="shared" si="503"/>
        <v>0.77656127685467868</v>
      </c>
      <c r="EX83" s="16">
        <f t="shared" si="504"/>
        <v>6.663945577019309E-2</v>
      </c>
      <c r="EY83" s="16">
        <f t="shared" si="505"/>
        <v>1.2160307987474272E-4</v>
      </c>
      <c r="EZ83" s="16">
        <f>DX83*$EN83</f>
        <v>1.4182287410667684E-3</v>
      </c>
      <c r="FB83" s="14">
        <f t="shared" si="506"/>
        <v>-6.2427087473958238</v>
      </c>
      <c r="FC83" s="4">
        <f t="shared" si="507"/>
        <v>1.6857839390423848</v>
      </c>
      <c r="FD83" s="4">
        <f t="shared" si="508"/>
        <v>1.78771792245155</v>
      </c>
      <c r="FE83" s="4">
        <f t="shared" si="509"/>
        <v>1.78771792245155</v>
      </c>
      <c r="FG83" s="4">
        <f t="shared" si="510"/>
        <v>2.3053504520135966</v>
      </c>
    </row>
    <row r="84" spans="1:163" x14ac:dyDescent="0.2">
      <c r="A84" s="24" t="s">
        <v>147</v>
      </c>
      <c r="B84" s="60" t="s">
        <v>165</v>
      </c>
      <c r="C84" s="138">
        <v>40.923124999999999</v>
      </c>
      <c r="D84" s="98">
        <v>2.5000000000000001E-3</v>
      </c>
      <c r="E84" s="148">
        <f t="shared" si="584"/>
        <v>2.7987444004193833E-2</v>
      </c>
      <c r="F84" s="138">
        <v>2.1874999999999999E-2</v>
      </c>
      <c r="G84" s="138">
        <v>9.5906250000000011</v>
      </c>
      <c r="H84" s="138">
        <v>0.13500000000000001</v>
      </c>
      <c r="I84" s="138">
        <v>48.958750000000002</v>
      </c>
      <c r="J84" s="150">
        <f t="shared" si="585"/>
        <v>6.402123796694846E-2</v>
      </c>
      <c r="K84" s="98"/>
      <c r="L84" s="98"/>
      <c r="M84" s="138">
        <v>0.35249999999999998</v>
      </c>
      <c r="N84" s="141">
        <v>148.1252412265496</v>
      </c>
      <c r="O84" s="142">
        <v>457.55714022493362</v>
      </c>
      <c r="P84" s="11"/>
      <c r="Q84" s="140">
        <v>51.732074999999988</v>
      </c>
      <c r="R84" s="140">
        <v>0.35044375</v>
      </c>
      <c r="S84" s="140">
        <v>6.5946300000000004</v>
      </c>
      <c r="T84" s="140">
        <v>1.1063850000000002</v>
      </c>
      <c r="U84" s="140">
        <v>3.20307875</v>
      </c>
      <c r="V84" s="140">
        <v>9.2713999999999991E-2</v>
      </c>
      <c r="W84" s="140">
        <v>15.983749999999997</v>
      </c>
      <c r="X84" s="140">
        <v>19.2396125</v>
      </c>
      <c r="Y84" s="140">
        <v>1.3342987500000001</v>
      </c>
      <c r="Z84" s="100">
        <v>8.2387499999999995E-4</v>
      </c>
      <c r="AA84" s="140">
        <v>5.74415E-2</v>
      </c>
      <c r="AC84" s="139">
        <v>52.43571428571429</v>
      </c>
      <c r="AD84" s="139">
        <v>16.181428571428572</v>
      </c>
      <c r="AE84" s="11"/>
      <c r="AF84" s="83">
        <f t="shared" si="603"/>
        <v>0.17151164234566377</v>
      </c>
      <c r="AG84" s="22">
        <f t="shared" si="448"/>
        <v>5.3374774016988643E-4</v>
      </c>
      <c r="AH84" s="126">
        <f t="shared" si="549"/>
        <v>1062.8200898276398</v>
      </c>
      <c r="AI84" s="126">
        <f t="shared" si="449"/>
        <v>1062.67009871286</v>
      </c>
      <c r="AJ84" s="126">
        <f t="shared" si="450"/>
        <v>0.14999111477982296</v>
      </c>
      <c r="AK84" s="12"/>
      <c r="AL84" s="25">
        <f t="shared" si="550"/>
        <v>2.3996481184042389</v>
      </c>
      <c r="AN84" s="2">
        <v>15.999000000000001</v>
      </c>
      <c r="AO84" s="2">
        <v>28.085000000000001</v>
      </c>
      <c r="AP84" s="2">
        <v>47.866999999999997</v>
      </c>
      <c r="AQ84" s="2">
        <v>26.9815386</v>
      </c>
      <c r="AR84" s="2">
        <v>51.996099999999998</v>
      </c>
      <c r="AS84" s="2">
        <v>55.844999999999999</v>
      </c>
      <c r="AT84" s="2">
        <v>54.938045000000002</v>
      </c>
      <c r="AU84" s="2">
        <v>24.305</v>
      </c>
      <c r="AV84" s="2">
        <v>40.078000000000003</v>
      </c>
      <c r="AW84" s="2">
        <v>22.989769280000001</v>
      </c>
      <c r="AX84" s="2">
        <v>39.098300000000002</v>
      </c>
      <c r="AY84" s="2">
        <v>58.693399999999997</v>
      </c>
      <c r="BA84" s="2">
        <f>AN84*2+AO84</f>
        <v>60.082999999999998</v>
      </c>
      <c r="BB84" s="2">
        <f>AN84*2+AP84</f>
        <v>79.864999999999995</v>
      </c>
      <c r="BC84" s="2">
        <f>AQ84*2+AN84*3</f>
        <v>101.9600772</v>
      </c>
      <c r="BD84" s="2">
        <f>AR84*2+AN84*3</f>
        <v>151.98919999999998</v>
      </c>
      <c r="BE84" s="2">
        <f>AS84+AN84</f>
        <v>71.843999999999994</v>
      </c>
      <c r="BF84" s="2">
        <f>AT84+AN84</f>
        <v>70.937044999999998</v>
      </c>
      <c r="BG84" s="2">
        <f>AU84+AN84</f>
        <v>40.304000000000002</v>
      </c>
      <c r="BH84" s="2">
        <f>AV84+AN84</f>
        <v>56.077000000000005</v>
      </c>
      <c r="BI84" s="2">
        <f>AW84*2+AN84</f>
        <v>61.978538560000004</v>
      </c>
      <c r="BJ84" s="2">
        <f>AX84*2+AN84</f>
        <v>94.195599999999999</v>
      </c>
      <c r="BK84" s="2">
        <f>AY84+AN84</f>
        <v>74.692399999999992</v>
      </c>
      <c r="BM84" s="2">
        <f t="shared" si="452"/>
        <v>0.68110988133082573</v>
      </c>
      <c r="BN84" s="2">
        <f t="shared" si="453"/>
        <v>3.1302823514681028E-5</v>
      </c>
      <c r="BO84" s="2">
        <f t="shared" si="454"/>
        <v>2.7449414293101215E-4</v>
      </c>
      <c r="BP84" s="2">
        <f t="shared" si="455"/>
        <v>1.4392469991288855E-4</v>
      </c>
      <c r="BQ84" s="2">
        <f t="shared" si="456"/>
        <v>0.13349235844329382</v>
      </c>
      <c r="BR84" s="2">
        <f t="shared" si="457"/>
        <v>1.9030959070821178E-3</v>
      </c>
      <c r="BS84" s="2">
        <f t="shared" si="458"/>
        <v>1.2147367506947202</v>
      </c>
      <c r="BT84" s="2">
        <f t="shared" si="459"/>
        <v>1.1416666006909865E-3</v>
      </c>
      <c r="BU84" s="2">
        <f t="shared" si="460"/>
        <v>0</v>
      </c>
      <c r="BV84" s="2">
        <f t="shared" si="461"/>
        <v>0</v>
      </c>
      <c r="BW84" s="2">
        <f t="shared" si="462"/>
        <v>4.7193556506418327E-3</v>
      </c>
      <c r="BY84" s="2">
        <f t="shared" si="551"/>
        <v>0.68110988133082573</v>
      </c>
      <c r="BZ84" s="2">
        <f t="shared" si="552"/>
        <v>3.1302823514681028E-5</v>
      </c>
      <c r="CA84" s="2">
        <f t="shared" si="553"/>
        <v>5.489882858620243E-4</v>
      </c>
      <c r="CB84" s="2">
        <f t="shared" si="554"/>
        <v>2.878493998257771E-4</v>
      </c>
      <c r="CC84" s="2">
        <f t="shared" si="555"/>
        <v>0.13349235844329382</v>
      </c>
      <c r="CD84" s="2">
        <f t="shared" si="556"/>
        <v>1.9030959070821178E-3</v>
      </c>
      <c r="CE84" s="2">
        <f t="shared" si="557"/>
        <v>1.2147367506947202</v>
      </c>
      <c r="CF84" s="2">
        <f t="shared" si="558"/>
        <v>1.1416666006909865E-3</v>
      </c>
      <c r="CG84" s="2">
        <f t="shared" si="559"/>
        <v>0</v>
      </c>
      <c r="CH84" s="2">
        <f t="shared" si="560"/>
        <v>0</v>
      </c>
      <c r="CI84" s="2">
        <f>BW84</f>
        <v>4.7193556506418327E-3</v>
      </c>
      <c r="CK84" s="2">
        <f t="shared" si="561"/>
        <v>1.3622197626616515</v>
      </c>
      <c r="CL84" s="2">
        <f t="shared" si="562"/>
        <v>6.2605647029362056E-5</v>
      </c>
      <c r="CM84" s="2">
        <f t="shared" si="563"/>
        <v>8.234824287930364E-4</v>
      </c>
      <c r="CN84" s="2">
        <f t="shared" si="564"/>
        <v>4.3177409973866568E-4</v>
      </c>
      <c r="CO84" s="2">
        <f t="shared" si="565"/>
        <v>0.13349235844329382</v>
      </c>
      <c r="CP84" s="2">
        <f t="shared" si="566"/>
        <v>1.9030959070821178E-3</v>
      </c>
      <c r="CQ84" s="2">
        <f t="shared" si="567"/>
        <v>1.2147367506947202</v>
      </c>
      <c r="CR84" s="2">
        <f t="shared" si="568"/>
        <v>1.1416666006909865E-3</v>
      </c>
      <c r="CS84" s="2">
        <f t="shared" si="569"/>
        <v>0</v>
      </c>
      <c r="CT84" s="2">
        <f t="shared" si="570"/>
        <v>0</v>
      </c>
      <c r="CU84" s="2">
        <f t="shared" si="571"/>
        <v>4.7193556506418327E-3</v>
      </c>
      <c r="CW84" s="14">
        <f>SUM(CK84:CU84)</f>
        <v>2.7195308521336417</v>
      </c>
      <c r="CY84" s="14">
        <f>4/CW84</f>
        <v>1.4708419273352793</v>
      </c>
      <c r="DA84" s="16">
        <f t="shared" si="470"/>
        <v>1.0018049705837351</v>
      </c>
      <c r="DB84" s="16">
        <f t="shared" si="471"/>
        <v>4.6041505269369545E-5</v>
      </c>
      <c r="DC84" s="16">
        <f t="shared" si="472"/>
        <v>8.0747498846179112E-4</v>
      </c>
      <c r="DD84" s="16">
        <f t="shared" si="473"/>
        <v>4.2338096602204941E-4</v>
      </c>
      <c r="DE84" s="16">
        <f t="shared" si="474"/>
        <v>0.19634615777726624</v>
      </c>
      <c r="DF84" s="16">
        <f t="shared" si="475"/>
        <v>2.7991532518765439E-3</v>
      </c>
      <c r="DG84" s="16">
        <f t="shared" si="476"/>
        <v>1.7866857435968169</v>
      </c>
      <c r="DH84" s="16">
        <f t="shared" si="477"/>
        <v>1.6792111033346472E-3</v>
      </c>
      <c r="DI84" s="16">
        <f t="shared" si="478"/>
        <v>0</v>
      </c>
      <c r="DJ84" s="16">
        <f t="shared" si="479"/>
        <v>0</v>
      </c>
      <c r="DK84" s="16">
        <f t="shared" si="480"/>
        <v>6.941426160970674E-3</v>
      </c>
      <c r="DL84" s="16">
        <f t="shared" si="481"/>
        <v>0.90098688899497081</v>
      </c>
      <c r="DN84" s="2">
        <f t="shared" si="482"/>
        <v>0.86101018590949163</v>
      </c>
      <c r="DO84" s="2">
        <f t="shared" si="483"/>
        <v>4.3879515432291996E-3</v>
      </c>
      <c r="DP84" s="2">
        <f t="shared" si="484"/>
        <v>6.4678550478775049E-2</v>
      </c>
      <c r="DQ84" s="2">
        <f t="shared" si="485"/>
        <v>7.2793659023141135E-3</v>
      </c>
      <c r="DR84" s="2">
        <f t="shared" si="486"/>
        <v>4.4583803101163638E-2</v>
      </c>
      <c r="DS84" s="2">
        <f t="shared" si="487"/>
        <v>1.3069898809571219E-3</v>
      </c>
      <c r="DT84" s="2">
        <f t="shared" si="488"/>
        <v>0.39657974394601025</v>
      </c>
      <c r="DU84" s="2">
        <f t="shared" si="489"/>
        <v>0.34309275638853715</v>
      </c>
      <c r="DV84" s="2">
        <f t="shared" si="490"/>
        <v>2.1528399684808575E-2</v>
      </c>
      <c r="DW84" s="2">
        <f t="shared" si="491"/>
        <v>8.7464276463019498E-6</v>
      </c>
      <c r="DX84" s="2">
        <f t="shared" si="492"/>
        <v>7.6904075916693008E-4</v>
      </c>
      <c r="DZ84" s="2">
        <f t="shared" si="572"/>
        <v>1.7220203718189833</v>
      </c>
      <c r="EA84" s="2">
        <f t="shared" si="573"/>
        <v>8.7759030864583993E-3</v>
      </c>
      <c r="EB84" s="2">
        <f t="shared" si="574"/>
        <v>0.19403565143632515</v>
      </c>
      <c r="EC84" s="2">
        <f t="shared" si="575"/>
        <v>2.1838097706942339E-2</v>
      </c>
      <c r="ED84" s="2">
        <f t="shared" si="576"/>
        <v>4.4583803101163638E-2</v>
      </c>
      <c r="EE84" s="2">
        <f t="shared" si="577"/>
        <v>1.3069898809571219E-3</v>
      </c>
      <c r="EF84" s="2">
        <f t="shared" si="578"/>
        <v>0.39657974394601025</v>
      </c>
      <c r="EG84" s="2">
        <f t="shared" si="579"/>
        <v>0.34309275638853715</v>
      </c>
      <c r="EH84" s="2">
        <f t="shared" si="580"/>
        <v>2.1528399684808575E-2</v>
      </c>
      <c r="EI84" s="2">
        <f t="shared" si="581"/>
        <v>8.7464276463019498E-6</v>
      </c>
      <c r="EJ84" s="2">
        <f t="shared" si="582"/>
        <v>7.6904075916693008E-4</v>
      </c>
      <c r="EL84" s="16">
        <f>SUM(DZ84:EJ84)</f>
        <v>2.7545395042369991</v>
      </c>
      <c r="EN84" s="14">
        <f>6/EL84</f>
        <v>2.1782225271305324</v>
      </c>
      <c r="EP84" s="16">
        <f t="shared" si="496"/>
        <v>1.8754717830369023</v>
      </c>
      <c r="EQ84" s="16">
        <f t="shared" si="497"/>
        <v>9.5579348994190277E-3</v>
      </c>
      <c r="ER84" s="16">
        <f t="shared" si="498"/>
        <v>0.2817685513500342</v>
      </c>
      <c r="ES84" s="16">
        <f t="shared" si="499"/>
        <v>3.1712157583292953E-2</v>
      </c>
      <c r="ET84" s="16">
        <f t="shared" si="500"/>
        <v>9.7113444260106735E-2</v>
      </c>
      <c r="EU84" s="16">
        <f t="shared" si="501"/>
        <v>2.8469148014324559E-3</v>
      </c>
      <c r="EV84" s="16">
        <f t="shared" si="502"/>
        <v>0.86383893206685791</v>
      </c>
      <c r="EW84" s="16">
        <f t="shared" si="503"/>
        <v>0.74733237086081949</v>
      </c>
      <c r="EX84" s="16">
        <f t="shared" si="504"/>
        <v>9.3787290333039786E-2</v>
      </c>
      <c r="EY84" s="16">
        <f t="shared" si="505"/>
        <v>3.8103331462184378E-5</v>
      </c>
      <c r="EZ84" s="16">
        <f>DX84*$EN84</f>
        <v>1.6751419058989737E-3</v>
      </c>
      <c r="FB84" s="14">
        <f t="shared" si="506"/>
        <v>-6.0981859253084725</v>
      </c>
      <c r="FC84" s="4">
        <f t="shared" si="507"/>
        <v>1.7551419836458926</v>
      </c>
      <c r="FD84" s="4">
        <f t="shared" si="508"/>
        <v>1.610127431168618</v>
      </c>
      <c r="FE84" s="4">
        <f t="shared" si="509"/>
        <v>1.7551419836458926</v>
      </c>
      <c r="FG84" s="4">
        <f t="shared" si="510"/>
        <v>2.3996481184042389</v>
      </c>
    </row>
    <row r="85" spans="1:163" x14ac:dyDescent="0.2">
      <c r="A85" s="24" t="s">
        <v>148</v>
      </c>
      <c r="B85" s="60" t="s">
        <v>165</v>
      </c>
      <c r="C85" s="138">
        <v>40.761249999999997</v>
      </c>
      <c r="D85" s="98">
        <v>2.5000000000000001E-3</v>
      </c>
      <c r="E85" s="148">
        <f t="shared" si="584"/>
        <v>3.0181869629590331E-2</v>
      </c>
      <c r="F85" s="138">
        <v>1.5000000000000001E-2</v>
      </c>
      <c r="G85" s="138">
        <v>9.8587499999999988</v>
      </c>
      <c r="H85" s="138">
        <v>0.14125000000000001</v>
      </c>
      <c r="I85" s="138">
        <v>48.931249999999999</v>
      </c>
      <c r="J85" s="150">
        <f t="shared" si="585"/>
        <v>6.6824115229078912E-2</v>
      </c>
      <c r="K85" s="98"/>
      <c r="L85" s="98"/>
      <c r="M85" s="138">
        <v>0.38624999999999998</v>
      </c>
      <c r="N85" s="141">
        <v>159.73937165828428</v>
      </c>
      <c r="O85" s="142">
        <v>477.5891881076065</v>
      </c>
      <c r="P85" s="11"/>
      <c r="Q85" s="140">
        <v>51.232762500000007</v>
      </c>
      <c r="R85" s="140">
        <v>0.46858762499999995</v>
      </c>
      <c r="S85" s="140">
        <v>7.0540837500000002</v>
      </c>
      <c r="T85" s="140">
        <v>0.81827000000000005</v>
      </c>
      <c r="U85" s="140">
        <v>3.2876487500000002</v>
      </c>
      <c r="V85" s="140">
        <v>9.0919E-2</v>
      </c>
      <c r="W85" s="140">
        <v>15.917949999999999</v>
      </c>
      <c r="X85" s="140">
        <v>19.444412499999999</v>
      </c>
      <c r="Y85" s="140">
        <v>1.1725994999999998</v>
      </c>
      <c r="Z85" s="100">
        <v>3.6517500000000005E-3</v>
      </c>
      <c r="AA85" s="140">
        <v>5.6933125000000001E-2</v>
      </c>
      <c r="AC85" s="139">
        <v>56.39500000000001</v>
      </c>
      <c r="AD85" s="139">
        <v>10.76375</v>
      </c>
      <c r="AE85" s="11"/>
      <c r="AF85" s="83">
        <f t="shared" si="603"/>
        <v>0.11350542221462248</v>
      </c>
      <c r="AG85" s="22">
        <f t="shared" si="448"/>
        <v>5.3518697809363115E-4</v>
      </c>
      <c r="AH85" s="126">
        <f t="shared" si="549"/>
        <v>1072.4703635886881</v>
      </c>
      <c r="AI85" s="126">
        <f t="shared" si="449"/>
        <v>1072.3203761039249</v>
      </c>
      <c r="AJ85" s="126">
        <f t="shared" si="450"/>
        <v>0.14998748476318724</v>
      </c>
      <c r="AK85" s="12"/>
      <c r="AL85" s="25">
        <f t="shared" si="550"/>
        <v>2.4401672905157588</v>
      </c>
      <c r="AN85" s="2">
        <v>15.999000000000001</v>
      </c>
      <c r="AO85" s="2">
        <v>28.085000000000001</v>
      </c>
      <c r="AP85" s="2">
        <v>47.866999999999997</v>
      </c>
      <c r="AQ85" s="2">
        <v>26.9815386</v>
      </c>
      <c r="AR85" s="2">
        <v>51.996099999999998</v>
      </c>
      <c r="AS85" s="2">
        <v>55.844999999999999</v>
      </c>
      <c r="AT85" s="2">
        <v>54.938045000000002</v>
      </c>
      <c r="AU85" s="2">
        <v>24.305</v>
      </c>
      <c r="AV85" s="2">
        <v>40.078000000000003</v>
      </c>
      <c r="AW85" s="2">
        <v>22.989769280000001</v>
      </c>
      <c r="AX85" s="2">
        <v>39.098300000000002</v>
      </c>
      <c r="AY85" s="2">
        <v>58.693399999999997</v>
      </c>
      <c r="BA85" s="2">
        <f t="shared" ref="BA85:BA86" si="604">AN85*2+AO85</f>
        <v>60.082999999999998</v>
      </c>
      <c r="BB85" s="2">
        <f t="shared" ref="BB85:BB86" si="605">AN85*2+AP85</f>
        <v>79.864999999999995</v>
      </c>
      <c r="BC85" s="2">
        <f t="shared" ref="BC85:BC86" si="606">AQ85*2+AN85*3</f>
        <v>101.9600772</v>
      </c>
      <c r="BD85" s="2">
        <f t="shared" ref="BD85:BD86" si="607">AR85*2+AN85*3</f>
        <v>151.98919999999998</v>
      </c>
      <c r="BE85" s="2">
        <f t="shared" ref="BE85:BE86" si="608">AS85+AN85</f>
        <v>71.843999999999994</v>
      </c>
      <c r="BF85" s="2">
        <f t="shared" ref="BF85:BF86" si="609">AT85+AN85</f>
        <v>70.937044999999998</v>
      </c>
      <c r="BG85" s="2">
        <f t="shared" ref="BG85:BG86" si="610">AU85+AN85</f>
        <v>40.304000000000002</v>
      </c>
      <c r="BH85" s="2">
        <f t="shared" ref="BH85:BH86" si="611">AV85+AN85</f>
        <v>56.077000000000005</v>
      </c>
      <c r="BI85" s="2">
        <f t="shared" ref="BI85:BI86" si="612">AW85*2+AN85</f>
        <v>61.978538560000004</v>
      </c>
      <c r="BJ85" s="2">
        <f t="shared" ref="BJ85:BJ86" si="613">AX85*2+AN85</f>
        <v>94.195599999999999</v>
      </c>
      <c r="BK85" s="2">
        <f t="shared" ref="BK85:BK86" si="614">AY85+AN85</f>
        <v>74.692399999999992</v>
      </c>
      <c r="BM85" s="2">
        <f t="shared" si="452"/>
        <v>0.67841569162658322</v>
      </c>
      <c r="BN85" s="2">
        <f t="shared" si="453"/>
        <v>3.1302823514681028E-5</v>
      </c>
      <c r="BO85" s="2">
        <f t="shared" si="454"/>
        <v>2.9601654351817547E-4</v>
      </c>
      <c r="BP85" s="2">
        <f t="shared" si="455"/>
        <v>9.8691222797409313E-5</v>
      </c>
      <c r="BQ85" s="2">
        <f t="shared" si="456"/>
        <v>0.13722440287289125</v>
      </c>
      <c r="BR85" s="2">
        <f t="shared" si="457"/>
        <v>1.9912021990766606E-3</v>
      </c>
      <c r="BS85" s="2">
        <f t="shared" si="458"/>
        <v>1.2140544362842396</v>
      </c>
      <c r="BT85" s="2">
        <f t="shared" si="459"/>
        <v>1.1916492542232806E-3</v>
      </c>
      <c r="BU85" s="2">
        <f t="shared" si="460"/>
        <v>0</v>
      </c>
      <c r="BV85" s="2">
        <f t="shared" si="461"/>
        <v>0</v>
      </c>
      <c r="BW85" s="2">
        <f t="shared" si="462"/>
        <v>5.1712088512351996E-3</v>
      </c>
      <c r="BY85" s="2">
        <f t="shared" si="551"/>
        <v>0.67841569162658322</v>
      </c>
      <c r="BZ85" s="2">
        <f t="shared" si="552"/>
        <v>3.1302823514681028E-5</v>
      </c>
      <c r="CA85" s="2">
        <f t="shared" si="553"/>
        <v>5.9203308703635095E-4</v>
      </c>
      <c r="CB85" s="2">
        <f t="shared" si="554"/>
        <v>1.9738244559481863E-4</v>
      </c>
      <c r="CC85" s="2">
        <f t="shared" si="555"/>
        <v>0.13722440287289125</v>
      </c>
      <c r="CD85" s="2">
        <f t="shared" si="556"/>
        <v>1.9912021990766606E-3</v>
      </c>
      <c r="CE85" s="2">
        <f t="shared" si="557"/>
        <v>1.2140544362842396</v>
      </c>
      <c r="CF85" s="2">
        <f t="shared" si="558"/>
        <v>1.1916492542232806E-3</v>
      </c>
      <c r="CG85" s="2">
        <f t="shared" si="559"/>
        <v>0</v>
      </c>
      <c r="CH85" s="2">
        <f t="shared" si="560"/>
        <v>0</v>
      </c>
      <c r="CI85" s="2">
        <f t="shared" ref="CI85:CI86" si="615">BW85</f>
        <v>5.1712088512351996E-3</v>
      </c>
      <c r="CK85" s="2">
        <f t="shared" si="561"/>
        <v>1.3568313832531664</v>
      </c>
      <c r="CL85" s="2">
        <f t="shared" si="562"/>
        <v>6.2605647029362056E-5</v>
      </c>
      <c r="CM85" s="2">
        <f t="shared" si="563"/>
        <v>8.8804963055452647E-4</v>
      </c>
      <c r="CN85" s="2">
        <f t="shared" si="564"/>
        <v>2.9607366839222795E-4</v>
      </c>
      <c r="CO85" s="2">
        <f t="shared" si="565"/>
        <v>0.13722440287289125</v>
      </c>
      <c r="CP85" s="2">
        <f t="shared" si="566"/>
        <v>1.9912021990766606E-3</v>
      </c>
      <c r="CQ85" s="2">
        <f t="shared" si="567"/>
        <v>1.2140544362842396</v>
      </c>
      <c r="CR85" s="2">
        <f t="shared" si="568"/>
        <v>1.1916492542232806E-3</v>
      </c>
      <c r="CS85" s="2">
        <f t="shared" si="569"/>
        <v>0</v>
      </c>
      <c r="CT85" s="2">
        <f t="shared" si="570"/>
        <v>0</v>
      </c>
      <c r="CU85" s="2">
        <f t="shared" si="571"/>
        <v>5.1712088512351996E-3</v>
      </c>
      <c r="CW85" s="14">
        <f t="shared" ref="CW85:CW86" si="616">SUM(CK85:CU85)</f>
        <v>2.7177110116608083</v>
      </c>
      <c r="CY85" s="14">
        <f t="shared" ref="CY85:CY86" si="617">4/CW85</f>
        <v>1.4718268362005045</v>
      </c>
      <c r="DA85" s="16">
        <f t="shared" si="470"/>
        <v>0.998510421035531</v>
      </c>
      <c r="DB85" s="16">
        <f t="shared" si="471"/>
        <v>4.6072335697755735E-5</v>
      </c>
      <c r="DC85" s="16">
        <f t="shared" si="472"/>
        <v>8.7137018541873028E-4</v>
      </c>
      <c r="DD85" s="16">
        <f t="shared" si="473"/>
        <v>2.9051278042134011E-4</v>
      </c>
      <c r="DE85" s="16">
        <f t="shared" si="474"/>
        <v>0.20197055872991096</v>
      </c>
      <c r="DF85" s="16">
        <f t="shared" si="475"/>
        <v>2.9307048329024884E-3</v>
      </c>
      <c r="DG85" s="16">
        <f t="shared" si="476"/>
        <v>1.7868778999314192</v>
      </c>
      <c r="DH85" s="16">
        <f t="shared" si="477"/>
        <v>1.7539013517041417E-3</v>
      </c>
      <c r="DI85" s="16">
        <f t="shared" si="478"/>
        <v>0</v>
      </c>
      <c r="DJ85" s="16">
        <f t="shared" si="479"/>
        <v>0</v>
      </c>
      <c r="DK85" s="16">
        <f t="shared" si="480"/>
        <v>7.611123962845549E-3</v>
      </c>
      <c r="DL85" s="16">
        <f t="shared" si="481"/>
        <v>0.89844849271932214</v>
      </c>
      <c r="DN85" s="2">
        <f t="shared" si="482"/>
        <v>0.85269980693374181</v>
      </c>
      <c r="DO85" s="2">
        <f t="shared" si="483"/>
        <v>5.8672462906154133E-3</v>
      </c>
      <c r="DP85" s="2">
        <f t="shared" si="484"/>
        <v>6.9184762739665714E-2</v>
      </c>
      <c r="DQ85" s="2">
        <f t="shared" si="485"/>
        <v>5.3837377918957412E-3</v>
      </c>
      <c r="DR85" s="2">
        <f t="shared" si="486"/>
        <v>4.5760936891041708E-2</v>
      </c>
      <c r="DS85" s="2">
        <f t="shared" si="487"/>
        <v>1.2816857538962894E-3</v>
      </c>
      <c r="DT85" s="2">
        <f t="shared" si="488"/>
        <v>0.39494715164747912</v>
      </c>
      <c r="DU85" s="2">
        <f t="shared" si="489"/>
        <v>0.34674487757904304</v>
      </c>
      <c r="DV85" s="2">
        <f t="shared" si="490"/>
        <v>1.8919444169610954E-2</v>
      </c>
      <c r="DW85" s="2">
        <f t="shared" si="491"/>
        <v>3.8767734374004739E-5</v>
      </c>
      <c r="DX85" s="2">
        <f t="shared" si="492"/>
        <v>7.622345111416959E-4</v>
      </c>
      <c r="DZ85" s="2">
        <f t="shared" si="572"/>
        <v>1.7053996138674836</v>
      </c>
      <c r="EA85" s="2">
        <f t="shared" si="573"/>
        <v>1.1734492581230827E-2</v>
      </c>
      <c r="EB85" s="2">
        <f t="shared" si="574"/>
        <v>0.20755428821899713</v>
      </c>
      <c r="EC85" s="2">
        <f t="shared" si="575"/>
        <v>1.6151213375687222E-2</v>
      </c>
      <c r="ED85" s="2">
        <f t="shared" si="576"/>
        <v>4.5760936891041708E-2</v>
      </c>
      <c r="EE85" s="2">
        <f t="shared" si="577"/>
        <v>1.2816857538962894E-3</v>
      </c>
      <c r="EF85" s="2">
        <f t="shared" si="578"/>
        <v>0.39494715164747912</v>
      </c>
      <c r="EG85" s="2">
        <f t="shared" si="579"/>
        <v>0.34674487757904304</v>
      </c>
      <c r="EH85" s="2">
        <f t="shared" si="580"/>
        <v>1.8919444169610954E-2</v>
      </c>
      <c r="EI85" s="2">
        <f t="shared" si="581"/>
        <v>3.8767734374004739E-5</v>
      </c>
      <c r="EJ85" s="2">
        <f t="shared" si="582"/>
        <v>7.622345111416959E-4</v>
      </c>
      <c r="EL85" s="16">
        <f t="shared" ref="EL85:EL86" si="618">SUM(DZ85:EJ85)</f>
        <v>2.7492947063299846</v>
      </c>
      <c r="EN85" s="14">
        <f t="shared" ref="EN85:EN86" si="619">6/EL85</f>
        <v>2.1823778972059928</v>
      </c>
      <c r="EP85" s="16">
        <f t="shared" si="496"/>
        <v>1.8609132116040155</v>
      </c>
      <c r="EQ85" s="16">
        <f t="shared" si="497"/>
        <v>1.2804548622102927E-2</v>
      </c>
      <c r="ER85" s="16">
        <f t="shared" si="498"/>
        <v>0.30197459405297439</v>
      </c>
      <c r="ES85" s="16">
        <f t="shared" si="499"/>
        <v>2.3498700722771725E-2</v>
      </c>
      <c r="ET85" s="16">
        <f t="shared" si="500"/>
        <v>9.9867657226447748E-2</v>
      </c>
      <c r="EU85" s="16">
        <f t="shared" si="501"/>
        <v>2.7971226604670617E-3</v>
      </c>
      <c r="EV85" s="16">
        <f t="shared" si="502"/>
        <v>0.86192393431992187</v>
      </c>
      <c r="EW85" s="16">
        <f t="shared" si="503"/>
        <v>0.7567283567979014</v>
      </c>
      <c r="EX85" s="16">
        <f t="shared" si="504"/>
        <v>8.2578753566363475E-2</v>
      </c>
      <c r="EY85" s="16">
        <f t="shared" si="505"/>
        <v>1.6921169324516191E-4</v>
      </c>
      <c r="EZ85" s="16">
        <f t="shared" ref="EZ85:EZ86" si="620">DX85*$EN85</f>
        <v>1.6634837496032522E-3</v>
      </c>
      <c r="FB85" s="14">
        <f t="shared" si="506"/>
        <v>-6.0671616968253463</v>
      </c>
      <c r="FC85" s="4">
        <f t="shared" si="507"/>
        <v>1.8475698696336724</v>
      </c>
      <c r="FD85" s="4">
        <f t="shared" si="508"/>
        <v>1.6219959992778832</v>
      </c>
      <c r="FE85" s="4">
        <f t="shared" si="509"/>
        <v>1.8475698696336724</v>
      </c>
      <c r="FG85" s="4">
        <f t="shared" si="510"/>
        <v>2.4401672905157588</v>
      </c>
    </row>
    <row r="86" spans="1:163" x14ac:dyDescent="0.2">
      <c r="A86" s="24" t="s">
        <v>149</v>
      </c>
      <c r="B86" s="60" t="s">
        <v>165</v>
      </c>
      <c r="C86" s="138">
        <v>40.927500000000002</v>
      </c>
      <c r="D86" s="98">
        <v>2.5000000000000001E-3</v>
      </c>
      <c r="E86" s="148">
        <f t="shared" si="584"/>
        <v>2.4765888601986513E-2</v>
      </c>
      <c r="F86" s="138">
        <v>2.75E-2</v>
      </c>
      <c r="G86" s="138">
        <v>9.1362500000000004</v>
      </c>
      <c r="H86" s="138">
        <v>0.12875</v>
      </c>
      <c r="I86" s="138">
        <v>49.333749999999995</v>
      </c>
      <c r="J86" s="150">
        <f t="shared" si="585"/>
        <v>6.1626373340035102E-2</v>
      </c>
      <c r="K86" s="98"/>
      <c r="L86" s="98"/>
      <c r="M86" s="138">
        <v>0.37749999999999995</v>
      </c>
      <c r="N86" s="141">
        <v>131.07496428789284</v>
      </c>
      <c r="O86" s="142">
        <v>440.44114177326298</v>
      </c>
      <c r="P86" s="11"/>
      <c r="Q86" s="140">
        <v>52.306937499999997</v>
      </c>
      <c r="R86" s="140">
        <v>0.18678662500000001</v>
      </c>
      <c r="S86" s="140">
        <v>5.1176624999999998</v>
      </c>
      <c r="T86" s="140">
        <v>1.3227800000000001</v>
      </c>
      <c r="U86" s="140">
        <v>2.9605075000000003</v>
      </c>
      <c r="V86" s="140">
        <v>8.6960750000000003E-2</v>
      </c>
      <c r="W86" s="140">
        <v>16.676449999999999</v>
      </c>
      <c r="X86" s="140">
        <v>19.867625</v>
      </c>
      <c r="Y86" s="140">
        <v>1.0407662500000001</v>
      </c>
      <c r="Z86" s="100">
        <v>3.2838749999999999E-3</v>
      </c>
      <c r="AA86" s="140">
        <v>5.4024875000000007E-2</v>
      </c>
      <c r="AC86" s="139">
        <v>42.538333333333334</v>
      </c>
      <c r="AD86" s="139">
        <v>25.778333333333332</v>
      </c>
      <c r="AE86" s="11"/>
      <c r="AF86" s="83">
        <f t="shared" si="603"/>
        <v>0.28903011427192882</v>
      </c>
      <c r="AG86" s="22">
        <f t="shared" si="448"/>
        <v>5.8220166756227354E-4</v>
      </c>
      <c r="AH86" s="126">
        <f t="shared" si="549"/>
        <v>1058.2068039109161</v>
      </c>
      <c r="AI86" s="126">
        <f t="shared" si="449"/>
        <v>1058.0575859118303</v>
      </c>
      <c r="AJ86" s="126">
        <f t="shared" si="450"/>
        <v>0.1492179990857494</v>
      </c>
      <c r="AK86" s="12"/>
      <c r="AL86" s="25">
        <f t="shared" si="550"/>
        <v>2.4093460968493132</v>
      </c>
      <c r="AN86" s="2">
        <v>15.999000000000001</v>
      </c>
      <c r="AO86" s="2">
        <v>28.085000000000001</v>
      </c>
      <c r="AP86" s="2">
        <v>47.866999999999997</v>
      </c>
      <c r="AQ86" s="2">
        <v>26.9815386</v>
      </c>
      <c r="AR86" s="2">
        <v>51.996099999999998</v>
      </c>
      <c r="AS86" s="2">
        <v>55.844999999999999</v>
      </c>
      <c r="AT86" s="2">
        <v>54.938045000000002</v>
      </c>
      <c r="AU86" s="2">
        <v>24.305</v>
      </c>
      <c r="AV86" s="2">
        <v>40.078000000000003</v>
      </c>
      <c r="AW86" s="2">
        <v>22.989769280000001</v>
      </c>
      <c r="AX86" s="2">
        <v>39.098300000000002</v>
      </c>
      <c r="AY86" s="2">
        <v>58.693399999999997</v>
      </c>
      <c r="BA86" s="2">
        <f t="shared" si="604"/>
        <v>60.082999999999998</v>
      </c>
      <c r="BB86" s="2">
        <f t="shared" si="605"/>
        <v>79.864999999999995</v>
      </c>
      <c r="BC86" s="2">
        <f t="shared" si="606"/>
        <v>101.9600772</v>
      </c>
      <c r="BD86" s="2">
        <f t="shared" si="607"/>
        <v>151.98919999999998</v>
      </c>
      <c r="BE86" s="2">
        <f t="shared" si="608"/>
        <v>71.843999999999994</v>
      </c>
      <c r="BF86" s="2">
        <f t="shared" si="609"/>
        <v>70.937044999999998</v>
      </c>
      <c r="BG86" s="2">
        <f t="shared" si="610"/>
        <v>40.304000000000002</v>
      </c>
      <c r="BH86" s="2">
        <f t="shared" si="611"/>
        <v>56.077000000000005</v>
      </c>
      <c r="BI86" s="2">
        <f t="shared" si="612"/>
        <v>61.978538560000004</v>
      </c>
      <c r="BJ86" s="2">
        <f t="shared" si="613"/>
        <v>94.195599999999999</v>
      </c>
      <c r="BK86" s="2">
        <f t="shared" si="614"/>
        <v>74.692399999999992</v>
      </c>
      <c r="BM86" s="2">
        <f t="shared" si="452"/>
        <v>0.68118269726877823</v>
      </c>
      <c r="BN86" s="2">
        <f t="shared" si="453"/>
        <v>3.1302823514681028E-5</v>
      </c>
      <c r="BO86" s="2">
        <f t="shared" si="454"/>
        <v>2.4289789966917084E-4</v>
      </c>
      <c r="BP86" s="2">
        <f t="shared" si="455"/>
        <v>1.8093390846191706E-4</v>
      </c>
      <c r="BQ86" s="2">
        <f t="shared" si="456"/>
        <v>0.12716789154278715</v>
      </c>
      <c r="BR86" s="2">
        <f t="shared" si="457"/>
        <v>1.8149896150875752E-3</v>
      </c>
      <c r="BS86" s="2">
        <f t="shared" si="458"/>
        <v>1.224041038110361</v>
      </c>
      <c r="BT86" s="2">
        <f t="shared" si="459"/>
        <v>1.0989598826619666E-3</v>
      </c>
      <c r="BU86" s="2">
        <f t="shared" si="460"/>
        <v>0</v>
      </c>
      <c r="BV86" s="2">
        <f t="shared" si="461"/>
        <v>0</v>
      </c>
      <c r="BW86" s="2">
        <f t="shared" si="462"/>
        <v>5.0540617251554378E-3</v>
      </c>
      <c r="BY86" s="2">
        <f t="shared" si="551"/>
        <v>0.68118269726877823</v>
      </c>
      <c r="BZ86" s="2">
        <f t="shared" si="552"/>
        <v>3.1302823514681028E-5</v>
      </c>
      <c r="CA86" s="2">
        <f t="shared" si="553"/>
        <v>4.8579579933834169E-4</v>
      </c>
      <c r="CB86" s="2">
        <f t="shared" si="554"/>
        <v>3.6186781692383412E-4</v>
      </c>
      <c r="CC86" s="2">
        <f t="shared" si="555"/>
        <v>0.12716789154278715</v>
      </c>
      <c r="CD86" s="2">
        <f t="shared" si="556"/>
        <v>1.8149896150875752E-3</v>
      </c>
      <c r="CE86" s="2">
        <f t="shared" si="557"/>
        <v>1.224041038110361</v>
      </c>
      <c r="CF86" s="2">
        <f t="shared" si="558"/>
        <v>1.0989598826619666E-3</v>
      </c>
      <c r="CG86" s="2">
        <f t="shared" si="559"/>
        <v>0</v>
      </c>
      <c r="CH86" s="2">
        <f t="shared" si="560"/>
        <v>0</v>
      </c>
      <c r="CI86" s="2">
        <f t="shared" si="615"/>
        <v>5.0540617251554378E-3</v>
      </c>
      <c r="CK86" s="2">
        <f t="shared" si="561"/>
        <v>1.3623653945375565</v>
      </c>
      <c r="CL86" s="2">
        <f t="shared" si="562"/>
        <v>6.2605647029362056E-5</v>
      </c>
      <c r="CM86" s="2">
        <f t="shared" si="563"/>
        <v>7.2869369900751256E-4</v>
      </c>
      <c r="CN86" s="2">
        <f t="shared" si="564"/>
        <v>5.4280172538575112E-4</v>
      </c>
      <c r="CO86" s="2">
        <f t="shared" si="565"/>
        <v>0.12716789154278715</v>
      </c>
      <c r="CP86" s="2">
        <f t="shared" si="566"/>
        <v>1.8149896150875752E-3</v>
      </c>
      <c r="CQ86" s="2">
        <f t="shared" si="567"/>
        <v>1.224041038110361</v>
      </c>
      <c r="CR86" s="2">
        <f t="shared" si="568"/>
        <v>1.0989598826619666E-3</v>
      </c>
      <c r="CS86" s="2">
        <f t="shared" si="569"/>
        <v>0</v>
      </c>
      <c r="CT86" s="2">
        <f t="shared" si="570"/>
        <v>0</v>
      </c>
      <c r="CU86" s="2">
        <f t="shared" si="571"/>
        <v>5.0540617251554378E-3</v>
      </c>
      <c r="CW86" s="14">
        <f t="shared" si="616"/>
        <v>2.7228764364850324</v>
      </c>
      <c r="CY86" s="14">
        <f t="shared" si="617"/>
        <v>1.4690347113817657</v>
      </c>
      <c r="DA86" s="16">
        <f t="shared" si="470"/>
        <v>1.0006810270804922</v>
      </c>
      <c r="DB86" s="16">
        <f t="shared" si="471"/>
        <v>4.5984934307323794E-5</v>
      </c>
      <c r="DC86" s="16">
        <f t="shared" si="472"/>
        <v>7.1365089187147492E-4</v>
      </c>
      <c r="DD86" s="16">
        <f t="shared" si="473"/>
        <v>5.3159638399305432E-4</v>
      </c>
      <c r="DE86" s="16">
        <f t="shared" si="474"/>
        <v>0.186814046849586</v>
      </c>
      <c r="DF86" s="16">
        <f t="shared" si="475"/>
        <v>2.6662827453610778E-3</v>
      </c>
      <c r="DG86" s="16">
        <f t="shared" si="476"/>
        <v>1.7981587731398911</v>
      </c>
      <c r="DH86" s="16">
        <f t="shared" si="477"/>
        <v>1.614410214046461E-3</v>
      </c>
      <c r="DI86" s="16">
        <f t="shared" si="478"/>
        <v>0</v>
      </c>
      <c r="DJ86" s="16">
        <f t="shared" si="479"/>
        <v>0</v>
      </c>
      <c r="DK86" s="16">
        <f t="shared" si="480"/>
        <v>7.4245921077193472E-3</v>
      </c>
      <c r="DL86" s="16">
        <f t="shared" si="481"/>
        <v>0.90588584137359807</v>
      </c>
      <c r="DN86" s="2">
        <f t="shared" si="482"/>
        <v>0.87057799211091325</v>
      </c>
      <c r="DO86" s="2">
        <f t="shared" si="483"/>
        <v>2.3387795029111628E-3</v>
      </c>
      <c r="DP86" s="2">
        <f t="shared" si="484"/>
        <v>5.0192807229455488E-2</v>
      </c>
      <c r="DQ86" s="2">
        <f t="shared" si="485"/>
        <v>8.7031183794638051E-3</v>
      </c>
      <c r="DR86" s="2">
        <f t="shared" si="486"/>
        <v>4.1207442514336626E-2</v>
      </c>
      <c r="DS86" s="2">
        <f t="shared" si="487"/>
        <v>1.2258862770503057E-3</v>
      </c>
      <c r="DT86" s="2">
        <f t="shared" si="488"/>
        <v>0.41376662366018258</v>
      </c>
      <c r="DU86" s="2">
        <f t="shared" si="489"/>
        <v>0.35429186654064942</v>
      </c>
      <c r="DV86" s="2">
        <f t="shared" si="490"/>
        <v>1.6792365134464377E-2</v>
      </c>
      <c r="DW86" s="2">
        <f t="shared" si="491"/>
        <v>3.486229717736285E-5</v>
      </c>
      <c r="DX86" s="2">
        <f t="shared" si="492"/>
        <v>7.2329815349352826E-4</v>
      </c>
      <c r="DZ86" s="2">
        <f t="shared" si="572"/>
        <v>1.7411559842218265</v>
      </c>
      <c r="EA86" s="2">
        <f t="shared" si="573"/>
        <v>4.6775590058223257E-3</v>
      </c>
      <c r="EB86" s="2">
        <f t="shared" si="574"/>
        <v>0.15057842168836647</v>
      </c>
      <c r="EC86" s="2">
        <f t="shared" si="575"/>
        <v>2.6109355138391417E-2</v>
      </c>
      <c r="ED86" s="2">
        <f t="shared" si="576"/>
        <v>4.1207442514336626E-2</v>
      </c>
      <c r="EE86" s="2">
        <f t="shared" si="577"/>
        <v>1.2258862770503057E-3</v>
      </c>
      <c r="EF86" s="2">
        <f t="shared" si="578"/>
        <v>0.41376662366018258</v>
      </c>
      <c r="EG86" s="2">
        <f t="shared" si="579"/>
        <v>0.35429186654064942</v>
      </c>
      <c r="EH86" s="2">
        <f t="shared" si="580"/>
        <v>1.6792365134464377E-2</v>
      </c>
      <c r="EI86" s="2">
        <f t="shared" si="581"/>
        <v>3.486229717736285E-5</v>
      </c>
      <c r="EJ86" s="2">
        <f t="shared" si="582"/>
        <v>7.2329815349352826E-4</v>
      </c>
      <c r="EL86" s="16">
        <f t="shared" si="618"/>
        <v>2.7505636646317617</v>
      </c>
      <c r="EN86" s="14">
        <f t="shared" si="619"/>
        <v>2.181371068465439</v>
      </c>
      <c r="EP86" s="16">
        <f t="shared" si="496"/>
        <v>1.8990536448334794</v>
      </c>
      <c r="EQ86" s="16">
        <f t="shared" si="497"/>
        <v>5.101745943170392E-3</v>
      </c>
      <c r="ER86" s="16">
        <f t="shared" si="498"/>
        <v>0.21897827507079426</v>
      </c>
      <c r="ES86" s="16">
        <f t="shared" si="499"/>
        <v>3.7969461276784321E-2</v>
      </c>
      <c r="ET86" s="16">
        <f t="shared" si="500"/>
        <v>8.988872290622664E-2</v>
      </c>
      <c r="EU86" s="16">
        <f t="shared" si="501"/>
        <v>2.6741128579863445E-3</v>
      </c>
      <c r="EV86" s="16">
        <f t="shared" si="502"/>
        <v>0.90257854194894971</v>
      </c>
      <c r="EW86" s="16">
        <f t="shared" si="503"/>
        <v>0.77284202746439112</v>
      </c>
      <c r="EX86" s="16">
        <f t="shared" si="504"/>
        <v>7.3260758950856694E-2</v>
      </c>
      <c r="EY86" s="16">
        <f t="shared" si="505"/>
        <v>1.5209521288588732E-4</v>
      </c>
      <c r="EZ86" s="16">
        <f t="shared" si="620"/>
        <v>1.5777816659052568E-3</v>
      </c>
      <c r="FB86" s="14">
        <f t="shared" si="506"/>
        <v>-6.1711049673497884</v>
      </c>
      <c r="FC86" s="4">
        <f t="shared" si="507"/>
        <v>1.8481734560549743</v>
      </c>
      <c r="FD86" s="4">
        <f t="shared" si="508"/>
        <v>1.7859021536372801</v>
      </c>
      <c r="FE86" s="4">
        <f t="shared" si="509"/>
        <v>1.8481734560549743</v>
      </c>
      <c r="FG86" s="4">
        <f t="shared" si="510"/>
        <v>2.4093460968493132</v>
      </c>
    </row>
    <row r="87" spans="1:163" x14ac:dyDescent="0.2">
      <c r="A87" s="24" t="s">
        <v>150</v>
      </c>
      <c r="B87" s="60" t="s">
        <v>165</v>
      </c>
      <c r="C87" s="138">
        <v>40.491666666666667</v>
      </c>
      <c r="D87" s="98">
        <v>2.5000000000000001E-3</v>
      </c>
      <c r="E87" s="148">
        <f t="shared" si="584"/>
        <v>2.5728617050367483E-2</v>
      </c>
      <c r="F87" s="138">
        <v>1.1666666666666667E-2</v>
      </c>
      <c r="G87" s="138">
        <v>10.7125</v>
      </c>
      <c r="H87" s="138">
        <v>0.16166666666666665</v>
      </c>
      <c r="I87" s="138">
        <v>48.094166666666666</v>
      </c>
      <c r="J87" s="150">
        <f t="shared" si="585"/>
        <v>6.3559415470868644E-2</v>
      </c>
      <c r="K87" s="98"/>
      <c r="L87" s="98"/>
      <c r="M87" s="138">
        <v>0.31166666666666665</v>
      </c>
      <c r="N87" s="141">
        <v>136.17026286645273</v>
      </c>
      <c r="O87" s="142">
        <v>454.25651394359073</v>
      </c>
      <c r="P87" s="11"/>
      <c r="Q87" s="140"/>
      <c r="R87" s="140"/>
      <c r="S87" s="140"/>
      <c r="T87" s="140"/>
      <c r="U87" s="140"/>
      <c r="V87" s="140"/>
      <c r="W87" s="140"/>
      <c r="X87" s="140"/>
      <c r="Y87" s="140"/>
      <c r="Z87" s="100"/>
      <c r="AA87" s="140"/>
      <c r="AC87" s="139">
        <v>57.203333333333326</v>
      </c>
      <c r="AD87" s="139">
        <v>9.3949999999999978</v>
      </c>
      <c r="AE87" s="11"/>
      <c r="AF87" s="83">
        <f t="shared" si="603"/>
        <v>9.9243150941590932E-2</v>
      </c>
      <c r="AG87" s="22">
        <f t="shared" si="448"/>
        <v>4.4977478673213951E-4</v>
      </c>
      <c r="AH87" s="126">
        <f t="shared" si="549"/>
        <v>1047.0104029211982</v>
      </c>
      <c r="AI87" s="126">
        <f t="shared" si="449"/>
        <v>1046.8604033624397</v>
      </c>
      <c r="AJ87" s="126">
        <f t="shared" si="450"/>
        <v>0.14999955875850901</v>
      </c>
      <c r="AK87" s="12"/>
      <c r="AL87" s="25">
        <f t="shared" si="550"/>
        <v>2.2268965843771538</v>
      </c>
      <c r="AN87" s="2">
        <v>15.999000000000001</v>
      </c>
      <c r="AO87" s="2">
        <v>28.085000000000001</v>
      </c>
      <c r="AP87" s="2">
        <v>47.866999999999997</v>
      </c>
      <c r="AQ87" s="2">
        <v>26.9815386</v>
      </c>
      <c r="AR87" s="2">
        <v>51.996099999999998</v>
      </c>
      <c r="AS87" s="2">
        <v>55.844999999999999</v>
      </c>
      <c r="AT87" s="2">
        <v>54.938045000000002</v>
      </c>
      <c r="AU87" s="2">
        <v>24.305</v>
      </c>
      <c r="AV87" s="2">
        <v>40.078000000000003</v>
      </c>
      <c r="AW87" s="2">
        <v>22.989769280000001</v>
      </c>
      <c r="AX87" s="2">
        <v>39.098300000000002</v>
      </c>
      <c r="AY87" s="2">
        <v>58.693399999999997</v>
      </c>
      <c r="BA87" s="2">
        <f>AN87*2+AO87</f>
        <v>60.082999999999998</v>
      </c>
      <c r="BB87" s="2">
        <f>AN87*2+AP87</f>
        <v>79.864999999999995</v>
      </c>
      <c r="BC87" s="2">
        <f>AQ87*2+AN87*3</f>
        <v>101.9600772</v>
      </c>
      <c r="BD87" s="2">
        <f>AR87*2+AN87*3</f>
        <v>151.98919999999998</v>
      </c>
      <c r="BE87" s="2">
        <f>AS87+AN87</f>
        <v>71.843999999999994</v>
      </c>
      <c r="BF87" s="2">
        <f>AT87+AN87</f>
        <v>70.937044999999998</v>
      </c>
      <c r="BG87" s="2">
        <f>AU87+AN87</f>
        <v>40.304000000000002</v>
      </c>
      <c r="BH87" s="2">
        <f>AV87+AN87</f>
        <v>56.077000000000005</v>
      </c>
      <c r="BI87" s="2">
        <f>AW87*2+AN87</f>
        <v>61.978538560000004</v>
      </c>
      <c r="BJ87" s="2">
        <f>AX87*2+AN87</f>
        <v>94.195599999999999</v>
      </c>
      <c r="BK87" s="2">
        <f>AY87+AN87</f>
        <v>74.692399999999992</v>
      </c>
      <c r="BM87" s="2">
        <f t="shared" si="452"/>
        <v>0.67392884287846255</v>
      </c>
      <c r="BN87" s="2">
        <f t="shared" si="453"/>
        <v>3.1302823514681028E-5</v>
      </c>
      <c r="BO87" s="2">
        <f t="shared" si="454"/>
        <v>2.5234010954993161E-4</v>
      </c>
      <c r="BP87" s="2">
        <f t="shared" si="455"/>
        <v>7.6759839953540574E-5</v>
      </c>
      <c r="BQ87" s="2">
        <f t="shared" si="456"/>
        <v>0.14910778909860253</v>
      </c>
      <c r="BR87" s="2">
        <f t="shared" si="457"/>
        <v>2.2790160862588321E-3</v>
      </c>
      <c r="BS87" s="2">
        <f t="shared" si="458"/>
        <v>1.193285199153103</v>
      </c>
      <c r="BT87" s="2">
        <f t="shared" si="459"/>
        <v>1.1334310942252375E-3</v>
      </c>
      <c r="BU87" s="2">
        <f t="shared" si="460"/>
        <v>0</v>
      </c>
      <c r="BV87" s="2">
        <f t="shared" si="461"/>
        <v>0</v>
      </c>
      <c r="BW87" s="2">
        <f t="shared" si="462"/>
        <v>4.1726690622696109E-3</v>
      </c>
      <c r="BY87" s="2">
        <f t="shared" si="551"/>
        <v>0.67392884287846255</v>
      </c>
      <c r="BZ87" s="2">
        <f t="shared" si="552"/>
        <v>3.1302823514681028E-5</v>
      </c>
      <c r="CA87" s="2">
        <f t="shared" si="553"/>
        <v>5.0468021909986322E-4</v>
      </c>
      <c r="CB87" s="2">
        <f t="shared" si="554"/>
        <v>1.5351967990708115E-4</v>
      </c>
      <c r="CC87" s="2">
        <f t="shared" si="555"/>
        <v>0.14910778909860253</v>
      </c>
      <c r="CD87" s="2">
        <f t="shared" si="556"/>
        <v>2.2790160862588321E-3</v>
      </c>
      <c r="CE87" s="2">
        <f t="shared" si="557"/>
        <v>1.193285199153103</v>
      </c>
      <c r="CF87" s="2">
        <f t="shared" si="558"/>
        <v>1.1334310942252375E-3</v>
      </c>
      <c r="CG87" s="2">
        <f t="shared" si="559"/>
        <v>0</v>
      </c>
      <c r="CH87" s="2">
        <f t="shared" si="560"/>
        <v>0</v>
      </c>
      <c r="CI87" s="2">
        <f>BW87</f>
        <v>4.1726690622696109E-3</v>
      </c>
      <c r="CK87" s="2">
        <f t="shared" si="561"/>
        <v>1.3478576857569251</v>
      </c>
      <c r="CL87" s="2">
        <f t="shared" si="562"/>
        <v>6.2605647029362056E-5</v>
      </c>
      <c r="CM87" s="2">
        <f t="shared" si="563"/>
        <v>7.5702032864979484E-4</v>
      </c>
      <c r="CN87" s="2">
        <f t="shared" si="564"/>
        <v>2.3027951986062174E-4</v>
      </c>
      <c r="CO87" s="2">
        <f t="shared" si="565"/>
        <v>0.14910778909860253</v>
      </c>
      <c r="CP87" s="2">
        <f t="shared" si="566"/>
        <v>2.2790160862588321E-3</v>
      </c>
      <c r="CQ87" s="2">
        <f t="shared" si="567"/>
        <v>1.193285199153103</v>
      </c>
      <c r="CR87" s="2">
        <f t="shared" si="568"/>
        <v>1.1334310942252375E-3</v>
      </c>
      <c r="CS87" s="2">
        <f t="shared" si="569"/>
        <v>0</v>
      </c>
      <c r="CT87" s="2">
        <f t="shared" si="570"/>
        <v>0</v>
      </c>
      <c r="CU87" s="2">
        <f t="shared" si="571"/>
        <v>4.1726690622696109E-3</v>
      </c>
      <c r="CW87" s="14">
        <f>SUM(CK87:CU87)</f>
        <v>2.6988856957469238</v>
      </c>
      <c r="CY87" s="14">
        <f>4/CW87</f>
        <v>1.4820931491479816</v>
      </c>
      <c r="DA87" s="16">
        <f t="shared" si="470"/>
        <v>0.99882532104339583</v>
      </c>
      <c r="DB87" s="16">
        <f t="shared" si="471"/>
        <v>4.6393700280097095E-5</v>
      </c>
      <c r="DC87" s="16">
        <f t="shared" si="472"/>
        <v>7.4798309523840963E-4</v>
      </c>
      <c r="DD87" s="16">
        <f t="shared" si="473"/>
        <v>2.2753046584967601E-4</v>
      </c>
      <c r="DE87" s="16">
        <f t="shared" si="474"/>
        <v>0.22099163270764091</v>
      </c>
      <c r="DF87" s="16">
        <f t="shared" si="475"/>
        <v>3.3777141282422605E-3</v>
      </c>
      <c r="DG87" s="16">
        <f t="shared" si="476"/>
        <v>1.7685598186444988</v>
      </c>
      <c r="DH87" s="16">
        <f t="shared" si="477"/>
        <v>1.6798504597825249E-3</v>
      </c>
      <c r="DI87" s="16">
        <f t="shared" si="478"/>
        <v>0</v>
      </c>
      <c r="DJ87" s="16">
        <f t="shared" si="479"/>
        <v>0</v>
      </c>
      <c r="DK87" s="16">
        <f t="shared" si="480"/>
        <v>6.1842842308515228E-3</v>
      </c>
      <c r="DL87" s="16">
        <f t="shared" si="481"/>
        <v>0.88892389158498486</v>
      </c>
      <c r="DN87" s="2">
        <f t="shared" si="482"/>
        <v>0</v>
      </c>
      <c r="DO87" s="2">
        <f t="shared" si="483"/>
        <v>0</v>
      </c>
      <c r="DP87" s="2">
        <f t="shared" si="484"/>
        <v>0</v>
      </c>
      <c r="DQ87" s="2">
        <f t="shared" si="485"/>
        <v>0</v>
      </c>
      <c r="DR87" s="2">
        <f t="shared" si="486"/>
        <v>0</v>
      </c>
      <c r="DS87" s="2">
        <f t="shared" si="487"/>
        <v>0</v>
      </c>
      <c r="DT87" s="2">
        <f t="shared" si="488"/>
        <v>0</v>
      </c>
      <c r="DU87" s="2">
        <f t="shared" si="489"/>
        <v>0</v>
      </c>
      <c r="DV87" s="2">
        <f t="shared" si="490"/>
        <v>0</v>
      </c>
      <c r="DW87" s="2">
        <f t="shared" si="491"/>
        <v>0</v>
      </c>
      <c r="DX87" s="2">
        <f t="shared" si="492"/>
        <v>0</v>
      </c>
      <c r="DZ87" s="2">
        <f t="shared" si="572"/>
        <v>0</v>
      </c>
      <c r="EA87" s="2">
        <f t="shared" si="573"/>
        <v>0</v>
      </c>
      <c r="EB87" s="2">
        <f t="shared" si="574"/>
        <v>0</v>
      </c>
      <c r="EC87" s="2">
        <f t="shared" si="575"/>
        <v>0</v>
      </c>
      <c r="ED87" s="2">
        <f t="shared" si="576"/>
        <v>0</v>
      </c>
      <c r="EE87" s="2">
        <f t="shared" si="577"/>
        <v>0</v>
      </c>
      <c r="EF87" s="2">
        <f t="shared" si="578"/>
        <v>0</v>
      </c>
      <c r="EG87" s="2">
        <f t="shared" si="579"/>
        <v>0</v>
      </c>
      <c r="EH87" s="2">
        <f t="shared" si="580"/>
        <v>0</v>
      </c>
      <c r="EI87" s="2">
        <f t="shared" si="581"/>
        <v>0</v>
      </c>
      <c r="EJ87" s="2">
        <f t="shared" si="582"/>
        <v>0</v>
      </c>
      <c r="EL87" s="16">
        <f>SUM(DZ87:EJ87)</f>
        <v>0</v>
      </c>
      <c r="EN87" s="14" t="e">
        <f>6/EL87</f>
        <v>#DIV/0!</v>
      </c>
      <c r="EP87" s="16" t="e">
        <f t="shared" si="496"/>
        <v>#DIV/0!</v>
      </c>
      <c r="EQ87" s="16" t="e">
        <f t="shared" si="497"/>
        <v>#DIV/0!</v>
      </c>
      <c r="ER87" s="16" t="e">
        <f t="shared" si="498"/>
        <v>#DIV/0!</v>
      </c>
      <c r="ES87" s="16" t="e">
        <f t="shared" si="499"/>
        <v>#DIV/0!</v>
      </c>
      <c r="ET87" s="16" t="e">
        <f t="shared" si="500"/>
        <v>#DIV/0!</v>
      </c>
      <c r="EU87" s="16" t="e">
        <f t="shared" si="501"/>
        <v>#DIV/0!</v>
      </c>
      <c r="EV87" s="16" t="e">
        <f t="shared" si="502"/>
        <v>#DIV/0!</v>
      </c>
      <c r="EW87" s="16" t="e">
        <f t="shared" si="503"/>
        <v>#DIV/0!</v>
      </c>
      <c r="EX87" s="16" t="e">
        <f t="shared" si="504"/>
        <v>#DIV/0!</v>
      </c>
      <c r="EY87" s="16" t="e">
        <f t="shared" si="505"/>
        <v>#DIV/0!</v>
      </c>
      <c r="EZ87" s="16" t="e">
        <f t="shared" ref="EZ87:EZ92" si="621">DX87*$EN87</f>
        <v>#DIV/0!</v>
      </c>
      <c r="FB87" s="14" t="e">
        <f t="shared" si="506"/>
        <v>#DIV/0!</v>
      </c>
      <c r="FC87" s="4" t="e">
        <f t="shared" si="507"/>
        <v>#DIV/0!</v>
      </c>
      <c r="FD87" s="4" t="e">
        <f t="shared" si="508"/>
        <v>#DIV/0!</v>
      </c>
      <c r="FE87" s="4" t="e">
        <f t="shared" si="509"/>
        <v>#DIV/0!</v>
      </c>
      <c r="FG87" s="4">
        <f t="shared" si="510"/>
        <v>2.2268965843771538</v>
      </c>
    </row>
    <row r="88" spans="1:163" x14ac:dyDescent="0.2">
      <c r="A88" s="24" t="s">
        <v>151</v>
      </c>
      <c r="B88" s="60" t="s">
        <v>165</v>
      </c>
      <c r="C88" s="138">
        <v>40.57</v>
      </c>
      <c r="D88" s="98">
        <v>0.01</v>
      </c>
      <c r="E88" s="148">
        <f t="shared" si="584"/>
        <v>2.2573672466784281E-2</v>
      </c>
      <c r="F88" s="138">
        <v>1.4999999999999999E-2</v>
      </c>
      <c r="G88" s="138">
        <v>9.8383333333333329</v>
      </c>
      <c r="H88" s="138">
        <v>0.13833333333333334</v>
      </c>
      <c r="I88" s="138">
        <v>48.88</v>
      </c>
      <c r="J88" s="150">
        <f t="shared" si="585"/>
        <v>5.624874356920391E-2</v>
      </c>
      <c r="K88" s="98"/>
      <c r="L88" s="98"/>
      <c r="M88" s="138">
        <v>0.36499999999999994</v>
      </c>
      <c r="N88" s="141">
        <v>119.47252771673234</v>
      </c>
      <c r="O88" s="142">
        <v>402.00744418684206</v>
      </c>
      <c r="P88" s="11"/>
      <c r="Q88" s="140">
        <v>51.182499999999997</v>
      </c>
      <c r="R88" s="140">
        <v>0.48390412499999996</v>
      </c>
      <c r="S88" s="140">
        <v>7.4502612499999996</v>
      </c>
      <c r="T88" s="140">
        <v>0.79719112499999989</v>
      </c>
      <c r="U88" s="140">
        <v>3.3011762500000001</v>
      </c>
      <c r="V88" s="140">
        <v>9.5331625000000003E-2</v>
      </c>
      <c r="W88" s="140">
        <v>15.624774999999998</v>
      </c>
      <c r="X88" s="140">
        <v>18.977487499999999</v>
      </c>
      <c r="Y88" s="140">
        <v>1.5011887500000003</v>
      </c>
      <c r="Z88" s="100">
        <v>2.5964999999999998E-3</v>
      </c>
      <c r="AA88" s="140">
        <v>5.6208375000000005E-2</v>
      </c>
      <c r="AC88" s="139">
        <v>57.84375</v>
      </c>
      <c r="AD88" s="139">
        <v>9.9987499999999994</v>
      </c>
      <c r="AE88" s="11"/>
      <c r="AF88" s="83">
        <f t="shared" si="603"/>
        <v>0.10391023133834459</v>
      </c>
      <c r="AG88" s="22">
        <f t="shared" si="448"/>
        <v>3.9025257641118154E-4</v>
      </c>
      <c r="AH88" s="126">
        <f t="shared" si="549"/>
        <v>1024.4955963200264</v>
      </c>
      <c r="AI88" s="126">
        <f t="shared" si="449"/>
        <v>1024.3455970991301</v>
      </c>
      <c r="AJ88" s="126">
        <f t="shared" si="450"/>
        <v>0.14999922089623396</v>
      </c>
      <c r="AK88" s="12"/>
      <c r="AL88" s="25">
        <f t="shared" si="550"/>
        <v>2.1622741051768197</v>
      </c>
      <c r="AN88" s="2">
        <v>15.999000000000001</v>
      </c>
      <c r="AO88" s="2">
        <v>28.085000000000001</v>
      </c>
      <c r="AP88" s="2">
        <v>47.866999999999997</v>
      </c>
      <c r="AQ88" s="2">
        <v>26.9815386</v>
      </c>
      <c r="AR88" s="2">
        <v>51.996099999999998</v>
      </c>
      <c r="AS88" s="2">
        <v>55.844999999999999</v>
      </c>
      <c r="AT88" s="2">
        <v>54.938045000000002</v>
      </c>
      <c r="AU88" s="2">
        <v>24.305</v>
      </c>
      <c r="AV88" s="2">
        <v>40.078000000000003</v>
      </c>
      <c r="AW88" s="2">
        <v>22.989769280000001</v>
      </c>
      <c r="AX88" s="2">
        <v>39.098300000000002</v>
      </c>
      <c r="AY88" s="2">
        <v>58.693399999999997</v>
      </c>
      <c r="BA88" s="2">
        <f t="shared" ref="BA88" si="622">AN88*2+AO88</f>
        <v>60.082999999999998</v>
      </c>
      <c r="BB88" s="2">
        <f t="shared" ref="BB88" si="623">AN88*2+AP88</f>
        <v>79.864999999999995</v>
      </c>
      <c r="BC88" s="2">
        <f t="shared" ref="BC88" si="624">AQ88*2+AN88*3</f>
        <v>101.9600772</v>
      </c>
      <c r="BD88" s="2">
        <f t="shared" ref="BD88" si="625">AR88*2+AN88*3</f>
        <v>151.98919999999998</v>
      </c>
      <c r="BE88" s="2">
        <f t="shared" ref="BE88" si="626">AS88+AN88</f>
        <v>71.843999999999994</v>
      </c>
      <c r="BF88" s="2">
        <f t="shared" ref="BF88" si="627">AT88+AN88</f>
        <v>70.937044999999998</v>
      </c>
      <c r="BG88" s="2">
        <f t="shared" ref="BG88" si="628">AU88+AN88</f>
        <v>40.304000000000002</v>
      </c>
      <c r="BH88" s="2">
        <f t="shared" ref="BH88" si="629">AV88+AN88</f>
        <v>56.077000000000005</v>
      </c>
      <c r="BI88" s="2">
        <f t="shared" ref="BI88" si="630">AW88*2+AN88</f>
        <v>61.978538560000004</v>
      </c>
      <c r="BJ88" s="2">
        <f t="shared" ref="BJ88" si="631">AX88*2+AN88</f>
        <v>94.195599999999999</v>
      </c>
      <c r="BK88" s="2">
        <f t="shared" ref="BK88" si="632">AY88+AN88</f>
        <v>74.692399999999992</v>
      </c>
      <c r="BM88" s="2">
        <f t="shared" si="452"/>
        <v>0.67523259491037402</v>
      </c>
      <c r="BN88" s="2">
        <f t="shared" si="453"/>
        <v>1.2521129405872411E-4</v>
      </c>
      <c r="BO88" s="2">
        <f t="shared" si="454"/>
        <v>2.2139716923227557E-4</v>
      </c>
      <c r="BP88" s="2">
        <f t="shared" si="455"/>
        <v>9.86912227974093E-5</v>
      </c>
      <c r="BQ88" s="2">
        <f t="shared" si="456"/>
        <v>0.13694022233357461</v>
      </c>
      <c r="BR88" s="2">
        <f t="shared" si="457"/>
        <v>1.9500859294792072E-3</v>
      </c>
      <c r="BS88" s="2">
        <f t="shared" si="458"/>
        <v>1.2127828503374356</v>
      </c>
      <c r="BT88" s="2">
        <f t="shared" si="459"/>
        <v>1.0030626383223764E-3</v>
      </c>
      <c r="BU88" s="2">
        <f t="shared" si="460"/>
        <v>0</v>
      </c>
      <c r="BV88" s="2">
        <f t="shared" si="461"/>
        <v>0</v>
      </c>
      <c r="BW88" s="2">
        <f t="shared" si="462"/>
        <v>4.8867086878986348E-3</v>
      </c>
      <c r="BY88" s="2">
        <f t="shared" si="551"/>
        <v>0.67523259491037402</v>
      </c>
      <c r="BZ88" s="2">
        <f t="shared" si="552"/>
        <v>1.2521129405872411E-4</v>
      </c>
      <c r="CA88" s="2">
        <f t="shared" si="553"/>
        <v>4.4279433846455113E-4</v>
      </c>
      <c r="CB88" s="2">
        <f t="shared" si="554"/>
        <v>1.973824455948186E-4</v>
      </c>
      <c r="CC88" s="2">
        <f t="shared" si="555"/>
        <v>0.13694022233357461</v>
      </c>
      <c r="CD88" s="2">
        <f t="shared" si="556"/>
        <v>1.9500859294792072E-3</v>
      </c>
      <c r="CE88" s="2">
        <f t="shared" si="557"/>
        <v>1.2127828503374356</v>
      </c>
      <c r="CF88" s="2">
        <f t="shared" si="558"/>
        <v>1.0030626383223764E-3</v>
      </c>
      <c r="CG88" s="2">
        <f t="shared" si="559"/>
        <v>0</v>
      </c>
      <c r="CH88" s="2">
        <f t="shared" si="560"/>
        <v>0</v>
      </c>
      <c r="CI88" s="2">
        <f t="shared" ref="CI88" si="633">BW88</f>
        <v>4.8867086878986348E-3</v>
      </c>
      <c r="CK88" s="2">
        <f t="shared" si="561"/>
        <v>1.350465189820748</v>
      </c>
      <c r="CL88" s="2">
        <f t="shared" si="562"/>
        <v>2.5042258811744822E-4</v>
      </c>
      <c r="CM88" s="2">
        <f t="shared" si="563"/>
        <v>6.641915076968267E-4</v>
      </c>
      <c r="CN88" s="2">
        <f t="shared" si="564"/>
        <v>2.960736683922279E-4</v>
      </c>
      <c r="CO88" s="2">
        <f t="shared" si="565"/>
        <v>0.13694022233357461</v>
      </c>
      <c r="CP88" s="2">
        <f t="shared" si="566"/>
        <v>1.9500859294792072E-3</v>
      </c>
      <c r="CQ88" s="2">
        <f t="shared" si="567"/>
        <v>1.2127828503374356</v>
      </c>
      <c r="CR88" s="2">
        <f t="shared" si="568"/>
        <v>1.0030626383223764E-3</v>
      </c>
      <c r="CS88" s="2">
        <f t="shared" si="569"/>
        <v>0</v>
      </c>
      <c r="CT88" s="2">
        <f t="shared" si="570"/>
        <v>0</v>
      </c>
      <c r="CU88" s="2">
        <f t="shared" si="571"/>
        <v>4.8867086878986348E-3</v>
      </c>
      <c r="CW88" s="14">
        <f t="shared" ref="CW88" si="634">SUM(CK88:CU88)</f>
        <v>2.7092388075116647</v>
      </c>
      <c r="CY88" s="14">
        <f t="shared" ref="CY88" si="635">4/CW88</f>
        <v>1.476429463844072</v>
      </c>
      <c r="DA88" s="16">
        <f t="shared" si="470"/>
        <v>0.99693329807356501</v>
      </c>
      <c r="DB88" s="16">
        <f t="shared" si="471"/>
        <v>1.848656437543445E-4</v>
      </c>
      <c r="DC88" s="16">
        <f t="shared" si="472"/>
        <v>6.5375460773240779E-4</v>
      </c>
      <c r="DD88" s="16">
        <f t="shared" si="473"/>
        <v>2.9142125832178973E-4</v>
      </c>
      <c r="DE88" s="16">
        <f t="shared" si="474"/>
        <v>0.20218257903864759</v>
      </c>
      <c r="DF88" s="16">
        <f t="shared" si="475"/>
        <v>2.8791643233108547E-3</v>
      </c>
      <c r="DG88" s="16">
        <f t="shared" si="476"/>
        <v>1.7905883334829855</v>
      </c>
      <c r="DH88" s="16">
        <f t="shared" si="477"/>
        <v>1.4809512333003264E-3</v>
      </c>
      <c r="DI88" s="16">
        <f t="shared" si="478"/>
        <v>0</v>
      </c>
      <c r="DJ88" s="16">
        <f t="shared" si="479"/>
        <v>0</v>
      </c>
      <c r="DK88" s="16">
        <f t="shared" si="480"/>
        <v>7.21488068803635E-3</v>
      </c>
      <c r="DL88" s="16">
        <f t="shared" si="481"/>
        <v>0.89854198605156899</v>
      </c>
      <c r="DN88" s="2">
        <f t="shared" si="482"/>
        <v>0.85186325582943589</v>
      </c>
      <c r="DO88" s="2">
        <f t="shared" si="483"/>
        <v>6.0590261691604586E-3</v>
      </c>
      <c r="DP88" s="2">
        <f t="shared" si="484"/>
        <v>7.3070376706227125E-2</v>
      </c>
      <c r="DQ88" s="2">
        <f t="shared" si="485"/>
        <v>5.2450511286328237E-3</v>
      </c>
      <c r="DR88" s="2">
        <f t="shared" si="486"/>
        <v>4.5949226796948954E-2</v>
      </c>
      <c r="DS88" s="2">
        <f t="shared" si="487"/>
        <v>1.3438905581702762E-3</v>
      </c>
      <c r="DT88" s="2">
        <f t="shared" si="488"/>
        <v>0.38767305974593086</v>
      </c>
      <c r="DU88" s="2">
        <f t="shared" si="489"/>
        <v>0.33841838008452657</v>
      </c>
      <c r="DV88" s="2">
        <f t="shared" si="490"/>
        <v>2.4221105964716057E-2</v>
      </c>
      <c r="DW88" s="2">
        <f t="shared" si="491"/>
        <v>2.7564981803820985E-5</v>
      </c>
      <c r="DX88" s="2">
        <f t="shared" si="492"/>
        <v>7.5253138204154659E-4</v>
      </c>
      <c r="DZ88" s="2">
        <f t="shared" si="572"/>
        <v>1.7037265116588718</v>
      </c>
      <c r="EA88" s="2">
        <f t="shared" si="573"/>
        <v>1.2118052338320917E-2</v>
      </c>
      <c r="EB88" s="2">
        <f t="shared" si="574"/>
        <v>0.21921113011868137</v>
      </c>
      <c r="EC88" s="2">
        <f t="shared" si="575"/>
        <v>1.5735153385898471E-2</v>
      </c>
      <c r="ED88" s="2">
        <f t="shared" si="576"/>
        <v>4.5949226796948954E-2</v>
      </c>
      <c r="EE88" s="2">
        <f t="shared" si="577"/>
        <v>1.3438905581702762E-3</v>
      </c>
      <c r="EF88" s="2">
        <f t="shared" si="578"/>
        <v>0.38767305974593086</v>
      </c>
      <c r="EG88" s="2">
        <f t="shared" si="579"/>
        <v>0.33841838008452657</v>
      </c>
      <c r="EH88" s="2">
        <f t="shared" si="580"/>
        <v>2.4221105964716057E-2</v>
      </c>
      <c r="EI88" s="2">
        <f t="shared" si="581"/>
        <v>2.7564981803820985E-5</v>
      </c>
      <c r="EJ88" s="2">
        <f t="shared" si="582"/>
        <v>7.5253138204154659E-4</v>
      </c>
      <c r="EL88" s="16">
        <f t="shared" ref="EL88" si="636">SUM(DZ88:EJ88)</f>
        <v>2.7491766070159103</v>
      </c>
      <c r="EN88" s="14">
        <f t="shared" ref="EN88" si="637">6/EL88</f>
        <v>2.1824716479428696</v>
      </c>
      <c r="EP88" s="16">
        <f t="shared" si="496"/>
        <v>1.8591674037720474</v>
      </c>
      <c r="EQ88" s="16">
        <f t="shared" si="497"/>
        <v>1.3223652828336598E-2</v>
      </c>
      <c r="ER88" s="16">
        <f t="shared" si="498"/>
        <v>0.3189480509316916</v>
      </c>
      <c r="ES88" s="16">
        <f t="shared" si="499"/>
        <v>2.2894350760503775E-2</v>
      </c>
      <c r="ET88" s="16">
        <f t="shared" si="500"/>
        <v>0.10028288472923785</v>
      </c>
      <c r="EU88" s="16">
        <f t="shared" si="501"/>
        <v>2.9330030411447456E-3</v>
      </c>
      <c r="EV88" s="16">
        <f t="shared" si="502"/>
        <v>0.84608546156675624</v>
      </c>
      <c r="EW88" s="16">
        <f t="shared" si="503"/>
        <v>0.73858851967723316</v>
      </c>
      <c r="EX88" s="16">
        <f t="shared" si="504"/>
        <v>0.10572375409962545</v>
      </c>
      <c r="EY88" s="16">
        <f t="shared" si="505"/>
        <v>1.203195825258008E-4</v>
      </c>
      <c r="EZ88" s="16">
        <f t="shared" si="621"/>
        <v>1.6423784054929395E-3</v>
      </c>
      <c r="FB88" s="14">
        <f t="shared" si="506"/>
        <v>-6.2120563524220662</v>
      </c>
      <c r="FC88" s="4">
        <f t="shared" si="507"/>
        <v>1.3560050962184547</v>
      </c>
      <c r="FD88" s="4">
        <f t="shared" si="508"/>
        <v>1.5205794493163387</v>
      </c>
      <c r="FE88" s="4">
        <f t="shared" si="509"/>
        <v>1.5205794493163387</v>
      </c>
      <c r="FG88" s="4">
        <f t="shared" si="510"/>
        <v>2.1622741051768197</v>
      </c>
    </row>
    <row r="89" spans="1:163" x14ac:dyDescent="0.2">
      <c r="A89" s="24" t="s">
        <v>152</v>
      </c>
      <c r="B89" s="60" t="s">
        <v>165</v>
      </c>
      <c r="C89" s="138">
        <v>40.65</v>
      </c>
      <c r="D89" s="98"/>
      <c r="E89" s="148">
        <f t="shared" si="584"/>
        <v>3.0872078890684631E-2</v>
      </c>
      <c r="F89" s="138">
        <v>1.1250000000000001E-2</v>
      </c>
      <c r="G89" s="138">
        <v>10.389999999999999</v>
      </c>
      <c r="H89" s="138">
        <v>0.14250000000000002</v>
      </c>
      <c r="I89" s="138">
        <v>48.214999999999996</v>
      </c>
      <c r="J89" s="150">
        <f t="shared" si="585"/>
        <v>6.8994194043107318E-2</v>
      </c>
      <c r="K89" s="98"/>
      <c r="L89" s="98">
        <v>1.25E-3</v>
      </c>
      <c r="M89" s="138">
        <v>0.36874999999999997</v>
      </c>
      <c r="N89" s="141">
        <v>163.39234594493482</v>
      </c>
      <c r="O89" s="142">
        <v>493.0986516503479</v>
      </c>
      <c r="P89" s="11"/>
      <c r="Q89" s="140">
        <v>51.244700000000002</v>
      </c>
      <c r="R89" s="140">
        <v>0.45751349999999996</v>
      </c>
      <c r="S89" s="140">
        <v>7.2919625000000012</v>
      </c>
      <c r="T89" s="140">
        <v>0.68367849999999997</v>
      </c>
      <c r="U89" s="140">
        <v>3.5455749999999999</v>
      </c>
      <c r="V89" s="140">
        <v>0.10016512499999999</v>
      </c>
      <c r="W89" s="140">
        <v>15.8035125</v>
      </c>
      <c r="X89" s="140">
        <v>19.341825</v>
      </c>
      <c r="Y89" s="140">
        <v>1.1975787500000001</v>
      </c>
      <c r="Z89" s="100">
        <v>2.6947500000000001E-3</v>
      </c>
      <c r="AA89" s="140">
        <v>6.0145499999999998E-2</v>
      </c>
      <c r="AC89" s="139">
        <v>57.728333333333332</v>
      </c>
      <c r="AD89" s="139">
        <v>8.7133333333333329</v>
      </c>
      <c r="AE89" s="11"/>
      <c r="AF89" s="83">
        <f>AD89/151.9892/(AD89/151.9892+AC89/101.9601)</f>
        <v>9.1944398260761576E-2</v>
      </c>
      <c r="AG89" s="22">
        <f t="shared" si="448"/>
        <v>5.3478209239861364E-4</v>
      </c>
      <c r="AH89" s="126">
        <f t="shared" ref="AH89:AH94" si="638">10000/(0.575+0.884*AF89-0.897*LN(AG89))-273</f>
        <v>1075.8061227306962</v>
      </c>
      <c r="AI89" s="126">
        <f t="shared" si="449"/>
        <v>1075.6562189277004</v>
      </c>
      <c r="AJ89" s="126">
        <f t="shared" si="450"/>
        <v>0.14990380299582284</v>
      </c>
      <c r="AK89" s="12"/>
      <c r="AL89" s="25">
        <f t="shared" ref="AL89:AL94" si="639">FG89</f>
        <v>2.4249542340861914</v>
      </c>
      <c r="AN89" s="2">
        <v>15.999000000000001</v>
      </c>
      <c r="AO89" s="2">
        <v>28.085000000000001</v>
      </c>
      <c r="AP89" s="2">
        <v>47.866999999999997</v>
      </c>
      <c r="AQ89" s="2">
        <v>26.9815386</v>
      </c>
      <c r="AR89" s="2">
        <v>51.996099999999998</v>
      </c>
      <c r="AS89" s="2">
        <v>55.844999999999999</v>
      </c>
      <c r="AT89" s="2">
        <v>54.938045000000002</v>
      </c>
      <c r="AU89" s="2">
        <v>24.305</v>
      </c>
      <c r="AV89" s="2">
        <v>40.078000000000003</v>
      </c>
      <c r="AW89" s="2">
        <v>22.989769280000001</v>
      </c>
      <c r="AX89" s="2">
        <v>39.098300000000002</v>
      </c>
      <c r="AY89" s="2">
        <v>58.693399999999997</v>
      </c>
      <c r="BA89" s="2">
        <f>AN89*2+AO89</f>
        <v>60.082999999999998</v>
      </c>
      <c r="BB89" s="2">
        <f>AN89*2+AP89</f>
        <v>79.864999999999995</v>
      </c>
      <c r="BC89" s="2">
        <f>AQ89*2+AN89*3</f>
        <v>101.9600772</v>
      </c>
      <c r="BD89" s="2">
        <f>AR89*2+AN89*3</f>
        <v>151.98919999999998</v>
      </c>
      <c r="BE89" s="2">
        <f>AS89+AN89</f>
        <v>71.843999999999994</v>
      </c>
      <c r="BF89" s="2">
        <f>AT89+AN89</f>
        <v>70.937044999999998</v>
      </c>
      <c r="BG89" s="2">
        <f>AU89+AN89</f>
        <v>40.304000000000002</v>
      </c>
      <c r="BH89" s="2">
        <f>AV89+AN89</f>
        <v>56.077000000000005</v>
      </c>
      <c r="BI89" s="2">
        <f>AW89*2+AN89</f>
        <v>61.978538560000004</v>
      </c>
      <c r="BJ89" s="2">
        <f>AX89*2+AN89</f>
        <v>94.195599999999999</v>
      </c>
      <c r="BK89" s="2">
        <f>AY89+AN89</f>
        <v>74.692399999999992</v>
      </c>
      <c r="BM89" s="2">
        <f t="shared" si="452"/>
        <v>0.67656408634721965</v>
      </c>
      <c r="BN89" s="2">
        <f t="shared" si="453"/>
        <v>0</v>
      </c>
      <c r="BO89" s="2">
        <f t="shared" si="454"/>
        <v>3.0278595052578706E-4</v>
      </c>
      <c r="BP89" s="2">
        <f t="shared" si="455"/>
        <v>7.4018417098056989E-5</v>
      </c>
      <c r="BQ89" s="2">
        <f t="shared" si="456"/>
        <v>0.1446188964979678</v>
      </c>
      <c r="BR89" s="2">
        <f t="shared" si="457"/>
        <v>2.008823457475569E-3</v>
      </c>
      <c r="BS89" s="2">
        <f t="shared" si="458"/>
        <v>1.1962832473203651</v>
      </c>
      <c r="BT89" s="2">
        <f t="shared" si="459"/>
        <v>1.2303474515952585E-3</v>
      </c>
      <c r="BU89" s="2">
        <f t="shared" si="460"/>
        <v>0</v>
      </c>
      <c r="BV89" s="2">
        <f t="shared" si="461"/>
        <v>1.32702589080594E-5</v>
      </c>
      <c r="BW89" s="2">
        <f t="shared" si="462"/>
        <v>4.9369145990756759E-3</v>
      </c>
      <c r="BY89" s="2">
        <f t="shared" ref="BY89:BY94" si="640">BM89</f>
        <v>0.67656408634721965</v>
      </c>
      <c r="BZ89" s="2">
        <f t="shared" ref="BZ89:BZ94" si="641">BN89</f>
        <v>0</v>
      </c>
      <c r="CA89" s="2">
        <f t="shared" ref="CA89:CA94" si="642">BO89*2</f>
        <v>6.0557190105157413E-4</v>
      </c>
      <c r="CB89" s="2">
        <f t="shared" ref="CB89:CB94" si="643">BP89*2</f>
        <v>1.4803683419611398E-4</v>
      </c>
      <c r="CC89" s="2">
        <f t="shared" ref="CC89:CC94" si="644">BQ89</f>
        <v>0.1446188964979678</v>
      </c>
      <c r="CD89" s="2">
        <f t="shared" ref="CD89:CD94" si="645">BR89</f>
        <v>2.008823457475569E-3</v>
      </c>
      <c r="CE89" s="2">
        <f t="shared" ref="CE89:CE94" si="646">BS89</f>
        <v>1.1962832473203651</v>
      </c>
      <c r="CF89" s="2">
        <f t="shared" ref="CF89:CF94" si="647">BT89</f>
        <v>1.2303474515952585E-3</v>
      </c>
      <c r="CG89" s="2">
        <f t="shared" ref="CG89:CG94" si="648">BU89*2</f>
        <v>0</v>
      </c>
      <c r="CH89" s="2">
        <f t="shared" ref="CH89:CH94" si="649">BV89*2</f>
        <v>2.65405178161188E-5</v>
      </c>
      <c r="CI89" s="2">
        <f>BW89</f>
        <v>4.9369145990756759E-3</v>
      </c>
      <c r="CK89" s="2">
        <f t="shared" ref="CK89:CK94" si="650">BM89*2</f>
        <v>1.3531281726944393</v>
      </c>
      <c r="CL89" s="2">
        <f t="shared" ref="CL89:CL94" si="651">BN89*2</f>
        <v>0</v>
      </c>
      <c r="CM89" s="2">
        <f t="shared" ref="CM89:CM94" si="652">BO89*3</f>
        <v>9.0835785157736119E-4</v>
      </c>
      <c r="CN89" s="2">
        <f t="shared" ref="CN89:CN94" si="653">BP89*3</f>
        <v>2.2205525129417097E-4</v>
      </c>
      <c r="CO89" s="2">
        <f t="shared" ref="CO89:CO94" si="654">BQ89</f>
        <v>0.1446188964979678</v>
      </c>
      <c r="CP89" s="2">
        <f t="shared" ref="CP89:CP94" si="655">BR89</f>
        <v>2.008823457475569E-3</v>
      </c>
      <c r="CQ89" s="2">
        <f t="shared" ref="CQ89:CQ94" si="656">BS89</f>
        <v>1.1962832473203651</v>
      </c>
      <c r="CR89" s="2">
        <f t="shared" ref="CR89:CR94" si="657">BT89</f>
        <v>1.2303474515952585E-3</v>
      </c>
      <c r="CS89" s="2">
        <f t="shared" ref="CS89:CS94" si="658">BU89</f>
        <v>0</v>
      </c>
      <c r="CT89" s="2">
        <f t="shared" ref="CT89:CT94" si="659">BV89</f>
        <v>1.32702589080594E-5</v>
      </c>
      <c r="CU89" s="2">
        <f t="shared" ref="CU89:CU94" si="660">BW89</f>
        <v>4.9369145990756759E-3</v>
      </c>
      <c r="CW89" s="14">
        <f>SUM(CK89:CU89)</f>
        <v>2.7033500853826986</v>
      </c>
      <c r="CY89" s="14">
        <f>4/CW89</f>
        <v>1.4796455781396665</v>
      </c>
      <c r="DA89" s="16">
        <f t="shared" ref="DA89:DA94" si="661">BY89*$CY89</f>
        <v>1.0010750586917669</v>
      </c>
      <c r="DB89" s="16">
        <f t="shared" ref="DB89:DB94" si="662">BZ89*$CY89</f>
        <v>0</v>
      </c>
      <c r="DC89" s="16">
        <f t="shared" ref="DC89:DC94" si="663">CA89*$CY89</f>
        <v>8.9603178563659326E-4</v>
      </c>
      <c r="DD89" s="16">
        <f t="shared" ref="DD89:DD94" si="664">CB89*$CY89</f>
        <v>2.1904204712007501E-4</v>
      </c>
      <c r="DE89" s="16">
        <f t="shared" ref="DE89:DE94" si="665">CC89*$CY89</f>
        <v>0.21398471071865616</v>
      </c>
      <c r="DF89" s="16">
        <f t="shared" ref="DF89:DF94" si="666">CD89*$CY89</f>
        <v>2.9723467461169619E-3</v>
      </c>
      <c r="DG89" s="16">
        <f t="shared" ref="DG89:DG94" si="667">CE89*$CY89</f>
        <v>1.7700752171001393</v>
      </c>
      <c r="DH89" s="16">
        <f t="shared" ref="DH89:DH94" si="668">CF89*$CY89</f>
        <v>1.8204781663283315E-3</v>
      </c>
      <c r="DI89" s="16">
        <f t="shared" ref="DI89:DI94" si="669">CG89*$CY89</f>
        <v>0</v>
      </c>
      <c r="DJ89" s="16">
        <f t="shared" ref="DJ89:DJ94" si="670">CH89*$CY89</f>
        <v>3.9270559828157222E-5</v>
      </c>
      <c r="DK89" s="16">
        <f t="shared" ref="DK89:DK94" si="671">CI89*$CY89</f>
        <v>7.304883856175488E-3</v>
      </c>
      <c r="DL89" s="16">
        <f t="shared" si="481"/>
        <v>0.89214806079274867</v>
      </c>
      <c r="DN89" s="2">
        <f t="shared" si="482"/>
        <v>0.8528984904215835</v>
      </c>
      <c r="DO89" s="2">
        <f t="shared" si="483"/>
        <v>5.7285857384336064E-3</v>
      </c>
      <c r="DP89" s="2">
        <f t="shared" si="484"/>
        <v>7.1517820506318733E-2</v>
      </c>
      <c r="DQ89" s="2">
        <f t="shared" si="485"/>
        <v>4.498204477686573E-3</v>
      </c>
      <c r="DR89" s="2">
        <f t="shared" si="486"/>
        <v>4.9351024441846227E-2</v>
      </c>
      <c r="DS89" s="2">
        <f t="shared" si="487"/>
        <v>1.4120284401471755E-3</v>
      </c>
      <c r="DT89" s="2">
        <f t="shared" si="488"/>
        <v>0.39210779327113932</v>
      </c>
      <c r="DU89" s="2">
        <f t="shared" si="489"/>
        <v>0.34491547336697753</v>
      </c>
      <c r="DV89" s="2">
        <f t="shared" si="490"/>
        <v>1.9322474808608978E-2</v>
      </c>
      <c r="DW89" s="2">
        <f t="shared" si="491"/>
        <v>2.8608024153994456E-5</v>
      </c>
      <c r="DX89" s="2">
        <f t="shared" si="492"/>
        <v>8.0524256818632152E-4</v>
      </c>
      <c r="DZ89" s="2">
        <f t="shared" ref="DZ89:DZ94" si="672">DN89*2</f>
        <v>1.705796980843167</v>
      </c>
      <c r="EA89" s="2">
        <f t="shared" ref="EA89:EA94" si="673">DO89*2</f>
        <v>1.1457171476867213E-2</v>
      </c>
      <c r="EB89" s="2">
        <f t="shared" ref="EB89:EB94" si="674">DP89*3</f>
        <v>0.21455346151895621</v>
      </c>
      <c r="EC89" s="2">
        <f t="shared" ref="EC89:EC94" si="675">DQ89*3</f>
        <v>1.3494613433059719E-2</v>
      </c>
      <c r="ED89" s="2">
        <f t="shared" ref="ED89:ED94" si="676">DR89</f>
        <v>4.9351024441846227E-2</v>
      </c>
      <c r="EE89" s="2">
        <f t="shared" ref="EE89:EE94" si="677">DS89</f>
        <v>1.4120284401471755E-3</v>
      </c>
      <c r="EF89" s="2">
        <f t="shared" ref="EF89:EF94" si="678">DT89</f>
        <v>0.39210779327113932</v>
      </c>
      <c r="EG89" s="2">
        <f t="shared" ref="EG89:EG94" si="679">DU89</f>
        <v>0.34491547336697753</v>
      </c>
      <c r="EH89" s="2">
        <f t="shared" ref="EH89:EH94" si="680">DV89</f>
        <v>1.9322474808608978E-2</v>
      </c>
      <c r="EI89" s="2">
        <f t="shared" ref="EI89:EI94" si="681">DW89</f>
        <v>2.8608024153994456E-5</v>
      </c>
      <c r="EJ89" s="2">
        <f t="shared" ref="EJ89:EJ94" si="682">DX89</f>
        <v>8.0524256818632152E-4</v>
      </c>
      <c r="EL89" s="16">
        <f>SUM(DZ89:EJ89)</f>
        <v>2.7532448721931098</v>
      </c>
      <c r="EN89" s="14">
        <f>6/EL89</f>
        <v>2.179246771908331</v>
      </c>
      <c r="EP89" s="16">
        <f t="shared" ref="EP89:EP94" si="683">DN89*$EN89</f>
        <v>1.8586762820167244</v>
      </c>
      <c r="EQ89" s="16">
        <f t="shared" ref="EQ89:EQ94" si="684">DO89*$EN89</f>
        <v>1.2484001978081539E-2</v>
      </c>
      <c r="ER89" s="16">
        <f t="shared" ref="ER89:ER94" si="685">2*DP89*$EN89</f>
        <v>0.31170995894462911</v>
      </c>
      <c r="ES89" s="16">
        <f t="shared" ref="ES89:ES94" si="686">2*DQ89*$EN89</f>
        <v>1.9605395174764128E-2</v>
      </c>
      <c r="ET89" s="16">
        <f t="shared" ref="ET89:ET94" si="687">DR89*$EN89</f>
        <v>0.10754806070526253</v>
      </c>
      <c r="EU89" s="16">
        <f t="shared" ref="EU89:EU94" si="688">DS89*$EN89</f>
        <v>3.0771584200334884E-3</v>
      </c>
      <c r="EV89" s="16">
        <f t="shared" ref="EV89:EV94" si="689">DT89*$EN89</f>
        <v>0.85449964272622958</v>
      </c>
      <c r="EW89" s="16">
        <f t="shared" ref="EW89:EW94" si="690">DU89*$EN89</f>
        <v>0.75165593191621971</v>
      </c>
      <c r="EX89" s="16">
        <f t="shared" ref="EX89:EX94" si="691">2*DV89*$EN89</f>
        <v>8.4216881703882321E-2</v>
      </c>
      <c r="EY89" s="16">
        <f t="shared" ref="EY89:EY94" si="692">2*DW89*$EN89</f>
        <v>1.2468788857653595E-4</v>
      </c>
      <c r="EZ89" s="16">
        <f t="shared" si="621"/>
        <v>1.7548222673232153E-3</v>
      </c>
      <c r="FB89" s="14">
        <f t="shared" si="506"/>
        <v>-6.0231794865688579</v>
      </c>
      <c r="FC89" s="4">
        <f t="shared" si="507"/>
        <v>1.7994510193021707</v>
      </c>
      <c r="FD89" s="4">
        <f t="shared" si="508"/>
        <v>1.5202205091214984</v>
      </c>
      <c r="FE89" s="4">
        <f t="shared" si="509"/>
        <v>1.7994510193021707</v>
      </c>
      <c r="FG89" s="4">
        <f t="shared" si="510"/>
        <v>2.4249542340861914</v>
      </c>
    </row>
    <row r="90" spans="1:163" x14ac:dyDescent="0.2">
      <c r="A90" s="24" t="s">
        <v>153</v>
      </c>
      <c r="B90" s="60" t="s">
        <v>166</v>
      </c>
      <c r="C90" s="138">
        <v>40.880625000000002</v>
      </c>
      <c r="D90" s="98"/>
      <c r="E90" s="148">
        <f t="shared" si="584"/>
        <v>2.9604616665663046E-2</v>
      </c>
      <c r="F90" s="138">
        <v>1.5000000000000001E-2</v>
      </c>
      <c r="G90" s="138">
        <v>9.8450000000000006</v>
      </c>
      <c r="H90" s="138">
        <v>0.14187500000000003</v>
      </c>
      <c r="I90" s="138">
        <v>48.696250000000006</v>
      </c>
      <c r="J90" s="150">
        <f t="shared" si="585"/>
        <v>6.5757115820634288E-2</v>
      </c>
      <c r="K90" s="98"/>
      <c r="L90" s="98"/>
      <c r="M90" s="138">
        <v>0.354375</v>
      </c>
      <c r="N90" s="141">
        <v>156.68422541064348</v>
      </c>
      <c r="O90" s="142">
        <v>469.96338745998918</v>
      </c>
      <c r="P90" s="11"/>
      <c r="Q90" s="140">
        <v>51.30318333333333</v>
      </c>
      <c r="R90" s="140">
        <v>0.46584366666666671</v>
      </c>
      <c r="S90" s="140">
        <v>7.3633300000000004</v>
      </c>
      <c r="T90" s="140">
        <v>0.71747716666666672</v>
      </c>
      <c r="U90" s="140">
        <v>3.3163458333333331</v>
      </c>
      <c r="V90" s="140">
        <v>9.5531499999999978E-2</v>
      </c>
      <c r="W90" s="140">
        <v>15.753016666666666</v>
      </c>
      <c r="X90" s="140">
        <v>19.343866666666663</v>
      </c>
      <c r="Y90" s="140">
        <v>1.2868599999999999</v>
      </c>
      <c r="Z90" s="100">
        <v>1.5911666666666667E-3</v>
      </c>
      <c r="AA90" s="140">
        <v>5.6188166666666678E-2</v>
      </c>
      <c r="AC90" s="139">
        <v>58.104999999999997</v>
      </c>
      <c r="AD90" s="139">
        <v>9.0250000000000004</v>
      </c>
      <c r="AE90" s="11"/>
      <c r="AF90" s="83">
        <f t="shared" ref="AF90:AF94" si="693">AD90/151.9892/(AD90/151.9892+AC90/101.9601)</f>
        <v>9.4363717553728521E-2</v>
      </c>
      <c r="AG90" s="22">
        <f t="shared" si="448"/>
        <v>5.095020508676198E-4</v>
      </c>
      <c r="AH90" s="126">
        <f t="shared" si="638"/>
        <v>1067.5651805163236</v>
      </c>
      <c r="AI90" s="126">
        <f t="shared" si="449"/>
        <v>1067.4151938334455</v>
      </c>
      <c r="AJ90" s="126">
        <f t="shared" si="450"/>
        <v>0.14998668287807959</v>
      </c>
      <c r="AK90" s="12"/>
      <c r="AL90" s="25">
        <f t="shared" si="639"/>
        <v>2.4101538574542483</v>
      </c>
      <c r="AN90" s="2">
        <v>15.999000000000001</v>
      </c>
      <c r="AO90" s="2">
        <v>28.085000000000001</v>
      </c>
      <c r="AP90" s="2">
        <v>47.866999999999997</v>
      </c>
      <c r="AQ90" s="2">
        <v>26.9815386</v>
      </c>
      <c r="AR90" s="2">
        <v>51.996099999999998</v>
      </c>
      <c r="AS90" s="2">
        <v>55.844999999999999</v>
      </c>
      <c r="AT90" s="2">
        <v>54.938045000000002</v>
      </c>
      <c r="AU90" s="2">
        <v>24.305</v>
      </c>
      <c r="AV90" s="2">
        <v>40.078000000000003</v>
      </c>
      <c r="AW90" s="2">
        <v>22.989769280000001</v>
      </c>
      <c r="AX90" s="2">
        <v>39.098300000000002</v>
      </c>
      <c r="AY90" s="2">
        <v>58.693399999999997</v>
      </c>
      <c r="BA90" s="2">
        <f>AN90*2+AO90</f>
        <v>60.082999999999998</v>
      </c>
      <c r="BB90" s="2">
        <f>AN90*2+AP90</f>
        <v>79.864999999999995</v>
      </c>
      <c r="BC90" s="2">
        <f>AQ90*2+AN90*3</f>
        <v>101.9600772</v>
      </c>
      <c r="BD90" s="2">
        <f>AR90*2+AN90*3</f>
        <v>151.98919999999998</v>
      </c>
      <c r="BE90" s="2">
        <f>AS90+AN90</f>
        <v>71.843999999999994</v>
      </c>
      <c r="BF90" s="2">
        <f>AT90+AN90</f>
        <v>70.937044999999998</v>
      </c>
      <c r="BG90" s="2">
        <f>AU90+AN90</f>
        <v>40.304000000000002</v>
      </c>
      <c r="BH90" s="2">
        <f>AV90+AN90</f>
        <v>56.077000000000005</v>
      </c>
      <c r="BI90" s="2">
        <f>AW90*2+AN90</f>
        <v>61.978538560000004</v>
      </c>
      <c r="BJ90" s="2">
        <f>AX90*2+AN90</f>
        <v>94.195599999999999</v>
      </c>
      <c r="BK90" s="2">
        <f>AY90+AN90</f>
        <v>74.692399999999992</v>
      </c>
      <c r="BM90" s="2">
        <f t="shared" si="452"/>
        <v>0.68040252650500144</v>
      </c>
      <c r="BN90" s="2">
        <f t="shared" si="453"/>
        <v>0</v>
      </c>
      <c r="BO90" s="2">
        <f t="shared" si="454"/>
        <v>2.9035498480049256E-4</v>
      </c>
      <c r="BP90" s="2">
        <f t="shared" si="455"/>
        <v>9.8691222797409313E-5</v>
      </c>
      <c r="BQ90" s="2">
        <f t="shared" si="456"/>
        <v>0.13703301597906578</v>
      </c>
      <c r="BR90" s="2">
        <f t="shared" si="457"/>
        <v>2.000012828276115E-3</v>
      </c>
      <c r="BS90" s="2">
        <f t="shared" si="458"/>
        <v>1.2082237495037715</v>
      </c>
      <c r="BT90" s="2">
        <f t="shared" si="459"/>
        <v>1.1726218560307129E-3</v>
      </c>
      <c r="BU90" s="2">
        <f t="shared" si="460"/>
        <v>0</v>
      </c>
      <c r="BV90" s="2">
        <f t="shared" si="461"/>
        <v>0</v>
      </c>
      <c r="BW90" s="2">
        <f t="shared" si="462"/>
        <v>4.7444586062303533E-3</v>
      </c>
      <c r="BY90" s="2">
        <f t="shared" si="640"/>
        <v>0.68040252650500144</v>
      </c>
      <c r="BZ90" s="2">
        <f t="shared" si="641"/>
        <v>0</v>
      </c>
      <c r="CA90" s="2">
        <f t="shared" si="642"/>
        <v>5.8070996960098511E-4</v>
      </c>
      <c r="CB90" s="2">
        <f t="shared" si="643"/>
        <v>1.9738244559481863E-4</v>
      </c>
      <c r="CC90" s="2">
        <f t="shared" si="644"/>
        <v>0.13703301597906578</v>
      </c>
      <c r="CD90" s="2">
        <f t="shared" si="645"/>
        <v>2.000012828276115E-3</v>
      </c>
      <c r="CE90" s="2">
        <f t="shared" si="646"/>
        <v>1.2082237495037715</v>
      </c>
      <c r="CF90" s="2">
        <f t="shared" si="647"/>
        <v>1.1726218560307129E-3</v>
      </c>
      <c r="CG90" s="2">
        <f t="shared" si="648"/>
        <v>0</v>
      </c>
      <c r="CH90" s="2">
        <f t="shared" si="649"/>
        <v>0</v>
      </c>
      <c r="CI90" s="2">
        <f>BW90</f>
        <v>4.7444586062303533E-3</v>
      </c>
      <c r="CK90" s="2">
        <f t="shared" si="650"/>
        <v>1.3608050530100029</v>
      </c>
      <c r="CL90" s="2">
        <f t="shared" si="651"/>
        <v>0</v>
      </c>
      <c r="CM90" s="2">
        <f t="shared" si="652"/>
        <v>8.7106495440147772E-4</v>
      </c>
      <c r="CN90" s="2">
        <f t="shared" si="653"/>
        <v>2.9607366839222795E-4</v>
      </c>
      <c r="CO90" s="2">
        <f t="shared" si="654"/>
        <v>0.13703301597906578</v>
      </c>
      <c r="CP90" s="2">
        <f t="shared" si="655"/>
        <v>2.000012828276115E-3</v>
      </c>
      <c r="CQ90" s="2">
        <f t="shared" si="656"/>
        <v>1.2082237495037715</v>
      </c>
      <c r="CR90" s="2">
        <f t="shared" si="657"/>
        <v>1.1726218560307129E-3</v>
      </c>
      <c r="CS90" s="2">
        <f t="shared" si="658"/>
        <v>0</v>
      </c>
      <c r="CT90" s="2">
        <f t="shared" si="659"/>
        <v>0</v>
      </c>
      <c r="CU90" s="2">
        <f t="shared" si="660"/>
        <v>4.7444586062303533E-3</v>
      </c>
      <c r="CW90" s="14">
        <f>SUM(CK90:CU90)</f>
        <v>2.7151460504061711</v>
      </c>
      <c r="CY90" s="14">
        <f>4/CW90</f>
        <v>1.4732172508368828</v>
      </c>
      <c r="DA90" s="16">
        <f t="shared" si="661"/>
        <v>1.0023807395601676</v>
      </c>
      <c r="DB90" s="16">
        <f t="shared" si="662"/>
        <v>0</v>
      </c>
      <c r="DC90" s="16">
        <f t="shared" si="663"/>
        <v>8.5551194494913304E-4</v>
      </c>
      <c r="DD90" s="16">
        <f t="shared" si="664"/>
        <v>2.9078722386265929E-4</v>
      </c>
      <c r="DE90" s="16">
        <f t="shared" si="665"/>
        <v>0.20187940307456592</v>
      </c>
      <c r="DF90" s="16">
        <f t="shared" si="666"/>
        <v>2.9464534005114369E-3</v>
      </c>
      <c r="DG90" s="16">
        <f t="shared" si="667"/>
        <v>1.7799760706397769</v>
      </c>
      <c r="DH90" s="16">
        <f t="shared" si="668"/>
        <v>1.7275267470128097E-3</v>
      </c>
      <c r="DI90" s="16">
        <f t="shared" si="669"/>
        <v>0</v>
      </c>
      <c r="DJ90" s="16">
        <f t="shared" si="670"/>
        <v>0</v>
      </c>
      <c r="DK90" s="16">
        <f t="shared" si="671"/>
        <v>6.9896182645800701E-3</v>
      </c>
      <c r="DL90" s="16">
        <f t="shared" si="481"/>
        <v>0.8981361629280622</v>
      </c>
      <c r="DN90" s="2">
        <f t="shared" si="482"/>
        <v>0.85387186614072752</v>
      </c>
      <c r="DO90" s="2">
        <f t="shared" si="483"/>
        <v>5.8328888332394259E-3</v>
      </c>
      <c r="DP90" s="2">
        <f t="shared" si="484"/>
        <v>7.2217775841385889E-2</v>
      </c>
      <c r="DQ90" s="2">
        <f t="shared" si="485"/>
        <v>4.720579927170265E-3</v>
      </c>
      <c r="DR90" s="2">
        <f t="shared" si="486"/>
        <v>4.6160372937661232E-2</v>
      </c>
      <c r="DS90" s="2">
        <f t="shared" si="487"/>
        <v>1.3467081973882614E-3</v>
      </c>
      <c r="DT90" s="2">
        <f t="shared" si="488"/>
        <v>0.39085491928013755</v>
      </c>
      <c r="DU90" s="2">
        <f t="shared" si="489"/>
        <v>0.34495188163893686</v>
      </c>
      <c r="DV90" s="2">
        <f t="shared" si="490"/>
        <v>2.0762993608734744E-2</v>
      </c>
      <c r="DW90" s="2">
        <f t="shared" si="491"/>
        <v>1.6892154906032412E-5</v>
      </c>
      <c r="DX90" s="2">
        <f t="shared" si="492"/>
        <v>7.5226082796464816E-4</v>
      </c>
      <c r="DZ90" s="2">
        <f t="shared" si="672"/>
        <v>1.707743732281455</v>
      </c>
      <c r="EA90" s="2">
        <f t="shared" si="673"/>
        <v>1.1665777666478852E-2</v>
      </c>
      <c r="EB90" s="2">
        <f t="shared" si="674"/>
        <v>0.21665332752415767</v>
      </c>
      <c r="EC90" s="2">
        <f t="shared" si="675"/>
        <v>1.4161739781510795E-2</v>
      </c>
      <c r="ED90" s="2">
        <f t="shared" si="676"/>
        <v>4.6160372937661232E-2</v>
      </c>
      <c r="EE90" s="2">
        <f t="shared" si="677"/>
        <v>1.3467081973882614E-3</v>
      </c>
      <c r="EF90" s="2">
        <f t="shared" si="678"/>
        <v>0.39085491928013755</v>
      </c>
      <c r="EG90" s="2">
        <f t="shared" si="679"/>
        <v>0.34495188163893686</v>
      </c>
      <c r="EH90" s="2">
        <f t="shared" si="680"/>
        <v>2.0762993608734744E-2</v>
      </c>
      <c r="EI90" s="2">
        <f t="shared" si="681"/>
        <v>1.6892154906032412E-5</v>
      </c>
      <c r="EJ90" s="2">
        <f t="shared" si="682"/>
        <v>7.5226082796464816E-4</v>
      </c>
      <c r="EL90" s="16">
        <f>SUM(DZ90:EJ90)</f>
        <v>2.7550706058993319</v>
      </c>
      <c r="EN90" s="14">
        <f>6/EL90</f>
        <v>2.1778026258755108</v>
      </c>
      <c r="EP90" s="16">
        <f t="shared" si="683"/>
        <v>1.8595643922424989</v>
      </c>
      <c r="EQ90" s="16">
        <f t="shared" si="684"/>
        <v>1.2702880617468765E-2</v>
      </c>
      <c r="ER90" s="16">
        <f t="shared" si="685"/>
        <v>0.31455212372451841</v>
      </c>
      <c r="ES90" s="16">
        <f t="shared" si="686"/>
        <v>2.0560982722093262E-2</v>
      </c>
      <c r="ET90" s="16">
        <f t="shared" si="687"/>
        <v>0.1005281813950315</v>
      </c>
      <c r="EU90" s="16">
        <f t="shared" si="688"/>
        <v>2.9328646485602314E-3</v>
      </c>
      <c r="EV90" s="16">
        <f t="shared" si="689"/>
        <v>0.85120486954464436</v>
      </c>
      <c r="EW90" s="16">
        <f t="shared" si="690"/>
        <v>0.75123711363397505</v>
      </c>
      <c r="EX90" s="16">
        <f t="shared" si="691"/>
        <v>9.043540400427795E-2</v>
      </c>
      <c r="EY90" s="16">
        <f t="shared" si="692"/>
        <v>7.3575558622106552E-5</v>
      </c>
      <c r="EZ90" s="16">
        <f t="shared" si="621"/>
        <v>1.6382756064846967E-3</v>
      </c>
      <c r="FB90" s="14">
        <f t="shared" si="506"/>
        <v>-6.0750305728543941</v>
      </c>
      <c r="FC90" s="4">
        <f t="shared" si="507"/>
        <v>1.7818767939584759</v>
      </c>
      <c r="FD90" s="4">
        <f t="shared" si="508"/>
        <v>1.5912187785772494</v>
      </c>
      <c r="FE90" s="4">
        <f t="shared" si="509"/>
        <v>1.7818767939584759</v>
      </c>
      <c r="FG90" s="4">
        <f t="shared" si="510"/>
        <v>2.4101538574542483</v>
      </c>
    </row>
    <row r="91" spans="1:163" x14ac:dyDescent="0.2">
      <c r="A91" s="24" t="s">
        <v>154</v>
      </c>
      <c r="B91" s="60" t="s">
        <v>166</v>
      </c>
      <c r="C91" s="138">
        <v>40.832500000000003</v>
      </c>
      <c r="D91" s="98"/>
      <c r="E91" s="148">
        <f t="shared" si="584"/>
        <v>2.5221521067947693E-2</v>
      </c>
      <c r="F91" s="138">
        <v>1.8749999999999999E-2</v>
      </c>
      <c r="G91" s="138">
        <v>9.5287500000000005</v>
      </c>
      <c r="H91" s="138">
        <v>0.13250000000000001</v>
      </c>
      <c r="I91" s="138">
        <v>48.79375000000001</v>
      </c>
      <c r="J91" s="150">
        <f t="shared" si="585"/>
        <v>6.1416189481913047E-2</v>
      </c>
      <c r="K91" s="98"/>
      <c r="L91" s="98"/>
      <c r="M91" s="138">
        <v>0.37124999999999997</v>
      </c>
      <c r="N91" s="141">
        <v>133.48642668942671</v>
      </c>
      <c r="O91" s="142">
        <v>438.93896643117705</v>
      </c>
      <c r="P91" s="11"/>
      <c r="Q91" s="140">
        <v>51.869775000000004</v>
      </c>
      <c r="R91" s="140">
        <v>0.30695825000000004</v>
      </c>
      <c r="S91" s="140">
        <v>6.1350212500000003</v>
      </c>
      <c r="T91" s="140">
        <v>1.13788125</v>
      </c>
      <c r="U91" s="140">
        <v>3.1121425000000005</v>
      </c>
      <c r="V91" s="140">
        <v>9.3580999999999998E-2</v>
      </c>
      <c r="W91" s="140">
        <v>16.138124999999999</v>
      </c>
      <c r="X91" s="140">
        <v>19.734400000000001</v>
      </c>
      <c r="Y91" s="140">
        <v>1.1768062500000001</v>
      </c>
      <c r="Z91" s="100">
        <v>1.4219999999999999E-3</v>
      </c>
      <c r="AA91" s="140">
        <v>5.0549625000000001E-2</v>
      </c>
      <c r="AC91" s="139">
        <v>49.072857142857139</v>
      </c>
      <c r="AD91" s="139">
        <v>18.022857142857141</v>
      </c>
      <c r="AE91" s="11"/>
      <c r="AF91" s="83">
        <f t="shared" si="693"/>
        <v>0.19767441455553736</v>
      </c>
      <c r="AG91" s="22">
        <f t="shared" si="448"/>
        <v>5.139607215965587E-4</v>
      </c>
      <c r="AH91" s="126">
        <f t="shared" si="638"/>
        <v>1052.7234276225986</v>
      </c>
      <c r="AI91" s="126">
        <f t="shared" si="449"/>
        <v>1052.5734283730858</v>
      </c>
      <c r="AJ91" s="126">
        <f t="shared" si="450"/>
        <v>0.14999924951280263</v>
      </c>
      <c r="AK91" s="12"/>
      <c r="AL91" s="25">
        <f t="shared" si="639"/>
        <v>2.3506804848505425</v>
      </c>
      <c r="AN91" s="2">
        <v>15.999000000000001</v>
      </c>
      <c r="AO91" s="2">
        <v>28.085000000000001</v>
      </c>
      <c r="AP91" s="2">
        <v>47.866999999999997</v>
      </c>
      <c r="AQ91" s="2">
        <v>26.9815386</v>
      </c>
      <c r="AR91" s="2">
        <v>51.996099999999998</v>
      </c>
      <c r="AS91" s="2">
        <v>55.844999999999999</v>
      </c>
      <c r="AT91" s="2">
        <v>54.938045000000002</v>
      </c>
      <c r="AU91" s="2">
        <v>24.305</v>
      </c>
      <c r="AV91" s="2">
        <v>40.078000000000003</v>
      </c>
      <c r="AW91" s="2">
        <v>22.989769280000001</v>
      </c>
      <c r="AX91" s="2">
        <v>39.098300000000002</v>
      </c>
      <c r="AY91" s="2">
        <v>58.693399999999997</v>
      </c>
      <c r="BA91" s="2">
        <f>AN91*2+AO91</f>
        <v>60.082999999999998</v>
      </c>
      <c r="BB91" s="2">
        <f>AN91*2+AP91</f>
        <v>79.864999999999995</v>
      </c>
      <c r="BC91" s="2">
        <f>AQ91*2+AN91*3</f>
        <v>101.9600772</v>
      </c>
      <c r="BD91" s="2">
        <f>AR91*2+AN91*3</f>
        <v>151.98919999999998</v>
      </c>
      <c r="BE91" s="2">
        <f>AS91+AN91</f>
        <v>71.843999999999994</v>
      </c>
      <c r="BF91" s="2">
        <f>AT91+AN91</f>
        <v>70.937044999999998</v>
      </c>
      <c r="BG91" s="2">
        <f>AU91+AN91</f>
        <v>40.304000000000002</v>
      </c>
      <c r="BH91" s="2">
        <f>AV91+AN91</f>
        <v>56.077000000000005</v>
      </c>
      <c r="BI91" s="2">
        <f>AW91*2+AN91</f>
        <v>61.978538560000004</v>
      </c>
      <c r="BJ91" s="2">
        <f>AX91*2+AN91</f>
        <v>94.195599999999999</v>
      </c>
      <c r="BK91" s="2">
        <f>AY91+AN91</f>
        <v>74.692399999999992</v>
      </c>
      <c r="BM91" s="2">
        <f t="shared" si="452"/>
        <v>0.67960155118752397</v>
      </c>
      <c r="BN91" s="2">
        <f t="shared" si="453"/>
        <v>0</v>
      </c>
      <c r="BO91" s="2">
        <f t="shared" si="454"/>
        <v>2.473666336920711E-4</v>
      </c>
      <c r="BP91" s="2">
        <f t="shared" si="455"/>
        <v>1.2336402849676161E-4</v>
      </c>
      <c r="BQ91" s="2">
        <f t="shared" si="456"/>
        <v>0.13263111742107903</v>
      </c>
      <c r="BR91" s="2">
        <f t="shared" si="457"/>
        <v>1.8678533902843008E-3</v>
      </c>
      <c r="BS91" s="2">
        <f t="shared" si="458"/>
        <v>1.2106428642318383</v>
      </c>
      <c r="BT91" s="2">
        <f t="shared" si="459"/>
        <v>1.0952117531592817E-3</v>
      </c>
      <c r="BU91" s="2">
        <f t="shared" si="460"/>
        <v>0</v>
      </c>
      <c r="BV91" s="2">
        <f t="shared" si="461"/>
        <v>0</v>
      </c>
      <c r="BW91" s="2">
        <f t="shared" si="462"/>
        <v>4.9703852065270367E-3</v>
      </c>
      <c r="BY91" s="2">
        <f t="shared" si="640"/>
        <v>0.67960155118752397</v>
      </c>
      <c r="BZ91" s="2">
        <f t="shared" si="641"/>
        <v>0</v>
      </c>
      <c r="CA91" s="2">
        <f t="shared" si="642"/>
        <v>4.9473326738414219E-4</v>
      </c>
      <c r="CB91" s="2">
        <f t="shared" si="643"/>
        <v>2.4672805699352322E-4</v>
      </c>
      <c r="CC91" s="2">
        <f t="shared" si="644"/>
        <v>0.13263111742107903</v>
      </c>
      <c r="CD91" s="2">
        <f t="shared" si="645"/>
        <v>1.8678533902843008E-3</v>
      </c>
      <c r="CE91" s="2">
        <f t="shared" si="646"/>
        <v>1.2106428642318383</v>
      </c>
      <c r="CF91" s="2">
        <f t="shared" si="647"/>
        <v>1.0952117531592817E-3</v>
      </c>
      <c r="CG91" s="2">
        <f t="shared" si="648"/>
        <v>0</v>
      </c>
      <c r="CH91" s="2">
        <f t="shared" si="649"/>
        <v>0</v>
      </c>
      <c r="CI91" s="2">
        <f>BW91</f>
        <v>4.9703852065270367E-3</v>
      </c>
      <c r="CK91" s="2">
        <f t="shared" si="650"/>
        <v>1.3592031023750479</v>
      </c>
      <c r="CL91" s="2">
        <f t="shared" si="651"/>
        <v>0</v>
      </c>
      <c r="CM91" s="2">
        <f t="shared" si="652"/>
        <v>7.4209990107621329E-4</v>
      </c>
      <c r="CN91" s="2">
        <f t="shared" si="653"/>
        <v>3.7009208549028481E-4</v>
      </c>
      <c r="CO91" s="2">
        <f t="shared" si="654"/>
        <v>0.13263111742107903</v>
      </c>
      <c r="CP91" s="2">
        <f t="shared" si="655"/>
        <v>1.8678533902843008E-3</v>
      </c>
      <c r="CQ91" s="2">
        <f t="shared" si="656"/>
        <v>1.2106428642318383</v>
      </c>
      <c r="CR91" s="2">
        <f t="shared" si="657"/>
        <v>1.0952117531592817E-3</v>
      </c>
      <c r="CS91" s="2">
        <f t="shared" si="658"/>
        <v>0</v>
      </c>
      <c r="CT91" s="2">
        <f t="shared" si="659"/>
        <v>0</v>
      </c>
      <c r="CU91" s="2">
        <f t="shared" si="660"/>
        <v>4.9703852065270367E-3</v>
      </c>
      <c r="CW91" s="14">
        <f>SUM(CK91:CU91)</f>
        <v>2.7115227263645023</v>
      </c>
      <c r="CY91" s="14">
        <f>4/CW91</f>
        <v>1.4751858655313705</v>
      </c>
      <c r="DA91" s="16">
        <f t="shared" si="661"/>
        <v>1.0025386025050296</v>
      </c>
      <c r="DB91" s="16">
        <f t="shared" si="662"/>
        <v>0</v>
      </c>
      <c r="DC91" s="16">
        <f t="shared" si="663"/>
        <v>7.298235232532388E-4</v>
      </c>
      <c r="DD91" s="16">
        <f t="shared" si="664"/>
        <v>3.6396974230686388E-4</v>
      </c>
      <c r="DE91" s="16">
        <f t="shared" si="665"/>
        <v>0.19565554974920729</v>
      </c>
      <c r="DF91" s="16">
        <f t="shared" si="666"/>
        <v>2.7554309202322512E-3</v>
      </c>
      <c r="DG91" s="16">
        <f t="shared" si="667"/>
        <v>1.7859232415212218</v>
      </c>
      <c r="DH91" s="16">
        <f t="shared" si="668"/>
        <v>1.6156408980244046E-3</v>
      </c>
      <c r="DI91" s="16">
        <f t="shared" si="669"/>
        <v>0</v>
      </c>
      <c r="DJ91" s="16">
        <f t="shared" si="670"/>
        <v>0</v>
      </c>
      <c r="DK91" s="16">
        <f t="shared" si="671"/>
        <v>7.3322420029149063E-3</v>
      </c>
      <c r="DL91" s="16">
        <f t="shared" si="481"/>
        <v>0.90126279580143842</v>
      </c>
      <c r="DN91" s="2">
        <f t="shared" si="482"/>
        <v>0.86330201554516262</v>
      </c>
      <c r="DO91" s="2">
        <f t="shared" si="483"/>
        <v>3.8434639704501353E-3</v>
      </c>
      <c r="DP91" s="2">
        <f t="shared" si="484"/>
        <v>6.0170818015033829E-2</v>
      </c>
      <c r="DQ91" s="2">
        <f t="shared" si="485"/>
        <v>7.4865927973829724E-3</v>
      </c>
      <c r="DR91" s="2">
        <f t="shared" si="486"/>
        <v>4.3318057179444362E-2</v>
      </c>
      <c r="DS91" s="2">
        <f t="shared" si="487"/>
        <v>1.3192119857826049E-3</v>
      </c>
      <c r="DT91" s="2">
        <f t="shared" si="488"/>
        <v>0.40041000893211587</v>
      </c>
      <c r="DU91" s="2">
        <f t="shared" si="489"/>
        <v>0.35191611534140554</v>
      </c>
      <c r="DV91" s="2">
        <f t="shared" si="490"/>
        <v>1.8987318470905228E-2</v>
      </c>
      <c r="DW91" s="2">
        <f t="shared" si="491"/>
        <v>1.5096246533808372E-5</v>
      </c>
      <c r="DX91" s="2">
        <f t="shared" si="492"/>
        <v>6.7677066207539195E-4</v>
      </c>
      <c r="DZ91" s="2">
        <f t="shared" si="672"/>
        <v>1.7266040310903252</v>
      </c>
      <c r="EA91" s="2">
        <f t="shared" si="673"/>
        <v>7.6869279409002705E-3</v>
      </c>
      <c r="EB91" s="2">
        <f t="shared" si="674"/>
        <v>0.18051245404510149</v>
      </c>
      <c r="EC91" s="2">
        <f t="shared" si="675"/>
        <v>2.2459778392148917E-2</v>
      </c>
      <c r="ED91" s="2">
        <f t="shared" si="676"/>
        <v>4.3318057179444362E-2</v>
      </c>
      <c r="EE91" s="2">
        <f t="shared" si="677"/>
        <v>1.3192119857826049E-3</v>
      </c>
      <c r="EF91" s="2">
        <f t="shared" si="678"/>
        <v>0.40041000893211587</v>
      </c>
      <c r="EG91" s="2">
        <f t="shared" si="679"/>
        <v>0.35191611534140554</v>
      </c>
      <c r="EH91" s="2">
        <f t="shared" si="680"/>
        <v>1.8987318470905228E-2</v>
      </c>
      <c r="EI91" s="2">
        <f t="shared" si="681"/>
        <v>1.5096246533808372E-5</v>
      </c>
      <c r="EJ91" s="2">
        <f t="shared" si="682"/>
        <v>6.7677066207539195E-4</v>
      </c>
      <c r="EL91" s="16">
        <f>SUM(DZ91:EJ91)</f>
        <v>2.7539057702867384</v>
      </c>
      <c r="EN91" s="14">
        <f>6/EL91</f>
        <v>2.1787237837753888</v>
      </c>
      <c r="EP91" s="16">
        <f t="shared" si="683"/>
        <v>1.8808966338494761</v>
      </c>
      <c r="EQ91" s="16">
        <f t="shared" si="684"/>
        <v>8.3738463645034976E-3</v>
      </c>
      <c r="ER91" s="16">
        <f t="shared" si="685"/>
        <v>0.26219118459714968</v>
      </c>
      <c r="ES91" s="16">
        <f t="shared" si="686"/>
        <v>3.2622435574199603E-2</v>
      </c>
      <c r="ET91" s="16">
        <f t="shared" si="687"/>
        <v>9.4378081443797668E-2</v>
      </c>
      <c r="EU91" s="16">
        <f t="shared" si="688"/>
        <v>2.8741985292661215E-3</v>
      </c>
      <c r="EV91" s="16">
        <f t="shared" si="689"/>
        <v>0.87238280972211668</v>
      </c>
      <c r="EW91" s="16">
        <f t="shared" si="690"/>
        <v>0.76672801038816318</v>
      </c>
      <c r="EX91" s="16">
        <f t="shared" si="691"/>
        <v>8.2736244685357938E-2</v>
      </c>
      <c r="EY91" s="16">
        <f t="shared" si="692"/>
        <v>6.5781102737890148E-5</v>
      </c>
      <c r="EZ91" s="16">
        <f t="shared" si="621"/>
        <v>1.4744963376250729E-3</v>
      </c>
      <c r="FB91" s="14">
        <f t="shared" si="506"/>
        <v>-6.1624004047619092</v>
      </c>
      <c r="FC91" s="4">
        <f t="shared" si="507"/>
        <v>1.7322066916395502</v>
      </c>
      <c r="FD91" s="4">
        <f t="shared" si="508"/>
        <v>1.6952571822484672</v>
      </c>
      <c r="FE91" s="4">
        <f t="shared" si="509"/>
        <v>1.7322066916395502</v>
      </c>
      <c r="FG91" s="4">
        <f t="shared" si="510"/>
        <v>2.3506804848505425</v>
      </c>
    </row>
    <row r="92" spans="1:163" x14ac:dyDescent="0.2">
      <c r="A92" s="24" t="s">
        <v>155</v>
      </c>
      <c r="B92" s="60" t="s">
        <v>165</v>
      </c>
      <c r="C92" s="138">
        <v>40.69166666666667</v>
      </c>
      <c r="D92" s="98">
        <v>3.3333333333333335E-3</v>
      </c>
      <c r="E92" s="148">
        <f t="shared" si="584"/>
        <v>3.974564153758911E-2</v>
      </c>
      <c r="F92" s="138">
        <v>1.8333333333333337E-2</v>
      </c>
      <c r="G92" s="138">
        <v>10.351666666666667</v>
      </c>
      <c r="H92" s="138">
        <v>0.14166666666666669</v>
      </c>
      <c r="I92" s="138">
        <v>48.18</v>
      </c>
      <c r="J92" s="150">
        <f t="shared" si="585"/>
        <v>7.8762736020339341E-2</v>
      </c>
      <c r="K92" s="98"/>
      <c r="L92" s="98"/>
      <c r="M92" s="138">
        <v>0.3683333333333334</v>
      </c>
      <c r="N92" s="141">
        <v>210.35621329254496</v>
      </c>
      <c r="O92" s="142">
        <v>562.91401719477869</v>
      </c>
      <c r="P92" s="11"/>
      <c r="Q92" s="140">
        <v>51.37764285714286</v>
      </c>
      <c r="R92" s="140">
        <v>0.33323585714285714</v>
      </c>
      <c r="S92" s="140">
        <v>6.4625157142857139</v>
      </c>
      <c r="T92" s="140">
        <v>0.93591514285714283</v>
      </c>
      <c r="U92" s="140">
        <v>3.4999214285714286</v>
      </c>
      <c r="V92" s="140">
        <v>9.836614285714286E-2</v>
      </c>
      <c r="W92" s="140">
        <v>16.169228571428572</v>
      </c>
      <c r="X92" s="140">
        <v>19.574057142857146</v>
      </c>
      <c r="Y92" s="140">
        <v>0.98312014285714278</v>
      </c>
      <c r="Z92" s="100">
        <v>2.6635714285714283E-3</v>
      </c>
      <c r="AA92" s="140">
        <v>5.4256857142857141E-2</v>
      </c>
      <c r="AC92" s="139">
        <v>52.88000000000001</v>
      </c>
      <c r="AD92" s="139">
        <v>14.650000000000002</v>
      </c>
      <c r="AE92" s="11"/>
      <c r="AF92" s="83">
        <f t="shared" si="693"/>
        <v>0.15672337151049498</v>
      </c>
      <c r="AG92" s="22">
        <f t="shared" si="448"/>
        <v>7.516195449619725E-4</v>
      </c>
      <c r="AH92" s="126">
        <f t="shared" si="638"/>
        <v>1122.4950311087255</v>
      </c>
      <c r="AI92" s="126">
        <f t="shared" si="449"/>
        <v>1122.3450517583483</v>
      </c>
      <c r="AJ92" s="126">
        <f t="shared" si="450"/>
        <v>0.1499793503771798</v>
      </c>
      <c r="AK92" s="12"/>
      <c r="AL92" s="25">
        <f t="shared" si="639"/>
        <v>2.7345661354539654</v>
      </c>
      <c r="AN92" s="2">
        <v>15.999000000000001</v>
      </c>
      <c r="AO92" s="2">
        <v>28.085000000000001</v>
      </c>
      <c r="AP92" s="2">
        <v>47.866999999999997</v>
      </c>
      <c r="AQ92" s="2">
        <v>26.9815386</v>
      </c>
      <c r="AR92" s="2">
        <v>51.996099999999998</v>
      </c>
      <c r="AS92" s="2">
        <v>55.844999999999999</v>
      </c>
      <c r="AT92" s="2">
        <v>54.938045000000002</v>
      </c>
      <c r="AU92" s="2">
        <v>24.305</v>
      </c>
      <c r="AV92" s="2">
        <v>40.078000000000003</v>
      </c>
      <c r="AW92" s="2">
        <v>22.989769280000001</v>
      </c>
      <c r="AX92" s="2">
        <v>39.098300000000002</v>
      </c>
      <c r="AY92" s="2">
        <v>58.693399999999997</v>
      </c>
      <c r="BA92" s="2">
        <f>AN92*2+AO92</f>
        <v>60.082999999999998</v>
      </c>
      <c r="BB92" s="2">
        <f>AN92*2+AP92</f>
        <v>79.864999999999995</v>
      </c>
      <c r="BC92" s="2">
        <f>AQ92*2+AN92*3</f>
        <v>101.9600772</v>
      </c>
      <c r="BD92" s="2">
        <f>AR92*2+AN92*3</f>
        <v>151.98919999999998</v>
      </c>
      <c r="BE92" s="2">
        <f>AS92+AN92</f>
        <v>71.843999999999994</v>
      </c>
      <c r="BF92" s="2">
        <f>AT92+AN92</f>
        <v>70.937044999999998</v>
      </c>
      <c r="BG92" s="2">
        <f>AU92+AN92</f>
        <v>40.304000000000002</v>
      </c>
      <c r="BH92" s="2">
        <f>AV92+AN92</f>
        <v>56.077000000000005</v>
      </c>
      <c r="BI92" s="2">
        <f>AW92*2+AN92</f>
        <v>61.978538560000004</v>
      </c>
      <c r="BJ92" s="2">
        <f>AX92*2+AN92</f>
        <v>94.195599999999999</v>
      </c>
      <c r="BK92" s="2">
        <f>AY92+AN92</f>
        <v>74.692399999999992</v>
      </c>
      <c r="BM92" s="2">
        <f t="shared" si="452"/>
        <v>0.67725757147057686</v>
      </c>
      <c r="BN92" s="2">
        <f t="shared" si="453"/>
        <v>4.1737098019574706E-5</v>
      </c>
      <c r="BO92" s="2">
        <f t="shared" si="454"/>
        <v>3.8981572620454144E-4</v>
      </c>
      <c r="BP92" s="2">
        <f t="shared" si="455"/>
        <v>1.2062260564127805E-4</v>
      </c>
      <c r="BQ92" s="2">
        <f t="shared" si="456"/>
        <v>0.14408533303639368</v>
      </c>
      <c r="BR92" s="2">
        <f t="shared" si="457"/>
        <v>1.9970759518762966E-3</v>
      </c>
      <c r="BS92" s="2">
        <f t="shared" si="458"/>
        <v>1.195414847161572</v>
      </c>
      <c r="BT92" s="2">
        <f t="shared" si="459"/>
        <v>1.4045461779399636E-3</v>
      </c>
      <c r="BU92" s="2">
        <f t="shared" si="460"/>
        <v>0</v>
      </c>
      <c r="BV92" s="2">
        <f t="shared" si="461"/>
        <v>0</v>
      </c>
      <c r="BW92" s="2">
        <f t="shared" si="462"/>
        <v>4.9313361645004503E-3</v>
      </c>
      <c r="BY92" s="2">
        <f t="shared" si="640"/>
        <v>0.67725757147057686</v>
      </c>
      <c r="BZ92" s="2">
        <f t="shared" si="641"/>
        <v>4.1737098019574706E-5</v>
      </c>
      <c r="CA92" s="2">
        <f t="shared" si="642"/>
        <v>7.7963145240908288E-4</v>
      </c>
      <c r="CB92" s="2">
        <f t="shared" si="643"/>
        <v>2.4124521128255611E-4</v>
      </c>
      <c r="CC92" s="2">
        <f t="shared" si="644"/>
        <v>0.14408533303639368</v>
      </c>
      <c r="CD92" s="2">
        <f t="shared" si="645"/>
        <v>1.9970759518762966E-3</v>
      </c>
      <c r="CE92" s="2">
        <f t="shared" si="646"/>
        <v>1.195414847161572</v>
      </c>
      <c r="CF92" s="2">
        <f t="shared" si="647"/>
        <v>1.4045461779399636E-3</v>
      </c>
      <c r="CG92" s="2">
        <f t="shared" si="648"/>
        <v>0</v>
      </c>
      <c r="CH92" s="2">
        <f t="shared" si="649"/>
        <v>0</v>
      </c>
      <c r="CI92" s="2">
        <f>BW92</f>
        <v>4.9313361645004503E-3</v>
      </c>
      <c r="CK92" s="2">
        <f t="shared" si="650"/>
        <v>1.3545151429411537</v>
      </c>
      <c r="CL92" s="2">
        <f t="shared" si="651"/>
        <v>8.3474196039149412E-5</v>
      </c>
      <c r="CM92" s="2">
        <f t="shared" si="652"/>
        <v>1.1694471786136244E-3</v>
      </c>
      <c r="CN92" s="2">
        <f t="shared" si="653"/>
        <v>3.6186781692383417E-4</v>
      </c>
      <c r="CO92" s="2">
        <f t="shared" si="654"/>
        <v>0.14408533303639368</v>
      </c>
      <c r="CP92" s="2">
        <f t="shared" si="655"/>
        <v>1.9970759518762966E-3</v>
      </c>
      <c r="CQ92" s="2">
        <f t="shared" si="656"/>
        <v>1.195414847161572</v>
      </c>
      <c r="CR92" s="2">
        <f t="shared" si="657"/>
        <v>1.4045461779399636E-3</v>
      </c>
      <c r="CS92" s="2">
        <f t="shared" si="658"/>
        <v>0</v>
      </c>
      <c r="CT92" s="2">
        <f t="shared" si="659"/>
        <v>0</v>
      </c>
      <c r="CU92" s="2">
        <f t="shared" si="660"/>
        <v>4.9313361645004503E-3</v>
      </c>
      <c r="CW92" s="14">
        <f>SUM(CK92:CU92)</f>
        <v>2.7039630706250128</v>
      </c>
      <c r="CY92" s="14">
        <f>4/CW92</f>
        <v>1.4793101442304137</v>
      </c>
      <c r="DA92" s="16">
        <f t="shared" si="661"/>
        <v>1.0018739957332787</v>
      </c>
      <c r="DB92" s="16">
        <f t="shared" si="662"/>
        <v>6.174211249109598E-5</v>
      </c>
      <c r="DC92" s="16">
        <f t="shared" si="663"/>
        <v>1.1533167163098473E-3</v>
      </c>
      <c r="DD92" s="16">
        <f t="shared" si="664"/>
        <v>3.5687648829729469E-4</v>
      </c>
      <c r="DE92" s="16">
        <f t="shared" si="665"/>
        <v>0.21314689479555474</v>
      </c>
      <c r="DF92" s="16">
        <f t="shared" si="666"/>
        <v>2.954294714409215E-3</v>
      </c>
      <c r="DG92" s="16">
        <f t="shared" si="667"/>
        <v>1.768389309969763</v>
      </c>
      <c r="DH92" s="16">
        <f t="shared" si="668"/>
        <v>2.077759409066644E-3</v>
      </c>
      <c r="DI92" s="16">
        <f t="shared" si="669"/>
        <v>0</v>
      </c>
      <c r="DJ92" s="16">
        <f t="shared" si="670"/>
        <v>0</v>
      </c>
      <c r="DK92" s="16">
        <f t="shared" si="671"/>
        <v>7.2949756127558161E-3</v>
      </c>
      <c r="DL92" s="16">
        <f t="shared" si="481"/>
        <v>0.89243350977743108</v>
      </c>
      <c r="DN92" s="2">
        <f t="shared" si="482"/>
        <v>0.85511114387002751</v>
      </c>
      <c r="DO92" s="2">
        <f t="shared" si="483"/>
        <v>4.1724892899625259E-3</v>
      </c>
      <c r="DP92" s="2">
        <f t="shared" si="484"/>
        <v>6.3382805228846123E-2</v>
      </c>
      <c r="DQ92" s="2">
        <f t="shared" si="485"/>
        <v>6.1577739922122291E-3</v>
      </c>
      <c r="DR92" s="2">
        <f t="shared" si="486"/>
        <v>4.8715570243464019E-2</v>
      </c>
      <c r="DS92" s="2">
        <f t="shared" si="487"/>
        <v>1.3866681767917294E-3</v>
      </c>
      <c r="DT92" s="2">
        <f t="shared" si="488"/>
        <v>0.40118173311404753</v>
      </c>
      <c r="DU92" s="2">
        <f t="shared" si="489"/>
        <v>0.34905678161915127</v>
      </c>
      <c r="DV92" s="2">
        <f t="shared" si="490"/>
        <v>1.5862267257324997E-2</v>
      </c>
      <c r="DW92" s="2">
        <f t="shared" si="491"/>
        <v>2.8277025981802E-5</v>
      </c>
      <c r="DX92" s="2">
        <f t="shared" si="492"/>
        <v>7.2640398678924692E-4</v>
      </c>
      <c r="DZ92" s="2">
        <f t="shared" si="672"/>
        <v>1.710222287740055</v>
      </c>
      <c r="EA92" s="2">
        <f t="shared" si="673"/>
        <v>8.3449785799250518E-3</v>
      </c>
      <c r="EB92" s="2">
        <f t="shared" si="674"/>
        <v>0.19014841568653837</v>
      </c>
      <c r="EC92" s="2">
        <f t="shared" si="675"/>
        <v>1.8473321976636689E-2</v>
      </c>
      <c r="ED92" s="2">
        <f t="shared" si="676"/>
        <v>4.8715570243464019E-2</v>
      </c>
      <c r="EE92" s="2">
        <f t="shared" si="677"/>
        <v>1.3866681767917294E-3</v>
      </c>
      <c r="EF92" s="2">
        <f t="shared" si="678"/>
        <v>0.40118173311404753</v>
      </c>
      <c r="EG92" s="2">
        <f t="shared" si="679"/>
        <v>0.34905678161915127</v>
      </c>
      <c r="EH92" s="2">
        <f t="shared" si="680"/>
        <v>1.5862267257324997E-2</v>
      </c>
      <c r="EI92" s="2">
        <f t="shared" si="681"/>
        <v>2.8277025981802E-5</v>
      </c>
      <c r="EJ92" s="2">
        <f t="shared" si="682"/>
        <v>7.2640398678924692E-4</v>
      </c>
      <c r="EL92" s="16">
        <f>SUM(DZ92:EJ92)</f>
        <v>2.7441467054067052</v>
      </c>
      <c r="EN92" s="14">
        <f>6/EL92</f>
        <v>2.1864720235905719</v>
      </c>
      <c r="EP92" s="16">
        <f t="shared" si="683"/>
        <v>1.8696765931323478</v>
      </c>
      <c r="EQ92" s="16">
        <f t="shared" si="684"/>
        <v>9.1230311012343527E-3</v>
      </c>
      <c r="ER92" s="16">
        <f t="shared" si="685"/>
        <v>0.27716946081912452</v>
      </c>
      <c r="ES92" s="16">
        <f t="shared" si="686"/>
        <v>2.6927601123131334E-2</v>
      </c>
      <c r="ET92" s="16">
        <f t="shared" si="687"/>
        <v>0.10651523145059542</v>
      </c>
      <c r="EU92" s="16">
        <f t="shared" si="688"/>
        <v>3.0319111745584614E-3</v>
      </c>
      <c r="EV92" s="16">
        <f t="shared" si="689"/>
        <v>0.87717263582944427</v>
      </c>
      <c r="EW92" s="16">
        <f t="shared" si="690"/>
        <v>0.76320288765483801</v>
      </c>
      <c r="EX92" s="16">
        <f t="shared" si="691"/>
        <v>6.9364807177715718E-2</v>
      </c>
      <c r="EY92" s="16">
        <f t="shared" si="692"/>
        <v>1.236538524391076E-4</v>
      </c>
      <c r="EZ92" s="16">
        <f t="shared" si="621"/>
        <v>1.5882619949393437E-3</v>
      </c>
      <c r="FB92" s="14">
        <f t="shared" si="506"/>
        <v>-5.906233797812666</v>
      </c>
      <c r="FC92" s="4">
        <f t="shared" si="507"/>
        <v>2.3093540564350388</v>
      </c>
      <c r="FD92" s="4">
        <f t="shared" si="508"/>
        <v>1.6605908906543203</v>
      </c>
      <c r="FE92" s="4">
        <f t="shared" si="509"/>
        <v>2.3093540564350388</v>
      </c>
      <c r="FG92" s="4">
        <f t="shared" si="510"/>
        <v>2.7345661354539654</v>
      </c>
    </row>
    <row r="93" spans="1:163" x14ac:dyDescent="0.2">
      <c r="A93" s="24" t="s">
        <v>156</v>
      </c>
      <c r="B93" s="60" t="s">
        <v>166</v>
      </c>
      <c r="C93" s="138">
        <v>40.712500000000006</v>
      </c>
      <c r="D93" s="98">
        <v>1.2500000000000001E-2</v>
      </c>
      <c r="E93" s="148">
        <f t="shared" si="584"/>
        <v>4.0567903207442642E-2</v>
      </c>
      <c r="F93" s="138">
        <v>1.3750000000000002E-2</v>
      </c>
      <c r="G93" s="138">
        <v>10.482499999999998</v>
      </c>
      <c r="H93" s="138">
        <v>0.14750000000000002</v>
      </c>
      <c r="I93" s="138">
        <v>48.207500000000003</v>
      </c>
      <c r="J93" s="150">
        <f t="shared" si="585"/>
        <v>8.0190599349934374E-2</v>
      </c>
      <c r="K93" s="98"/>
      <c r="L93" s="98"/>
      <c r="M93" s="138">
        <v>0.35375000000000001</v>
      </c>
      <c r="N93" s="141">
        <v>214.70808294452706</v>
      </c>
      <c r="O93" s="142">
        <v>573.11889736374451</v>
      </c>
      <c r="P93" s="11"/>
      <c r="Q93" s="140">
        <v>51.296714285714295</v>
      </c>
      <c r="R93" s="140">
        <v>0.42942985714285709</v>
      </c>
      <c r="S93" s="140">
        <v>6.6412499999999994</v>
      </c>
      <c r="T93" s="140">
        <v>0.86946628571428575</v>
      </c>
      <c r="U93" s="140">
        <v>3.5247257142857142</v>
      </c>
      <c r="V93" s="140">
        <v>9.9321714285714277E-2</v>
      </c>
      <c r="W93" s="140">
        <v>16.64525714285714</v>
      </c>
      <c r="X93" s="140">
        <v>19.390257142857145</v>
      </c>
      <c r="Y93" s="140">
        <v>0.99862571428571434</v>
      </c>
      <c r="Z93" s="100">
        <v>3.2531428571428572E-3</v>
      </c>
      <c r="AA93" s="140">
        <v>5.3910285714285702E-2</v>
      </c>
      <c r="AC93" s="139">
        <v>53.743750000000006</v>
      </c>
      <c r="AD93" s="139">
        <v>13.23</v>
      </c>
      <c r="AE93" s="11"/>
      <c r="AF93" s="83">
        <f t="shared" si="693"/>
        <v>0.1417332342236291</v>
      </c>
      <c r="AG93" s="22">
        <f t="shared" si="448"/>
        <v>7.5483945961051543E-4</v>
      </c>
      <c r="AH93" s="126">
        <f t="shared" si="638"/>
        <v>1125.8302817673157</v>
      </c>
      <c r="AI93" s="126">
        <f t="shared" si="449"/>
        <v>1125.6803939666429</v>
      </c>
      <c r="AJ93" s="126">
        <f t="shared" si="450"/>
        <v>0.1498878006727864</v>
      </c>
      <c r="AK93" s="12"/>
      <c r="AL93" s="25">
        <f t="shared" si="639"/>
        <v>2.7411811463039073</v>
      </c>
      <c r="AN93" s="2">
        <v>15.999000000000001</v>
      </c>
      <c r="AO93" s="2">
        <v>28.085000000000001</v>
      </c>
      <c r="AP93" s="2">
        <v>47.866999999999997</v>
      </c>
      <c r="AQ93" s="2">
        <v>26.9815386</v>
      </c>
      <c r="AR93" s="2">
        <v>51.996099999999998</v>
      </c>
      <c r="AS93" s="2">
        <v>55.844999999999999</v>
      </c>
      <c r="AT93" s="2">
        <v>54.938045000000002</v>
      </c>
      <c r="AU93" s="2">
        <v>24.305</v>
      </c>
      <c r="AV93" s="2">
        <v>40.078000000000003</v>
      </c>
      <c r="AW93" s="2">
        <v>22.989769280000001</v>
      </c>
      <c r="AX93" s="2">
        <v>39.098300000000002</v>
      </c>
      <c r="AY93" s="2">
        <v>58.693399999999997</v>
      </c>
      <c r="BA93" s="2">
        <f t="shared" ref="BA93:BA94" si="694">AN93*2+AO93</f>
        <v>60.082999999999998</v>
      </c>
      <c r="BB93" s="2">
        <f t="shared" ref="BB93:BB94" si="695">AN93*2+AP93</f>
        <v>79.864999999999995</v>
      </c>
      <c r="BC93" s="2">
        <f t="shared" ref="BC93:BC94" si="696">AQ93*2+AN93*3</f>
        <v>101.9600772</v>
      </c>
      <c r="BD93" s="2">
        <f t="shared" ref="BD93:BD94" si="697">AR93*2+AN93*3</f>
        <v>151.98919999999998</v>
      </c>
      <c r="BE93" s="2">
        <f t="shared" ref="BE93:BE94" si="698">AS93+AN93</f>
        <v>71.843999999999994</v>
      </c>
      <c r="BF93" s="2">
        <f t="shared" ref="BF93:BF94" si="699">AT93+AN93</f>
        <v>70.937044999999998</v>
      </c>
      <c r="BG93" s="2">
        <f t="shared" ref="BG93:BG94" si="700">AU93+AN93</f>
        <v>40.304000000000002</v>
      </c>
      <c r="BH93" s="2">
        <f t="shared" ref="BH93:BH94" si="701">AV93+AN93</f>
        <v>56.077000000000005</v>
      </c>
      <c r="BI93" s="2">
        <f t="shared" ref="BI93:BI94" si="702">AW93*2+AN93</f>
        <v>61.978538560000004</v>
      </c>
      <c r="BJ93" s="2">
        <f t="shared" ref="BJ93:BJ94" si="703">AX93*2+AN93</f>
        <v>94.195599999999999</v>
      </c>
      <c r="BK93" s="2">
        <f t="shared" ref="BK93:BK94" si="704">AY93+AN93</f>
        <v>74.692399999999992</v>
      </c>
      <c r="BM93" s="2">
        <f t="shared" si="452"/>
        <v>0.67760431403225552</v>
      </c>
      <c r="BN93" s="2">
        <f t="shared" si="453"/>
        <v>1.5651411757340515E-4</v>
      </c>
      <c r="BO93" s="2">
        <f t="shared" si="454"/>
        <v>3.9788027158773709E-4</v>
      </c>
      <c r="BP93" s="2">
        <f t="shared" si="455"/>
        <v>9.0466954230958543E-5</v>
      </c>
      <c r="BQ93" s="2">
        <f t="shared" si="456"/>
        <v>0.14590640832915761</v>
      </c>
      <c r="BR93" s="2">
        <f t="shared" si="457"/>
        <v>2.079308491071203E-3</v>
      </c>
      <c r="BS93" s="2">
        <f t="shared" si="458"/>
        <v>1.1960971615720524</v>
      </c>
      <c r="BT93" s="2">
        <f t="shared" si="459"/>
        <v>1.4300087263928948E-3</v>
      </c>
      <c r="BU93" s="2">
        <f t="shared" si="460"/>
        <v>0</v>
      </c>
      <c r="BV93" s="2">
        <f t="shared" si="461"/>
        <v>0</v>
      </c>
      <c r="BW93" s="2">
        <f t="shared" si="462"/>
        <v>4.7360909543675131E-3</v>
      </c>
      <c r="BY93" s="2">
        <f t="shared" si="640"/>
        <v>0.67760431403225552</v>
      </c>
      <c r="BZ93" s="2">
        <f t="shared" si="641"/>
        <v>1.5651411757340515E-4</v>
      </c>
      <c r="CA93" s="2">
        <f t="shared" si="642"/>
        <v>7.9576054317547417E-4</v>
      </c>
      <c r="CB93" s="2">
        <f t="shared" si="643"/>
        <v>1.8093390846191709E-4</v>
      </c>
      <c r="CC93" s="2">
        <f t="shared" si="644"/>
        <v>0.14590640832915761</v>
      </c>
      <c r="CD93" s="2">
        <f t="shared" si="645"/>
        <v>2.079308491071203E-3</v>
      </c>
      <c r="CE93" s="2">
        <f t="shared" si="646"/>
        <v>1.1960971615720524</v>
      </c>
      <c r="CF93" s="2">
        <f t="shared" si="647"/>
        <v>1.4300087263928948E-3</v>
      </c>
      <c r="CG93" s="2">
        <f t="shared" si="648"/>
        <v>0</v>
      </c>
      <c r="CH93" s="2">
        <f t="shared" si="649"/>
        <v>0</v>
      </c>
      <c r="CI93" s="2">
        <f t="shared" ref="CI93:CI94" si="705">BW93</f>
        <v>4.7360909543675131E-3</v>
      </c>
      <c r="CK93" s="2">
        <f t="shared" si="650"/>
        <v>1.355208628064511</v>
      </c>
      <c r="CL93" s="2">
        <f t="shared" si="651"/>
        <v>3.1302823514681031E-4</v>
      </c>
      <c r="CM93" s="2">
        <f t="shared" si="652"/>
        <v>1.1936408147632113E-3</v>
      </c>
      <c r="CN93" s="2">
        <f t="shared" si="653"/>
        <v>2.7140086269287562E-4</v>
      </c>
      <c r="CO93" s="2">
        <f t="shared" si="654"/>
        <v>0.14590640832915761</v>
      </c>
      <c r="CP93" s="2">
        <f t="shared" si="655"/>
        <v>2.079308491071203E-3</v>
      </c>
      <c r="CQ93" s="2">
        <f t="shared" si="656"/>
        <v>1.1960971615720524</v>
      </c>
      <c r="CR93" s="2">
        <f t="shared" si="657"/>
        <v>1.4300087263928948E-3</v>
      </c>
      <c r="CS93" s="2">
        <f t="shared" si="658"/>
        <v>0</v>
      </c>
      <c r="CT93" s="2">
        <f t="shared" si="659"/>
        <v>0</v>
      </c>
      <c r="CU93" s="2">
        <f t="shared" si="660"/>
        <v>4.7360909543675131E-3</v>
      </c>
      <c r="CW93" s="14">
        <f t="shared" ref="CW93:CW94" si="706">SUM(CK93:CU93)</f>
        <v>2.7072356760501557</v>
      </c>
      <c r="CY93" s="14">
        <f t="shared" ref="CY93:CY94" si="707">4/CW93</f>
        <v>1.4775219000644899</v>
      </c>
      <c r="DA93" s="16">
        <f t="shared" si="661"/>
        <v>1.0011752135608334</v>
      </c>
      <c r="DB93" s="16">
        <f t="shared" si="662"/>
        <v>2.3125303638397456E-4</v>
      </c>
      <c r="DC93" s="16">
        <f t="shared" si="663"/>
        <v>1.1757536297489772E-3</v>
      </c>
      <c r="DD93" s="16">
        <f t="shared" si="664"/>
        <v>2.6733381221674625E-4</v>
      </c>
      <c r="DE93" s="16">
        <f t="shared" si="665"/>
        <v>0.21557991366608226</v>
      </c>
      <c r="DF93" s="16">
        <f t="shared" si="666"/>
        <v>3.0722238325477515E-3</v>
      </c>
      <c r="DG93" s="16">
        <f t="shared" si="667"/>
        <v>1.7672597508276819</v>
      </c>
      <c r="DH93" s="16">
        <f t="shared" si="668"/>
        <v>2.1128692105288312E-3</v>
      </c>
      <c r="DI93" s="16">
        <f t="shared" si="669"/>
        <v>0</v>
      </c>
      <c r="DJ93" s="16">
        <f t="shared" si="670"/>
        <v>0</v>
      </c>
      <c r="DK93" s="16">
        <f t="shared" si="671"/>
        <v>6.9976781057753314E-3</v>
      </c>
      <c r="DL93" s="16">
        <f t="shared" si="481"/>
        <v>0.89127718315987914</v>
      </c>
      <c r="DN93" s="2">
        <f t="shared" si="482"/>
        <v>0.8537641976218614</v>
      </c>
      <c r="DO93" s="2">
        <f t="shared" si="483"/>
        <v>5.3769468120310158E-3</v>
      </c>
      <c r="DP93" s="2">
        <f t="shared" si="484"/>
        <v>6.5135788265174036E-2</v>
      </c>
      <c r="DQ93" s="2">
        <f t="shared" si="485"/>
        <v>5.7205793945509674E-3</v>
      </c>
      <c r="DR93" s="2">
        <f t="shared" si="486"/>
        <v>4.9060822257748937E-2</v>
      </c>
      <c r="DS93" s="2">
        <f t="shared" si="487"/>
        <v>1.4001388736409064E-3</v>
      </c>
      <c r="DT93" s="2">
        <f t="shared" si="488"/>
        <v>0.41299268417172341</v>
      </c>
      <c r="DU93" s="2">
        <f t="shared" si="489"/>
        <v>0.34577914551165617</v>
      </c>
      <c r="DV93" s="2">
        <f t="shared" si="490"/>
        <v>1.6112443718223006E-2</v>
      </c>
      <c r="DW93" s="2">
        <f t="shared" si="491"/>
        <v>3.4536038383351845E-5</v>
      </c>
      <c r="DX93" s="2">
        <f t="shared" si="492"/>
        <v>7.2176400429341822E-4</v>
      </c>
      <c r="DZ93" s="2">
        <f t="shared" si="672"/>
        <v>1.7075283952437228</v>
      </c>
      <c r="EA93" s="2">
        <f t="shared" si="673"/>
        <v>1.0753893624062032E-2</v>
      </c>
      <c r="EB93" s="2">
        <f t="shared" si="674"/>
        <v>0.19540736479552212</v>
      </c>
      <c r="EC93" s="2">
        <f t="shared" si="675"/>
        <v>1.7161738183652901E-2</v>
      </c>
      <c r="ED93" s="2">
        <f t="shared" si="676"/>
        <v>4.9060822257748937E-2</v>
      </c>
      <c r="EE93" s="2">
        <f t="shared" si="677"/>
        <v>1.4001388736409064E-3</v>
      </c>
      <c r="EF93" s="2">
        <f t="shared" si="678"/>
        <v>0.41299268417172341</v>
      </c>
      <c r="EG93" s="2">
        <f t="shared" si="679"/>
        <v>0.34577914551165617</v>
      </c>
      <c r="EH93" s="2">
        <f t="shared" si="680"/>
        <v>1.6112443718223006E-2</v>
      </c>
      <c r="EI93" s="2">
        <f t="shared" si="681"/>
        <v>3.4536038383351845E-5</v>
      </c>
      <c r="EJ93" s="2">
        <f t="shared" si="682"/>
        <v>7.2176400429341822E-4</v>
      </c>
      <c r="EL93" s="16">
        <f t="shared" ref="EL93:EL94" si="708">SUM(DZ93:EJ93)</f>
        <v>2.7569529264226293</v>
      </c>
      <c r="EN93" s="14">
        <f t="shared" ref="EN93:EN94" si="709">6/EL93</f>
        <v>2.1763157225123493</v>
      </c>
      <c r="EP93" s="16">
        <f t="shared" si="683"/>
        <v>1.8580604466025974</v>
      </c>
      <c r="EQ93" s="16">
        <f t="shared" si="684"/>
        <v>1.1701933886135753E-2</v>
      </c>
      <c r="ER93" s="16">
        <f t="shared" si="685"/>
        <v>0.28351208019946728</v>
      </c>
      <c r="ES93" s="16">
        <f t="shared" si="686"/>
        <v>2.4899573756482891E-2</v>
      </c>
      <c r="ET93" s="16">
        <f t="shared" si="687"/>
        <v>0.10677183883892283</v>
      </c>
      <c r="EU93" s="16">
        <f t="shared" si="688"/>
        <v>3.0471442444054359E-3</v>
      </c>
      <c r="EV93" s="16">
        <f t="shared" si="689"/>
        <v>0.89880247184549866</v>
      </c>
      <c r="EW93" s="16">
        <f t="shared" si="690"/>
        <v>0.75252459089390278</v>
      </c>
      <c r="EX93" s="16">
        <f t="shared" si="691"/>
        <v>7.0131529184128127E-2</v>
      </c>
      <c r="EY93" s="16">
        <f t="shared" si="692"/>
        <v>1.503226466539572E-4</v>
      </c>
      <c r="EZ93" s="16">
        <f t="shared" ref="EZ93:EZ94" si="710">DX93*$EN93</f>
        <v>1.5707863504872369E-3</v>
      </c>
      <c r="FB93" s="14">
        <f t="shared" si="506"/>
        <v>-5.8753868358250712</v>
      </c>
      <c r="FC93" s="4">
        <f t="shared" si="507"/>
        <v>2.2890504274540411</v>
      </c>
      <c r="FD93" s="4">
        <f t="shared" si="508"/>
        <v>1.5956027549176883</v>
      </c>
      <c r="FE93" s="4">
        <f t="shared" si="509"/>
        <v>2.2890504274540411</v>
      </c>
      <c r="FG93" s="4">
        <f t="shared" si="510"/>
        <v>2.7411811463039073</v>
      </c>
    </row>
    <row r="94" spans="1:163" x14ac:dyDescent="0.2">
      <c r="A94" s="24" t="s">
        <v>157</v>
      </c>
      <c r="B94" s="60" t="s">
        <v>165</v>
      </c>
      <c r="C94" s="138">
        <v>40.830714285714286</v>
      </c>
      <c r="D94" s="98">
        <v>2.8571428571428571E-3</v>
      </c>
      <c r="E94" s="148">
        <f t="shared" si="584"/>
        <v>2.6848362419639782E-2</v>
      </c>
      <c r="F94" s="138">
        <v>1.7857142857142856E-2</v>
      </c>
      <c r="G94" s="138">
        <v>10.099285714285713</v>
      </c>
      <c r="H94" s="138">
        <v>0.14785714285714285</v>
      </c>
      <c r="I94" s="138">
        <v>48.605714285714278</v>
      </c>
      <c r="J94" s="150">
        <f t="shared" si="585"/>
        <v>6.3897091593355007E-2</v>
      </c>
      <c r="K94" s="98"/>
      <c r="L94" s="98"/>
      <c r="M94" s="138">
        <v>0.35642857142857143</v>
      </c>
      <c r="N94" s="141">
        <v>142.0965830016861</v>
      </c>
      <c r="O94" s="142">
        <v>456.66987122679211</v>
      </c>
      <c r="P94" s="11"/>
      <c r="Q94" s="140">
        <v>51.373637500000001</v>
      </c>
      <c r="R94" s="140">
        <v>0.41049812499999999</v>
      </c>
      <c r="S94" s="140">
        <v>7.002015000000001</v>
      </c>
      <c r="T94" s="140">
        <v>0.86344199999999993</v>
      </c>
      <c r="U94" s="140">
        <v>3.3288812499999998</v>
      </c>
      <c r="V94" s="140">
        <v>9.6137875000000012E-2</v>
      </c>
      <c r="W94" s="140">
        <v>16.23105</v>
      </c>
      <c r="X94" s="140">
        <v>19.30425</v>
      </c>
      <c r="Y94" s="140">
        <v>1.2791825000000001</v>
      </c>
      <c r="Z94" s="100">
        <v>1.8745000000000001E-3</v>
      </c>
      <c r="AA94" s="140">
        <v>5.1701750000000005E-2</v>
      </c>
      <c r="AC94" s="139">
        <v>55.417500000000004</v>
      </c>
      <c r="AD94" s="139">
        <v>11.696249999999999</v>
      </c>
      <c r="AE94" s="11"/>
      <c r="AF94" s="83">
        <f t="shared" si="693"/>
        <v>0.1240249280113797</v>
      </c>
      <c r="AG94" s="22">
        <f t="shared" si="448"/>
        <v>4.8447444254323598E-4</v>
      </c>
      <c r="AH94" s="126">
        <f t="shared" si="638"/>
        <v>1054.8551361133036</v>
      </c>
      <c r="AI94" s="126">
        <f t="shared" si="449"/>
        <v>1054.7051450754782</v>
      </c>
      <c r="AJ94" s="126">
        <f t="shared" si="450"/>
        <v>0.14999103782542988</v>
      </c>
      <c r="AK94" s="12"/>
      <c r="AL94" s="25">
        <f t="shared" si="639"/>
        <v>2.3098124045536155</v>
      </c>
      <c r="AN94" s="2">
        <v>15.999000000000001</v>
      </c>
      <c r="AO94" s="2">
        <v>28.085000000000001</v>
      </c>
      <c r="AP94" s="2">
        <v>47.866999999999997</v>
      </c>
      <c r="AQ94" s="2">
        <v>26.9815386</v>
      </c>
      <c r="AR94" s="2">
        <v>51.996099999999998</v>
      </c>
      <c r="AS94" s="2">
        <v>55.844999999999999</v>
      </c>
      <c r="AT94" s="2">
        <v>54.938045000000002</v>
      </c>
      <c r="AU94" s="2">
        <v>24.305</v>
      </c>
      <c r="AV94" s="2">
        <v>40.078000000000003</v>
      </c>
      <c r="AW94" s="2">
        <v>22.989769280000001</v>
      </c>
      <c r="AX94" s="2">
        <v>39.098300000000002</v>
      </c>
      <c r="AY94" s="2">
        <v>58.693399999999997</v>
      </c>
      <c r="BA94" s="2">
        <f t="shared" si="694"/>
        <v>60.082999999999998</v>
      </c>
      <c r="BB94" s="2">
        <f t="shared" si="695"/>
        <v>79.864999999999995</v>
      </c>
      <c r="BC94" s="2">
        <f t="shared" si="696"/>
        <v>101.9600772</v>
      </c>
      <c r="BD94" s="2">
        <f t="shared" si="697"/>
        <v>151.98919999999998</v>
      </c>
      <c r="BE94" s="2">
        <f t="shared" si="698"/>
        <v>71.843999999999994</v>
      </c>
      <c r="BF94" s="2">
        <f t="shared" si="699"/>
        <v>70.937044999999998</v>
      </c>
      <c r="BG94" s="2">
        <f t="shared" si="700"/>
        <v>40.304000000000002</v>
      </c>
      <c r="BH94" s="2">
        <f t="shared" si="701"/>
        <v>56.077000000000005</v>
      </c>
      <c r="BI94" s="2">
        <f t="shared" si="702"/>
        <v>61.978538560000004</v>
      </c>
      <c r="BJ94" s="2">
        <f t="shared" si="703"/>
        <v>94.195599999999999</v>
      </c>
      <c r="BK94" s="2">
        <f t="shared" si="704"/>
        <v>74.692399999999992</v>
      </c>
      <c r="BM94" s="2">
        <f t="shared" si="452"/>
        <v>0.67957183039652291</v>
      </c>
      <c r="BN94" s="2">
        <f t="shared" si="453"/>
        <v>3.5774655445349742E-5</v>
      </c>
      <c r="BO94" s="2">
        <f t="shared" si="454"/>
        <v>2.63322303757924E-4</v>
      </c>
      <c r="BP94" s="2">
        <f t="shared" si="455"/>
        <v>1.1748955094929678E-4</v>
      </c>
      <c r="BQ94" s="2">
        <f t="shared" si="456"/>
        <v>0.14057243074279988</v>
      </c>
      <c r="BR94" s="2">
        <f t="shared" si="457"/>
        <v>2.0843431363280337E-3</v>
      </c>
      <c r="BS94" s="2">
        <f t="shared" si="458"/>
        <v>1.2059774286848519</v>
      </c>
      <c r="BT94" s="2">
        <f t="shared" si="459"/>
        <v>1.1394527452138132E-3</v>
      </c>
      <c r="BU94" s="2">
        <f t="shared" si="460"/>
        <v>0</v>
      </c>
      <c r="BV94" s="2">
        <f t="shared" si="461"/>
        <v>0</v>
      </c>
      <c r="BW94" s="2">
        <f t="shared" si="462"/>
        <v>4.7719523194939707E-3</v>
      </c>
      <c r="BY94" s="2">
        <f t="shared" si="640"/>
        <v>0.67957183039652291</v>
      </c>
      <c r="BZ94" s="2">
        <f t="shared" si="641"/>
        <v>3.5774655445349742E-5</v>
      </c>
      <c r="CA94" s="2">
        <f t="shared" si="642"/>
        <v>5.2664460751584801E-4</v>
      </c>
      <c r="CB94" s="2">
        <f t="shared" si="643"/>
        <v>2.3497910189859355E-4</v>
      </c>
      <c r="CC94" s="2">
        <f t="shared" si="644"/>
        <v>0.14057243074279988</v>
      </c>
      <c r="CD94" s="2">
        <f t="shared" si="645"/>
        <v>2.0843431363280337E-3</v>
      </c>
      <c r="CE94" s="2">
        <f t="shared" si="646"/>
        <v>1.2059774286848519</v>
      </c>
      <c r="CF94" s="2">
        <f t="shared" si="647"/>
        <v>1.1394527452138132E-3</v>
      </c>
      <c r="CG94" s="2">
        <f t="shared" si="648"/>
        <v>0</v>
      </c>
      <c r="CH94" s="2">
        <f t="shared" si="649"/>
        <v>0</v>
      </c>
      <c r="CI94" s="2">
        <f t="shared" si="705"/>
        <v>4.7719523194939707E-3</v>
      </c>
      <c r="CK94" s="2">
        <f t="shared" si="650"/>
        <v>1.3591436607930458</v>
      </c>
      <c r="CL94" s="2">
        <f t="shared" si="651"/>
        <v>7.1549310890699485E-5</v>
      </c>
      <c r="CM94" s="2">
        <f t="shared" si="652"/>
        <v>7.8996691127377196E-4</v>
      </c>
      <c r="CN94" s="2">
        <f t="shared" si="653"/>
        <v>3.5246865284789032E-4</v>
      </c>
      <c r="CO94" s="2">
        <f t="shared" si="654"/>
        <v>0.14057243074279988</v>
      </c>
      <c r="CP94" s="2">
        <f t="shared" si="655"/>
        <v>2.0843431363280337E-3</v>
      </c>
      <c r="CQ94" s="2">
        <f t="shared" si="656"/>
        <v>1.2059774286848519</v>
      </c>
      <c r="CR94" s="2">
        <f t="shared" si="657"/>
        <v>1.1394527452138132E-3</v>
      </c>
      <c r="CS94" s="2">
        <f t="shared" si="658"/>
        <v>0</v>
      </c>
      <c r="CT94" s="2">
        <f t="shared" si="659"/>
        <v>0</v>
      </c>
      <c r="CU94" s="2">
        <f t="shared" si="660"/>
        <v>4.7719523194939707E-3</v>
      </c>
      <c r="CW94" s="14">
        <f t="shared" si="706"/>
        <v>2.7149032532967459</v>
      </c>
      <c r="CY94" s="14">
        <f t="shared" si="707"/>
        <v>1.4733490024525708</v>
      </c>
      <c r="DA94" s="16">
        <f t="shared" si="661"/>
        <v>1.0012464784095847</v>
      </c>
      <c r="DB94" s="16">
        <f t="shared" si="662"/>
        <v>5.2708552913490476E-5</v>
      </c>
      <c r="DC94" s="16">
        <f t="shared" si="663"/>
        <v>7.7593130713050039E-4</v>
      </c>
      <c r="DD94" s="16">
        <f t="shared" si="664"/>
        <v>3.4620622537949382E-4</v>
      </c>
      <c r="DE94" s="16">
        <f t="shared" si="665"/>
        <v>0.20711225060723729</v>
      </c>
      <c r="DF94" s="16">
        <f t="shared" si="666"/>
        <v>3.0709648806777714E-3</v>
      </c>
      <c r="DG94" s="16">
        <f t="shared" si="667"/>
        <v>1.7768256415331429</v>
      </c>
      <c r="DH94" s="16">
        <f t="shared" si="668"/>
        <v>1.6788115655026151E-3</v>
      </c>
      <c r="DI94" s="16">
        <f t="shared" si="669"/>
        <v>0</v>
      </c>
      <c r="DJ94" s="16">
        <f t="shared" si="670"/>
        <v>0</v>
      </c>
      <c r="DK94" s="16">
        <f t="shared" si="671"/>
        <v>7.0307511896776729E-3</v>
      </c>
      <c r="DL94" s="16">
        <f t="shared" si="481"/>
        <v>0.89560547664937562</v>
      </c>
      <c r="DN94" s="2">
        <f t="shared" si="482"/>
        <v>0.85504448013581213</v>
      </c>
      <c r="DO94" s="2">
        <f t="shared" si="483"/>
        <v>5.1399001439929887E-3</v>
      </c>
      <c r="DP94" s="2">
        <f t="shared" si="484"/>
        <v>6.8674084919190317E-2</v>
      </c>
      <c r="DQ94" s="2">
        <f t="shared" si="485"/>
        <v>5.6809431196427115E-3</v>
      </c>
      <c r="DR94" s="2">
        <f t="shared" si="486"/>
        <v>4.6334853989198822E-2</v>
      </c>
      <c r="DS94" s="2">
        <f t="shared" si="487"/>
        <v>1.3552562698375724E-3</v>
      </c>
      <c r="DT94" s="2">
        <f t="shared" si="488"/>
        <v>0.40271561135371176</v>
      </c>
      <c r="DU94" s="2">
        <f t="shared" si="489"/>
        <v>0.34424541255773305</v>
      </c>
      <c r="DV94" s="2">
        <f t="shared" si="490"/>
        <v>2.0639120084473318E-2</v>
      </c>
      <c r="DW94" s="2">
        <f t="shared" si="491"/>
        <v>1.9900080258525878E-5</v>
      </c>
      <c r="DX94" s="2">
        <f t="shared" si="492"/>
        <v>6.9219559151935145E-4</v>
      </c>
      <c r="DZ94" s="2">
        <f t="shared" si="672"/>
        <v>1.7100889602716243</v>
      </c>
      <c r="EA94" s="2">
        <f t="shared" si="673"/>
        <v>1.0279800287985977E-2</v>
      </c>
      <c r="EB94" s="2">
        <f t="shared" si="674"/>
        <v>0.20602225475757097</v>
      </c>
      <c r="EC94" s="2">
        <f t="shared" si="675"/>
        <v>1.7042829358928133E-2</v>
      </c>
      <c r="ED94" s="2">
        <f t="shared" si="676"/>
        <v>4.6334853989198822E-2</v>
      </c>
      <c r="EE94" s="2">
        <f t="shared" si="677"/>
        <v>1.3552562698375724E-3</v>
      </c>
      <c r="EF94" s="2">
        <f t="shared" si="678"/>
        <v>0.40271561135371176</v>
      </c>
      <c r="EG94" s="2">
        <f t="shared" si="679"/>
        <v>0.34424541255773305</v>
      </c>
      <c r="EH94" s="2">
        <f t="shared" si="680"/>
        <v>2.0639120084473318E-2</v>
      </c>
      <c r="EI94" s="2">
        <f t="shared" si="681"/>
        <v>1.9900080258525878E-5</v>
      </c>
      <c r="EJ94" s="2">
        <f t="shared" si="682"/>
        <v>6.9219559151935145E-4</v>
      </c>
      <c r="EL94" s="16">
        <f t="shared" si="708"/>
        <v>2.7594361946028414</v>
      </c>
      <c r="EN94" s="14">
        <f t="shared" si="709"/>
        <v>2.1743572153381732</v>
      </c>
      <c r="EP94" s="16">
        <f t="shared" si="683"/>
        <v>1.8591721348183803</v>
      </c>
      <c r="EQ94" s="16">
        <f t="shared" si="684"/>
        <v>1.117597896420887E-2</v>
      </c>
      <c r="ER94" s="16">
        <f t="shared" si="685"/>
        <v>0.29864398410157578</v>
      </c>
      <c r="ES94" s="16">
        <f t="shared" si="686"/>
        <v>2.4704799324241761E-2</v>
      </c>
      <c r="ET94" s="16">
        <f t="shared" si="687"/>
        <v>0.10074852409305519</v>
      </c>
      <c r="EU94" s="16">
        <f t="shared" si="688"/>
        <v>2.9468112489536239E-3</v>
      </c>
      <c r="EV94" s="16">
        <f t="shared" si="689"/>
        <v>0.87564759527626668</v>
      </c>
      <c r="EW94" s="16">
        <f t="shared" si="690"/>
        <v>0.74851249664197306</v>
      </c>
      <c r="EX94" s="16">
        <f t="shared" si="691"/>
        <v>8.9753639347811123E-2</v>
      </c>
      <c r="EY94" s="16">
        <f t="shared" si="692"/>
        <v>8.6539766191868963E-5</v>
      </c>
      <c r="EZ94" s="16">
        <f t="shared" si="710"/>
        <v>1.5050804788453765E-3</v>
      </c>
      <c r="FB94" s="14">
        <f t="shared" si="506"/>
        <v>-6.1000017576986352</v>
      </c>
      <c r="FC94" s="4">
        <f t="shared" si="507"/>
        <v>1.6218428925788939</v>
      </c>
      <c r="FD94" s="4">
        <f t="shared" si="508"/>
        <v>1.5249405743969018</v>
      </c>
      <c r="FE94" s="4">
        <f t="shared" si="509"/>
        <v>1.6218428925788939</v>
      </c>
      <c r="FG94" s="4">
        <f t="shared" si="510"/>
        <v>2.3098124045536155</v>
      </c>
    </row>
    <row r="95" spans="1:163" x14ac:dyDescent="0.2">
      <c r="A95" s="24" t="s">
        <v>158</v>
      </c>
      <c r="B95" s="60" t="s">
        <v>165</v>
      </c>
      <c r="C95" s="138">
        <v>40.932500000000005</v>
      </c>
      <c r="D95" s="98"/>
      <c r="E95" s="148">
        <f t="shared" si="584"/>
        <v>2.8448484162858587E-2</v>
      </c>
      <c r="F95" s="138">
        <v>2.2500000000000003E-2</v>
      </c>
      <c r="G95" s="138">
        <v>9.4450000000000003</v>
      </c>
      <c r="H95" s="138">
        <v>0.13125000000000001</v>
      </c>
      <c r="I95" s="138">
        <v>49.106250000000003</v>
      </c>
      <c r="J95" s="150">
        <f t="shared" si="585"/>
        <v>6.3935940655000245E-2</v>
      </c>
      <c r="K95" s="98"/>
      <c r="L95" s="98"/>
      <c r="M95" s="138">
        <v>0.375</v>
      </c>
      <c r="N95" s="141">
        <v>150.56532416899728</v>
      </c>
      <c r="O95" s="142">
        <v>456.94752386381231</v>
      </c>
      <c r="P95" s="11"/>
      <c r="Q95" s="140"/>
      <c r="R95" s="140"/>
      <c r="S95" s="140"/>
      <c r="T95" s="140"/>
      <c r="U95" s="140"/>
      <c r="V95" s="140"/>
      <c r="W95" s="140"/>
      <c r="X95" s="140"/>
      <c r="Y95" s="140"/>
      <c r="Z95" s="100"/>
      <c r="AA95" s="140"/>
      <c r="AC95" s="139">
        <v>54.29</v>
      </c>
      <c r="AD95" s="139">
        <v>13.417499999999999</v>
      </c>
      <c r="AE95" s="11"/>
      <c r="AF95" s="83">
        <f t="shared" si="583"/>
        <v>0.1422156538724034</v>
      </c>
      <c r="AG95" s="22">
        <f t="shared" si="448"/>
        <v>5.2400965486937908E-4</v>
      </c>
      <c r="AH95" s="126">
        <f t="shared" si="549"/>
        <v>1064.4961491578613</v>
      </c>
      <c r="AI95" s="126">
        <f t="shared" si="449"/>
        <v>1064.3458913493848</v>
      </c>
      <c r="AJ95" s="126">
        <f t="shared" si="450"/>
        <v>0.15025780847645365</v>
      </c>
      <c r="AK95" s="12"/>
      <c r="AL95" s="25">
        <f t="shared" si="550"/>
        <v>2.421462939261747</v>
      </c>
      <c r="AN95" s="2">
        <v>15.999000000000001</v>
      </c>
      <c r="AO95" s="2">
        <v>28.085000000000001</v>
      </c>
      <c r="AP95" s="2">
        <v>47.866999999999997</v>
      </c>
      <c r="AQ95" s="2">
        <v>26.9815386</v>
      </c>
      <c r="AR95" s="2">
        <v>51.996099999999998</v>
      </c>
      <c r="AS95" s="2">
        <v>55.844999999999999</v>
      </c>
      <c r="AT95" s="2">
        <v>54.938045000000002</v>
      </c>
      <c r="AU95" s="2">
        <v>24.305</v>
      </c>
      <c r="AV95" s="2">
        <v>40.078000000000003</v>
      </c>
      <c r="AW95" s="2">
        <v>22.989769280000001</v>
      </c>
      <c r="AX95" s="2">
        <v>39.098300000000002</v>
      </c>
      <c r="AY95" s="2">
        <v>58.693399999999997</v>
      </c>
      <c r="BA95" s="2">
        <f>AN95*2+AO95</f>
        <v>60.082999999999998</v>
      </c>
      <c r="BB95" s="2">
        <f>AN95*2+AP95</f>
        <v>79.864999999999995</v>
      </c>
      <c r="BC95" s="2">
        <f>AQ95*2+AN95*3</f>
        <v>101.9600772</v>
      </c>
      <c r="BD95" s="2">
        <f>AR95*2+AN95*3</f>
        <v>151.98919999999998</v>
      </c>
      <c r="BE95" s="2">
        <f>AS95+AN95</f>
        <v>71.843999999999994</v>
      </c>
      <c r="BF95" s="2">
        <f>AT95+AN95</f>
        <v>70.937044999999998</v>
      </c>
      <c r="BG95" s="2">
        <f>AU95+AN95</f>
        <v>40.304000000000002</v>
      </c>
      <c r="BH95" s="2">
        <f>AV95+AN95</f>
        <v>56.077000000000005</v>
      </c>
      <c r="BI95" s="2">
        <f>AW95*2+AN95</f>
        <v>61.978538560000004</v>
      </c>
      <c r="BJ95" s="2">
        <f>AX95*2+AN95</f>
        <v>94.195599999999999</v>
      </c>
      <c r="BK95" s="2">
        <f>AY95+AN95</f>
        <v>74.692399999999992</v>
      </c>
      <c r="BM95" s="2">
        <f t="shared" si="452"/>
        <v>0.68126591548358117</v>
      </c>
      <c r="BN95" s="2">
        <f t="shared" si="453"/>
        <v>0</v>
      </c>
      <c r="BO95" s="2">
        <f t="shared" si="454"/>
        <v>2.7901591430786588E-4</v>
      </c>
      <c r="BP95" s="2">
        <f t="shared" si="455"/>
        <v>1.4803683419611398E-4</v>
      </c>
      <c r="BQ95" s="2">
        <f t="shared" si="456"/>
        <v>0.13146539724959636</v>
      </c>
      <c r="BR95" s="2">
        <f t="shared" si="457"/>
        <v>1.8502321318853924E-3</v>
      </c>
      <c r="BS95" s="2">
        <f t="shared" si="458"/>
        <v>1.2183964370782057</v>
      </c>
      <c r="BT95" s="2">
        <f t="shared" si="459"/>
        <v>1.1401455258840565E-3</v>
      </c>
      <c r="BU95" s="2">
        <f t="shared" si="460"/>
        <v>0</v>
      </c>
      <c r="BV95" s="2">
        <f t="shared" si="461"/>
        <v>0</v>
      </c>
      <c r="BW95" s="2">
        <f t="shared" si="462"/>
        <v>5.0205911177040779E-3</v>
      </c>
      <c r="BY95" s="2">
        <f t="shared" si="551"/>
        <v>0.68126591548358117</v>
      </c>
      <c r="BZ95" s="2">
        <f t="shared" si="552"/>
        <v>0</v>
      </c>
      <c r="CA95" s="2">
        <f t="shared" si="553"/>
        <v>5.5803182861573176E-4</v>
      </c>
      <c r="CB95" s="2">
        <f t="shared" si="554"/>
        <v>2.9607366839222795E-4</v>
      </c>
      <c r="CC95" s="2">
        <f t="shared" si="555"/>
        <v>0.13146539724959636</v>
      </c>
      <c r="CD95" s="2">
        <f t="shared" si="556"/>
        <v>1.8502321318853924E-3</v>
      </c>
      <c r="CE95" s="2">
        <f t="shared" si="557"/>
        <v>1.2183964370782057</v>
      </c>
      <c r="CF95" s="2">
        <f t="shared" si="558"/>
        <v>1.1401455258840565E-3</v>
      </c>
      <c r="CG95" s="2">
        <f t="shared" si="559"/>
        <v>0</v>
      </c>
      <c r="CH95" s="2">
        <f t="shared" si="560"/>
        <v>0</v>
      </c>
      <c r="CI95" s="2">
        <f>BW95</f>
        <v>5.0205911177040779E-3</v>
      </c>
      <c r="CK95" s="2">
        <f t="shared" si="561"/>
        <v>1.3625318309671623</v>
      </c>
      <c r="CL95" s="2">
        <f t="shared" si="562"/>
        <v>0</v>
      </c>
      <c r="CM95" s="2">
        <f t="shared" si="563"/>
        <v>8.3704774292359769E-4</v>
      </c>
      <c r="CN95" s="2">
        <f t="shared" si="564"/>
        <v>4.4411050258834193E-4</v>
      </c>
      <c r="CO95" s="2">
        <f t="shared" si="565"/>
        <v>0.13146539724959636</v>
      </c>
      <c r="CP95" s="2">
        <f t="shared" si="566"/>
        <v>1.8502321318853924E-3</v>
      </c>
      <c r="CQ95" s="2">
        <f t="shared" si="567"/>
        <v>1.2183964370782057</v>
      </c>
      <c r="CR95" s="2">
        <f t="shared" si="568"/>
        <v>1.1401455258840565E-3</v>
      </c>
      <c r="CS95" s="2">
        <f t="shared" si="569"/>
        <v>0</v>
      </c>
      <c r="CT95" s="2">
        <f t="shared" si="570"/>
        <v>0</v>
      </c>
      <c r="CU95" s="2">
        <f t="shared" si="571"/>
        <v>5.0205911177040779E-3</v>
      </c>
      <c r="CW95" s="14">
        <f>SUM(CK95:CU95)</f>
        <v>2.7216857923159496</v>
      </c>
      <c r="CY95" s="14">
        <f>4/CW95</f>
        <v>1.4696773636740417</v>
      </c>
      <c r="DA95" s="16">
        <f t="shared" ref="DA95:DA115" si="711">BY95*$CY95</f>
        <v>1.0012410946288921</v>
      </c>
      <c r="DB95" s="16">
        <f t="shared" ref="DB95:DB115" si="712">BZ95*$CY95</f>
        <v>0</v>
      </c>
      <c r="DC95" s="16">
        <f t="shared" ref="DC95:DC115" si="713">CA95*$CY95</f>
        <v>8.2012674672617331E-4</v>
      </c>
      <c r="DD95" s="16">
        <f t="shared" ref="DD95:DD115" si="714">CB95*$CY95</f>
        <v>4.3513276841599204E-4</v>
      </c>
      <c r="DE95" s="16">
        <f t="shared" ref="DE95:DE115" si="715">CC95*$CY95</f>
        <v>0.19321171844414739</v>
      </c>
      <c r="DF95" s="16">
        <f t="shared" ref="DF95:DF115" si="716">CD95*$CY95</f>
        <v>2.7192442817743252E-3</v>
      </c>
      <c r="DG95" s="16">
        <f t="shared" ref="DG95:DG115" si="717">CE95*$CY95</f>
        <v>1.7906496635549427</v>
      </c>
      <c r="DH95" s="16">
        <f t="shared" ref="DH95:DH115" si="718">CF95*$CY95</f>
        <v>1.6756460706860341E-3</v>
      </c>
      <c r="DI95" s="16">
        <f t="shared" ref="DI95:DI115" si="719">CG95*$CY95</f>
        <v>0</v>
      </c>
      <c r="DJ95" s="16">
        <f t="shared" ref="DJ95:DJ115" si="720">CH95*$CY95</f>
        <v>0</v>
      </c>
      <c r="DK95" s="16">
        <f t="shared" ref="DK95:DK115" si="721">CI95*$CY95</f>
        <v>7.3786491179526391E-3</v>
      </c>
      <c r="DL95" s="16">
        <f t="shared" si="481"/>
        <v>0.90260825670720379</v>
      </c>
      <c r="DN95" s="2">
        <f t="shared" si="482"/>
        <v>0</v>
      </c>
      <c r="DO95" s="2">
        <f t="shared" si="483"/>
        <v>0</v>
      </c>
      <c r="DP95" s="2">
        <f t="shared" si="484"/>
        <v>0</v>
      </c>
      <c r="DQ95" s="2">
        <f t="shared" si="485"/>
        <v>0</v>
      </c>
      <c r="DR95" s="2">
        <f t="shared" si="486"/>
        <v>0</v>
      </c>
      <c r="DS95" s="2">
        <f t="shared" si="487"/>
        <v>0</v>
      </c>
      <c r="DT95" s="2">
        <f t="shared" si="488"/>
        <v>0</v>
      </c>
      <c r="DU95" s="2">
        <f t="shared" si="489"/>
        <v>0</v>
      </c>
      <c r="DV95" s="2">
        <f t="shared" si="490"/>
        <v>0</v>
      </c>
      <c r="DW95" s="2">
        <f t="shared" si="491"/>
        <v>0</v>
      </c>
      <c r="DX95" s="2">
        <f t="shared" si="492"/>
        <v>0</v>
      </c>
      <c r="DZ95" s="2">
        <f t="shared" si="572"/>
        <v>0</v>
      </c>
      <c r="EA95" s="2">
        <f t="shared" si="573"/>
        <v>0</v>
      </c>
      <c r="EB95" s="2">
        <f t="shared" si="574"/>
        <v>0</v>
      </c>
      <c r="EC95" s="2">
        <f t="shared" si="575"/>
        <v>0</v>
      </c>
      <c r="ED95" s="2">
        <f t="shared" si="576"/>
        <v>0</v>
      </c>
      <c r="EE95" s="2">
        <f t="shared" si="577"/>
        <v>0</v>
      </c>
      <c r="EF95" s="2">
        <f t="shared" si="578"/>
        <v>0</v>
      </c>
      <c r="EG95" s="2">
        <f t="shared" si="579"/>
        <v>0</v>
      </c>
      <c r="EH95" s="2">
        <f t="shared" si="580"/>
        <v>0</v>
      </c>
      <c r="EI95" s="2">
        <f t="shared" si="581"/>
        <v>0</v>
      </c>
      <c r="EJ95" s="2">
        <f t="shared" si="582"/>
        <v>0</v>
      </c>
      <c r="EL95" s="16">
        <f>SUM(DZ95:EJ95)</f>
        <v>0</v>
      </c>
      <c r="EN95" s="14" t="e">
        <f>6/EL95</f>
        <v>#DIV/0!</v>
      </c>
      <c r="EP95" s="16" t="e">
        <f t="shared" ref="EP95:EP115" si="722">DN95*$EN95</f>
        <v>#DIV/0!</v>
      </c>
      <c r="EQ95" s="16" t="e">
        <f t="shared" ref="EQ95:EQ115" si="723">DO95*$EN95</f>
        <v>#DIV/0!</v>
      </c>
      <c r="ER95" s="16" t="e">
        <f t="shared" ref="ER95:ER115" si="724">2*DP95*$EN95</f>
        <v>#DIV/0!</v>
      </c>
      <c r="ES95" s="16" t="e">
        <f t="shared" ref="ES95:ES115" si="725">2*DQ95*$EN95</f>
        <v>#DIV/0!</v>
      </c>
      <c r="ET95" s="16" t="e">
        <f t="shared" ref="ET95:ET115" si="726">DR95*$EN95</f>
        <v>#DIV/0!</v>
      </c>
      <c r="EU95" s="16" t="e">
        <f t="shared" ref="EU95:EU115" si="727">DS95*$EN95</f>
        <v>#DIV/0!</v>
      </c>
      <c r="EV95" s="16" t="e">
        <f t="shared" ref="EV95:EV115" si="728">DT95*$EN95</f>
        <v>#DIV/0!</v>
      </c>
      <c r="EW95" s="16" t="e">
        <f t="shared" ref="EW95:EW115" si="729">DU95*$EN95</f>
        <v>#DIV/0!</v>
      </c>
      <c r="EX95" s="16" t="e">
        <f t="shared" ref="EX95:EX115" si="730">2*DV95*$EN95</f>
        <v>#DIV/0!</v>
      </c>
      <c r="EY95" s="16" t="e">
        <f t="shared" ref="EY95:EY115" si="731">2*DW95*$EN95</f>
        <v>#DIV/0!</v>
      </c>
      <c r="EZ95" s="16" t="e">
        <f t="shared" ref="EZ95:EZ108" si="732">DX95*$EN95</f>
        <v>#DIV/0!</v>
      </c>
      <c r="FB95" s="14" t="e">
        <f t="shared" si="506"/>
        <v>#DIV/0!</v>
      </c>
      <c r="FC95" s="4" t="e">
        <f t="shared" si="507"/>
        <v>#DIV/0!</v>
      </c>
      <c r="FD95" s="4" t="e">
        <f t="shared" si="508"/>
        <v>#DIV/0!</v>
      </c>
      <c r="FE95" s="4" t="e">
        <f t="shared" si="509"/>
        <v>#DIV/0!</v>
      </c>
      <c r="FG95" s="4">
        <f t="shared" si="510"/>
        <v>2.421462939261747</v>
      </c>
    </row>
    <row r="96" spans="1:163" x14ac:dyDescent="0.2">
      <c r="A96" s="24" t="s">
        <v>159</v>
      </c>
      <c r="B96" s="60" t="s">
        <v>165</v>
      </c>
      <c r="C96" s="138">
        <v>40.71125</v>
      </c>
      <c r="D96" s="98">
        <v>2.5000000000000001E-3</v>
      </c>
      <c r="E96" s="148">
        <f t="shared" si="584"/>
        <v>3.2353584967662496E-2</v>
      </c>
      <c r="F96" s="138">
        <v>8.7500000000000008E-3</v>
      </c>
      <c r="G96" s="138">
        <v>10.69875</v>
      </c>
      <c r="H96" s="138">
        <v>0.14874999999999999</v>
      </c>
      <c r="I96" s="138">
        <v>48.104999999999997</v>
      </c>
      <c r="J96" s="150">
        <f t="shared" si="585"/>
        <v>7.1885907212792519E-2</v>
      </c>
      <c r="K96" s="98"/>
      <c r="L96" s="98"/>
      <c r="M96" s="138">
        <v>0.34249999999999997</v>
      </c>
      <c r="N96" s="141">
        <v>171.23330651990057</v>
      </c>
      <c r="O96" s="142">
        <v>513.76560609060732</v>
      </c>
      <c r="P96" s="11"/>
      <c r="Q96" s="140">
        <v>52.007062499999996</v>
      </c>
      <c r="R96" s="140">
        <v>0.48891925000000003</v>
      </c>
      <c r="S96" s="140">
        <v>5.5748288749999997</v>
      </c>
      <c r="T96" s="140">
        <v>0.86968912499999984</v>
      </c>
      <c r="U96" s="140">
        <v>3.453055</v>
      </c>
      <c r="V96" s="140">
        <v>0.10983900000000001</v>
      </c>
      <c r="W96" s="140">
        <v>16.973824999999998</v>
      </c>
      <c r="X96" s="140">
        <v>19.5775875</v>
      </c>
      <c r="Y96" s="140">
        <v>0.94534487499999997</v>
      </c>
      <c r="Z96" s="100">
        <v>6.3870000000000003E-3</v>
      </c>
      <c r="AA96" s="140">
        <v>4.7576750000000001E-2</v>
      </c>
      <c r="AC96" s="139">
        <v>57.45</v>
      </c>
      <c r="AD96" s="139">
        <v>9.6474999999999991</v>
      </c>
      <c r="AE96" s="11"/>
      <c r="AF96" s="83">
        <f>AD96/151.9892/(AD96/151.9892+AC96/101.9601)</f>
        <v>0.10124709789447675</v>
      </c>
      <c r="AG96" s="22">
        <f t="shared" si="448"/>
        <v>5.6316074791405561E-4</v>
      </c>
      <c r="AH96" s="126">
        <f t="shared" si="549"/>
        <v>1082.7837559219047</v>
      </c>
      <c r="AI96" s="126">
        <f t="shared" si="449"/>
        <v>1082.6339447358598</v>
      </c>
      <c r="AJ96" s="126">
        <f t="shared" si="450"/>
        <v>0.14981118604487165</v>
      </c>
      <c r="AK96" s="12"/>
      <c r="AL96" s="25">
        <f t="shared" si="550"/>
        <v>2.4360814951246312</v>
      </c>
      <c r="AN96" s="2">
        <v>15.999000000000001</v>
      </c>
      <c r="AO96" s="2">
        <v>28.085000000000001</v>
      </c>
      <c r="AP96" s="2">
        <v>47.866999999999997</v>
      </c>
      <c r="AQ96" s="2">
        <v>26.9815386</v>
      </c>
      <c r="AR96" s="2">
        <v>51.996099999999998</v>
      </c>
      <c r="AS96" s="2">
        <v>55.844999999999999</v>
      </c>
      <c r="AT96" s="2">
        <v>54.938045000000002</v>
      </c>
      <c r="AU96" s="2">
        <v>24.305</v>
      </c>
      <c r="AV96" s="2">
        <v>40.078000000000003</v>
      </c>
      <c r="AW96" s="2">
        <v>22.989769280000001</v>
      </c>
      <c r="AX96" s="2">
        <v>39.098300000000002</v>
      </c>
      <c r="AY96" s="2">
        <v>58.693399999999997</v>
      </c>
      <c r="BA96" s="2">
        <f>AN96*2+AO96</f>
        <v>60.082999999999998</v>
      </c>
      <c r="BB96" s="2">
        <f>AN96*2+AP96</f>
        <v>79.864999999999995</v>
      </c>
      <c r="BC96" s="2">
        <f>AQ96*2+AN96*3</f>
        <v>101.9600772</v>
      </c>
      <c r="BD96" s="2">
        <f>AR96*2+AN96*3</f>
        <v>151.98919999999998</v>
      </c>
      <c r="BE96" s="2">
        <f>AS96+AN96</f>
        <v>71.843999999999994</v>
      </c>
      <c r="BF96" s="2">
        <f>AT96+AN96</f>
        <v>70.937044999999998</v>
      </c>
      <c r="BG96" s="2">
        <f>AU96+AN96</f>
        <v>40.304000000000002</v>
      </c>
      <c r="BH96" s="2">
        <f>AV96+AN96</f>
        <v>56.077000000000005</v>
      </c>
      <c r="BI96" s="2">
        <f>AW96*2+AN96</f>
        <v>61.978538560000004</v>
      </c>
      <c r="BJ96" s="2">
        <f>AX96*2+AN96</f>
        <v>94.195599999999999</v>
      </c>
      <c r="BK96" s="2">
        <f>AY96+AN96</f>
        <v>74.692399999999992</v>
      </c>
      <c r="BM96" s="2">
        <f t="shared" si="452"/>
        <v>0.67758350947855472</v>
      </c>
      <c r="BN96" s="2">
        <f t="shared" si="453"/>
        <v>3.1302823514681028E-5</v>
      </c>
      <c r="BO96" s="2">
        <f t="shared" si="454"/>
        <v>3.1731620705032669E-4</v>
      </c>
      <c r="BP96" s="2">
        <f t="shared" si="455"/>
        <v>5.7569879965155434E-5</v>
      </c>
      <c r="BQ96" s="2">
        <f t="shared" si="456"/>
        <v>0.14891640220477703</v>
      </c>
      <c r="BR96" s="2">
        <f t="shared" si="457"/>
        <v>2.096929749470111E-3</v>
      </c>
      <c r="BS96" s="2">
        <f t="shared" si="458"/>
        <v>1.1935539896784437</v>
      </c>
      <c r="BT96" s="2">
        <f t="shared" si="459"/>
        <v>1.2819142823758851E-3</v>
      </c>
      <c r="BU96" s="2">
        <f t="shared" si="460"/>
        <v>0</v>
      </c>
      <c r="BV96" s="2">
        <f t="shared" si="461"/>
        <v>0</v>
      </c>
      <c r="BW96" s="2">
        <f t="shared" si="462"/>
        <v>4.5854732208363905E-3</v>
      </c>
      <c r="BY96" s="2">
        <f t="shared" si="551"/>
        <v>0.67758350947855472</v>
      </c>
      <c r="BZ96" s="2">
        <f t="shared" si="552"/>
        <v>3.1302823514681028E-5</v>
      </c>
      <c r="CA96" s="2">
        <f t="shared" si="553"/>
        <v>6.3463241410065339E-4</v>
      </c>
      <c r="CB96" s="2">
        <f t="shared" si="554"/>
        <v>1.1513975993031087E-4</v>
      </c>
      <c r="CC96" s="2">
        <f t="shared" si="555"/>
        <v>0.14891640220477703</v>
      </c>
      <c r="CD96" s="2">
        <f t="shared" si="556"/>
        <v>2.096929749470111E-3</v>
      </c>
      <c r="CE96" s="2">
        <f t="shared" si="557"/>
        <v>1.1935539896784437</v>
      </c>
      <c r="CF96" s="2">
        <f t="shared" si="558"/>
        <v>1.2819142823758851E-3</v>
      </c>
      <c r="CG96" s="2">
        <f t="shared" si="559"/>
        <v>0</v>
      </c>
      <c r="CH96" s="2">
        <f t="shared" si="560"/>
        <v>0</v>
      </c>
      <c r="CI96" s="2">
        <f>BW96</f>
        <v>4.5854732208363905E-3</v>
      </c>
      <c r="CK96" s="2">
        <f t="shared" si="561"/>
        <v>1.3551670189571094</v>
      </c>
      <c r="CL96" s="2">
        <f t="shared" si="562"/>
        <v>6.2605647029362056E-5</v>
      </c>
      <c r="CM96" s="2">
        <f t="shared" si="563"/>
        <v>9.5194862115098003E-4</v>
      </c>
      <c r="CN96" s="2">
        <f t="shared" si="564"/>
        <v>1.7270963989546632E-4</v>
      </c>
      <c r="CO96" s="2">
        <f t="shared" si="565"/>
        <v>0.14891640220477703</v>
      </c>
      <c r="CP96" s="2">
        <f t="shared" si="566"/>
        <v>2.096929749470111E-3</v>
      </c>
      <c r="CQ96" s="2">
        <f t="shared" si="567"/>
        <v>1.1935539896784437</v>
      </c>
      <c r="CR96" s="2">
        <f t="shared" si="568"/>
        <v>1.2819142823758851E-3</v>
      </c>
      <c r="CS96" s="2">
        <f t="shared" si="569"/>
        <v>0</v>
      </c>
      <c r="CT96" s="2">
        <f t="shared" si="570"/>
        <v>0</v>
      </c>
      <c r="CU96" s="2">
        <f t="shared" si="571"/>
        <v>4.5854732208363905E-3</v>
      </c>
      <c r="CW96" s="14">
        <f>SUM(CK96:CU96)</f>
        <v>2.7067889920010884</v>
      </c>
      <c r="CY96" s="14">
        <f>4/CW96</f>
        <v>1.4777657260394206</v>
      </c>
      <c r="DA96" s="16">
        <f t="shared" si="711"/>
        <v>1.0013096868369151</v>
      </c>
      <c r="DB96" s="16">
        <f t="shared" si="712"/>
        <v>4.6258239718256459E-5</v>
      </c>
      <c r="DC96" s="16">
        <f t="shared" si="713"/>
        <v>9.3783803019160223E-4</v>
      </c>
      <c r="DD96" s="16">
        <f t="shared" si="714"/>
        <v>1.7014959092942041E-4</v>
      </c>
      <c r="DE96" s="16">
        <f t="shared" si="715"/>
        <v>0.22006355522332069</v>
      </c>
      <c r="DF96" s="16">
        <f t="shared" si="716"/>
        <v>3.098770913679359E-3</v>
      </c>
      <c r="DG96" s="16">
        <f t="shared" si="717"/>
        <v>1.7637931781244125</v>
      </c>
      <c r="DH96" s="16">
        <f t="shared" si="718"/>
        <v>1.8943689902155027E-3</v>
      </c>
      <c r="DI96" s="16">
        <f t="shared" si="719"/>
        <v>0</v>
      </c>
      <c r="DJ96" s="16">
        <f t="shared" si="720"/>
        <v>0</v>
      </c>
      <c r="DK96" s="16">
        <f t="shared" si="721"/>
        <v>6.776255163423609E-3</v>
      </c>
      <c r="DL96" s="16">
        <f t="shared" si="481"/>
        <v>0.88907285918173828</v>
      </c>
      <c r="DN96" s="2">
        <f t="shared" si="482"/>
        <v>0.86558697967811193</v>
      </c>
      <c r="DO96" s="2">
        <f t="shared" si="483"/>
        <v>6.1218211982720849E-3</v>
      </c>
      <c r="DP96" s="2">
        <f t="shared" si="484"/>
        <v>5.4676585464570437E-2</v>
      </c>
      <c r="DQ96" s="2">
        <f t="shared" si="485"/>
        <v>5.7220455466572622E-3</v>
      </c>
      <c r="DR96" s="2">
        <f t="shared" si="486"/>
        <v>4.8063234229719955E-2</v>
      </c>
      <c r="DS96" s="2">
        <f t="shared" si="487"/>
        <v>1.5484011210221684E-3</v>
      </c>
      <c r="DT96" s="2">
        <f t="shared" si="488"/>
        <v>0.42114492358078598</v>
      </c>
      <c r="DU96" s="2">
        <f t="shared" si="489"/>
        <v>0.34911973714713695</v>
      </c>
      <c r="DV96" s="2">
        <f t="shared" si="490"/>
        <v>1.5252777767336887E-2</v>
      </c>
      <c r="DW96" s="2">
        <f t="shared" si="491"/>
        <v>6.7805714916620307E-5</v>
      </c>
      <c r="DX96" s="2">
        <f t="shared" si="492"/>
        <v>6.3696908922460658E-4</v>
      </c>
      <c r="DZ96" s="2">
        <f t="shared" si="572"/>
        <v>1.7311739593562239</v>
      </c>
      <c r="EA96" s="2">
        <f t="shared" si="573"/>
        <v>1.224364239654417E-2</v>
      </c>
      <c r="EB96" s="2">
        <f t="shared" si="574"/>
        <v>0.16402975639371131</v>
      </c>
      <c r="EC96" s="2">
        <f t="shared" si="575"/>
        <v>1.7166136639971786E-2</v>
      </c>
      <c r="ED96" s="2">
        <f t="shared" si="576"/>
        <v>4.8063234229719955E-2</v>
      </c>
      <c r="EE96" s="2">
        <f t="shared" si="577"/>
        <v>1.5484011210221684E-3</v>
      </c>
      <c r="EF96" s="2">
        <f t="shared" si="578"/>
        <v>0.42114492358078598</v>
      </c>
      <c r="EG96" s="2">
        <f t="shared" si="579"/>
        <v>0.34911973714713695</v>
      </c>
      <c r="EH96" s="2">
        <f t="shared" si="580"/>
        <v>1.5252777767336887E-2</v>
      </c>
      <c r="EI96" s="2">
        <f t="shared" si="581"/>
        <v>6.7805714916620307E-5</v>
      </c>
      <c r="EJ96" s="2">
        <f t="shared" si="582"/>
        <v>6.3696908922460658E-4</v>
      </c>
      <c r="EL96" s="16">
        <f>SUM(DZ96:EJ96)</f>
        <v>2.7604473434365944</v>
      </c>
      <c r="EN96" s="14">
        <f>6/EL96</f>
        <v>2.1735607506754153</v>
      </c>
      <c r="EP96" s="16">
        <f t="shared" si="722"/>
        <v>1.8814058853240225</v>
      </c>
      <c r="EQ96" s="16">
        <f t="shared" si="723"/>
        <v>1.3306150279216944E-2</v>
      </c>
      <c r="ER96" s="16">
        <f t="shared" si="724"/>
        <v>0.23768576029348043</v>
      </c>
      <c r="ES96" s="16">
        <f t="shared" si="725"/>
        <v>2.4874427227582551E-2</v>
      </c>
      <c r="ET96" s="16">
        <f t="shared" si="726"/>
        <v>0.10446835947223843</v>
      </c>
      <c r="EU96" s="16">
        <f t="shared" si="727"/>
        <v>3.3655439029555991E-3</v>
      </c>
      <c r="EV96" s="16">
        <f t="shared" si="728"/>
        <v>0.91538407624139362</v>
      </c>
      <c r="EW96" s="16">
        <f t="shared" si="729"/>
        <v>0.75883295794913463</v>
      </c>
      <c r="EX96" s="16">
        <f t="shared" si="730"/>
        <v>6.6305678187716099E-2</v>
      </c>
      <c r="EY96" s="16">
        <f t="shared" si="731"/>
        <v>2.9475968122850488E-4</v>
      </c>
      <c r="EZ96" s="16">
        <f t="shared" si="732"/>
        <v>1.3844910117320715E-3</v>
      </c>
      <c r="FB96" s="14">
        <f t="shared" si="506"/>
        <v>-5.9928958750322971</v>
      </c>
      <c r="FC96" s="4">
        <f t="shared" si="507"/>
        <v>1.8459968633064996</v>
      </c>
      <c r="FD96" s="4">
        <f t="shared" si="508"/>
        <v>1.5019792550536391</v>
      </c>
      <c r="FE96" s="4">
        <f t="shared" si="509"/>
        <v>1.8459968633064996</v>
      </c>
      <c r="FG96" s="4">
        <f t="shared" si="510"/>
        <v>2.4360814951246312</v>
      </c>
    </row>
    <row r="97" spans="1:163" x14ac:dyDescent="0.2">
      <c r="A97" s="24" t="s">
        <v>160</v>
      </c>
      <c r="B97" s="60" t="s">
        <v>165</v>
      </c>
      <c r="C97" s="138">
        <v>40.897500000000008</v>
      </c>
      <c r="D97" s="98"/>
      <c r="E97" s="148">
        <f t="shared" si="584"/>
        <v>2.4125560463848079E-2</v>
      </c>
      <c r="F97" s="138">
        <v>2.8750000000000005E-2</v>
      </c>
      <c r="G97" s="138">
        <v>9.370000000000001</v>
      </c>
      <c r="H97" s="138">
        <v>0.13750000000000001</v>
      </c>
      <c r="I97" s="138">
        <v>49.195000000000007</v>
      </c>
      <c r="J97" s="150">
        <f t="shared" si="585"/>
        <v>6.0085392391185835E-2</v>
      </c>
      <c r="K97" s="98"/>
      <c r="L97" s="98">
        <v>1.25E-3</v>
      </c>
      <c r="M97" s="138">
        <v>0.37124999999999997</v>
      </c>
      <c r="N97" s="141">
        <v>127.68598886335282</v>
      </c>
      <c r="O97" s="142">
        <v>429.42781465733657</v>
      </c>
      <c r="P97" s="11"/>
      <c r="Q97" s="140">
        <v>52.277200000000001</v>
      </c>
      <c r="R97" s="140">
        <v>0.17410274999999997</v>
      </c>
      <c r="S97" s="140">
        <v>5.3937574999999995</v>
      </c>
      <c r="T97" s="140">
        <v>1.142685</v>
      </c>
      <c r="U97" s="140">
        <v>3.04643</v>
      </c>
      <c r="V97" s="140">
        <v>9.0112749999999991E-2</v>
      </c>
      <c r="W97" s="140">
        <v>17.051399999999997</v>
      </c>
      <c r="X97" s="140">
        <v>19.989474999999999</v>
      </c>
      <c r="Y97" s="140">
        <v>0.97656524999999994</v>
      </c>
      <c r="Z97" s="100">
        <v>8.422499999999999E-4</v>
      </c>
      <c r="AA97" s="140">
        <v>5.5033749999999999E-2</v>
      </c>
      <c r="AC97" s="139">
        <v>46.962499999999999</v>
      </c>
      <c r="AD97" s="139">
        <v>21.253750000000004</v>
      </c>
      <c r="AE97" s="11"/>
      <c r="AF97" s="83">
        <f t="shared" ref="AF97:AF101" si="733">AD97/151.9892/(AD97/151.9892+AC97/101.9601)</f>
        <v>0.23289357341920108</v>
      </c>
      <c r="AG97" s="22">
        <f t="shared" si="448"/>
        <v>5.1371967982641634E-4</v>
      </c>
      <c r="AH97" s="126">
        <f t="shared" si="549"/>
        <v>1047.2006896739433</v>
      </c>
      <c r="AI97" s="126">
        <f t="shared" si="449"/>
        <v>1047.0511192178458</v>
      </c>
      <c r="AJ97" s="126">
        <f t="shared" si="450"/>
        <v>0.1495704560975355</v>
      </c>
      <c r="AK97" s="12"/>
      <c r="AL97" s="25">
        <f t="shared" si="550"/>
        <v>2.3221065841747466</v>
      </c>
      <c r="AN97" s="2">
        <v>15.999000000000001</v>
      </c>
      <c r="AO97" s="2">
        <v>28.085000000000001</v>
      </c>
      <c r="AP97" s="2">
        <v>47.866999999999997</v>
      </c>
      <c r="AQ97" s="2">
        <v>26.9815386</v>
      </c>
      <c r="AR97" s="2">
        <v>51.996099999999998</v>
      </c>
      <c r="AS97" s="2">
        <v>55.844999999999999</v>
      </c>
      <c r="AT97" s="2">
        <v>54.938045000000002</v>
      </c>
      <c r="AU97" s="2">
        <v>24.305</v>
      </c>
      <c r="AV97" s="2">
        <v>40.078000000000003</v>
      </c>
      <c r="AW97" s="2">
        <v>22.989769280000001</v>
      </c>
      <c r="AX97" s="2">
        <v>39.098300000000002</v>
      </c>
      <c r="AY97" s="2">
        <v>58.693399999999997</v>
      </c>
      <c r="BA97" s="2">
        <f>AN97*2+AO97</f>
        <v>60.082999999999998</v>
      </c>
      <c r="BB97" s="2">
        <f>AN97*2+AP97</f>
        <v>79.864999999999995</v>
      </c>
      <c r="BC97" s="2">
        <f>AQ97*2+AN97*3</f>
        <v>101.9600772</v>
      </c>
      <c r="BD97" s="2">
        <f>AR97*2+AN97*3</f>
        <v>151.98919999999998</v>
      </c>
      <c r="BE97" s="2">
        <f>AS97+AN97</f>
        <v>71.843999999999994</v>
      </c>
      <c r="BF97" s="2">
        <f>AT97+AN97</f>
        <v>70.937044999999998</v>
      </c>
      <c r="BG97" s="2">
        <f>AU97+AN97</f>
        <v>40.304000000000002</v>
      </c>
      <c r="BH97" s="2">
        <f>AV97+AN97</f>
        <v>56.077000000000005</v>
      </c>
      <c r="BI97" s="2">
        <f>AW97*2+AN97</f>
        <v>61.978538560000004</v>
      </c>
      <c r="BJ97" s="2">
        <f>AX97*2+AN97</f>
        <v>94.195599999999999</v>
      </c>
      <c r="BK97" s="2">
        <f>AY97+AN97</f>
        <v>74.692399999999992</v>
      </c>
      <c r="BM97" s="2">
        <f t="shared" si="452"/>
        <v>0.6806833879799612</v>
      </c>
      <c r="BN97" s="2">
        <f t="shared" si="453"/>
        <v>0</v>
      </c>
      <c r="BO97" s="2">
        <f t="shared" si="454"/>
        <v>2.3661771476030306E-4</v>
      </c>
      <c r="BP97" s="2">
        <f t="shared" si="455"/>
        <v>1.8915817702836786E-4</v>
      </c>
      <c r="BQ97" s="2">
        <f t="shared" si="456"/>
        <v>0.13042146873782084</v>
      </c>
      <c r="BR97" s="2">
        <f t="shared" si="457"/>
        <v>1.9383384238799348E-3</v>
      </c>
      <c r="BS97" s="2">
        <f t="shared" si="458"/>
        <v>1.2205984517665742</v>
      </c>
      <c r="BT97" s="2">
        <f t="shared" si="459"/>
        <v>1.0714801503501584E-3</v>
      </c>
      <c r="BU97" s="2">
        <f t="shared" si="460"/>
        <v>0</v>
      </c>
      <c r="BV97" s="2">
        <f t="shared" si="461"/>
        <v>1.32702589080594E-5</v>
      </c>
      <c r="BW97" s="2">
        <f t="shared" si="462"/>
        <v>4.9703852065270367E-3</v>
      </c>
      <c r="BY97" s="2">
        <f t="shared" si="551"/>
        <v>0.6806833879799612</v>
      </c>
      <c r="BZ97" s="2">
        <f t="shared" si="552"/>
        <v>0</v>
      </c>
      <c r="CA97" s="2">
        <f t="shared" si="553"/>
        <v>4.7323542952060611E-4</v>
      </c>
      <c r="CB97" s="2">
        <f t="shared" si="554"/>
        <v>3.7831635405673571E-4</v>
      </c>
      <c r="CC97" s="2">
        <f t="shared" si="555"/>
        <v>0.13042146873782084</v>
      </c>
      <c r="CD97" s="2">
        <f t="shared" si="556"/>
        <v>1.9383384238799348E-3</v>
      </c>
      <c r="CE97" s="2">
        <f t="shared" si="557"/>
        <v>1.2205984517665742</v>
      </c>
      <c r="CF97" s="2">
        <f t="shared" si="558"/>
        <v>1.0714801503501584E-3</v>
      </c>
      <c r="CG97" s="2">
        <f t="shared" si="559"/>
        <v>0</v>
      </c>
      <c r="CH97" s="2">
        <f t="shared" si="560"/>
        <v>2.65405178161188E-5</v>
      </c>
      <c r="CI97" s="2">
        <f>BW97</f>
        <v>4.9703852065270367E-3</v>
      </c>
      <c r="CK97" s="2">
        <f t="shared" si="561"/>
        <v>1.3613667759599224</v>
      </c>
      <c r="CL97" s="2">
        <f t="shared" si="562"/>
        <v>0</v>
      </c>
      <c r="CM97" s="2">
        <f t="shared" si="563"/>
        <v>7.0985314428090914E-4</v>
      </c>
      <c r="CN97" s="2">
        <f t="shared" si="564"/>
        <v>5.6747453108510352E-4</v>
      </c>
      <c r="CO97" s="2">
        <f t="shared" si="565"/>
        <v>0.13042146873782084</v>
      </c>
      <c r="CP97" s="2">
        <f t="shared" si="566"/>
        <v>1.9383384238799348E-3</v>
      </c>
      <c r="CQ97" s="2">
        <f t="shared" si="567"/>
        <v>1.2205984517665742</v>
      </c>
      <c r="CR97" s="2">
        <f t="shared" si="568"/>
        <v>1.0714801503501584E-3</v>
      </c>
      <c r="CS97" s="2">
        <f t="shared" si="569"/>
        <v>0</v>
      </c>
      <c r="CT97" s="2">
        <f t="shared" si="570"/>
        <v>1.32702589080594E-5</v>
      </c>
      <c r="CU97" s="2">
        <f t="shared" si="571"/>
        <v>4.9703852065270367E-3</v>
      </c>
      <c r="CW97" s="14">
        <f>SUM(CK97:CU97)</f>
        <v>2.7216574981793489</v>
      </c>
      <c r="CY97" s="14">
        <f>4/CW97</f>
        <v>1.4696926423239507</v>
      </c>
      <c r="DA97" s="16">
        <f t="shared" si="711"/>
        <v>1.0003953670662882</v>
      </c>
      <c r="DB97" s="16">
        <f t="shared" si="712"/>
        <v>0</v>
      </c>
      <c r="DC97" s="16">
        <f t="shared" si="713"/>
        <v>6.9551062885344934E-4</v>
      </c>
      <c r="DD97" s="16">
        <f t="shared" si="714"/>
        <v>5.5600876202800719E-4</v>
      </c>
      <c r="DE97" s="16">
        <f t="shared" si="715"/>
        <v>0.19167947300505844</v>
      </c>
      <c r="DF97" s="16">
        <f t="shared" si="716"/>
        <v>2.8487617199101432E-3</v>
      </c>
      <c r="DG97" s="16">
        <f t="shared" si="717"/>
        <v>1.7939045637933397</v>
      </c>
      <c r="DH97" s="16">
        <f t="shared" si="718"/>
        <v>1.5747464933657882E-3</v>
      </c>
      <c r="DI97" s="16">
        <f t="shared" si="719"/>
        <v>0</v>
      </c>
      <c r="DJ97" s="16">
        <f t="shared" si="720"/>
        <v>3.900640375781753E-5</v>
      </c>
      <c r="DK97" s="16">
        <f t="shared" si="721"/>
        <v>7.3049385675485962E-3</v>
      </c>
      <c r="DL97" s="16">
        <f t="shared" si="481"/>
        <v>0.90346443693507583</v>
      </c>
      <c r="DN97" s="2">
        <f t="shared" si="482"/>
        <v>0.87008305177837331</v>
      </c>
      <c r="DO97" s="2">
        <f t="shared" si="483"/>
        <v>2.1799630626682526E-3</v>
      </c>
      <c r="DP97" s="2">
        <f t="shared" si="484"/>
        <v>5.2900680816667718E-2</v>
      </c>
      <c r="DQ97" s="2">
        <f t="shared" si="485"/>
        <v>7.5181986614838428E-3</v>
      </c>
      <c r="DR97" s="2">
        <f t="shared" si="486"/>
        <v>4.2403401815043706E-2</v>
      </c>
      <c r="DS97" s="2">
        <f t="shared" si="487"/>
        <v>1.2703200422289932E-3</v>
      </c>
      <c r="DT97" s="2">
        <f t="shared" si="488"/>
        <v>0.42306967050416822</v>
      </c>
      <c r="DU97" s="2">
        <f t="shared" si="489"/>
        <v>0.3564647716532624</v>
      </c>
      <c r="DV97" s="2">
        <f t="shared" si="490"/>
        <v>1.5756506569683141E-2</v>
      </c>
      <c r="DW97" s="2">
        <f t="shared" si="491"/>
        <v>8.9415004522504221E-6</v>
      </c>
      <c r="DX97" s="2">
        <f t="shared" si="492"/>
        <v>7.368052171305247E-4</v>
      </c>
      <c r="DZ97" s="2">
        <f t="shared" si="572"/>
        <v>1.7401661035567466</v>
      </c>
      <c r="EA97" s="2">
        <f t="shared" si="573"/>
        <v>4.3599261253365051E-3</v>
      </c>
      <c r="EB97" s="2">
        <f t="shared" si="574"/>
        <v>0.15870204245000316</v>
      </c>
      <c r="EC97" s="2">
        <f t="shared" si="575"/>
        <v>2.2554595984451527E-2</v>
      </c>
      <c r="ED97" s="2">
        <f t="shared" si="576"/>
        <v>4.2403401815043706E-2</v>
      </c>
      <c r="EE97" s="2">
        <f t="shared" si="577"/>
        <v>1.2703200422289932E-3</v>
      </c>
      <c r="EF97" s="2">
        <f t="shared" si="578"/>
        <v>0.42306967050416822</v>
      </c>
      <c r="EG97" s="2">
        <f t="shared" si="579"/>
        <v>0.3564647716532624</v>
      </c>
      <c r="EH97" s="2">
        <f t="shared" si="580"/>
        <v>1.5756506569683141E-2</v>
      </c>
      <c r="EI97" s="2">
        <f t="shared" si="581"/>
        <v>8.9415004522504221E-6</v>
      </c>
      <c r="EJ97" s="2">
        <f t="shared" si="582"/>
        <v>7.368052171305247E-4</v>
      </c>
      <c r="EL97" s="16">
        <f>SUM(DZ97:EJ97)</f>
        <v>2.7654930854185071</v>
      </c>
      <c r="EN97" s="14">
        <f>6/EL97</f>
        <v>2.1695950106098381</v>
      </c>
      <c r="EP97" s="16">
        <f t="shared" si="722"/>
        <v>1.8877278479545401</v>
      </c>
      <c r="EQ97" s="16">
        <f t="shared" si="723"/>
        <v>4.7296369840787826E-3</v>
      </c>
      <c r="ER97" s="16">
        <f t="shared" si="724"/>
        <v>0.2295461063154117</v>
      </c>
      <c r="ES97" s="16">
        <f t="shared" si="725"/>
        <v>3.2622892609457818E-2</v>
      </c>
      <c r="ET97" s="16">
        <f t="shared" si="726"/>
        <v>9.1998209010802981E-2</v>
      </c>
      <c r="EU97" s="16">
        <f t="shared" si="727"/>
        <v>2.7560800254977026E-3</v>
      </c>
      <c r="EV97" s="16">
        <f t="shared" si="728"/>
        <v>0.91788984626619152</v>
      </c>
      <c r="EW97" s="16">
        <f t="shared" si="729"/>
        <v>0.77338419003709336</v>
      </c>
      <c r="EX97" s="16">
        <f t="shared" si="730"/>
        <v>6.8370476076451359E-2</v>
      </c>
      <c r="EY97" s="16">
        <f t="shared" si="731"/>
        <v>3.8798869537136254E-5</v>
      </c>
      <c r="EZ97" s="16">
        <f t="shared" si="732"/>
        <v>1.5985689228776847E-3</v>
      </c>
      <c r="FB97" s="14">
        <f t="shared" si="506"/>
        <v>-6.1966816340794129</v>
      </c>
      <c r="FC97" s="4">
        <f t="shared" si="507"/>
        <v>1.7167043713957906</v>
      </c>
      <c r="FD97" s="4">
        <f t="shared" si="508"/>
        <v>1.7379117762566345</v>
      </c>
      <c r="FE97" s="4">
        <f t="shared" si="509"/>
        <v>1.7379117762566345</v>
      </c>
      <c r="FG97" s="4">
        <f t="shared" si="510"/>
        <v>2.3221065841747466</v>
      </c>
    </row>
    <row r="98" spans="1:163" x14ac:dyDescent="0.2">
      <c r="A98" s="24" t="s">
        <v>161</v>
      </c>
      <c r="B98" s="60" t="s">
        <v>166</v>
      </c>
      <c r="C98" s="138">
        <v>41.050000000000004</v>
      </c>
      <c r="D98" s="98">
        <v>2.5000000000000001E-3</v>
      </c>
      <c r="E98" s="148">
        <f t="shared" si="584"/>
        <v>2.7768334616988299E-2</v>
      </c>
      <c r="F98" s="138">
        <v>1.5000000000000001E-2</v>
      </c>
      <c r="G98" s="138">
        <v>10.155000000000001</v>
      </c>
      <c r="H98" s="138">
        <v>0.13875000000000001</v>
      </c>
      <c r="I98" s="138">
        <v>48.290000000000006</v>
      </c>
      <c r="J98" s="150">
        <f t="shared" si="585"/>
        <v>6.4789688560479453E-2</v>
      </c>
      <c r="K98" s="98"/>
      <c r="L98" s="98"/>
      <c r="M98" s="138">
        <v>0.35249999999999998</v>
      </c>
      <c r="N98" s="141">
        <v>146.9655915339961</v>
      </c>
      <c r="O98" s="142">
        <v>463.04922483850703</v>
      </c>
      <c r="P98" s="11"/>
      <c r="Q98" s="140">
        <v>51.27258333333333</v>
      </c>
      <c r="R98" s="140">
        <v>0.42964125000000003</v>
      </c>
      <c r="S98" s="140">
        <v>7.1580983333333323</v>
      </c>
      <c r="T98" s="140">
        <v>0.66522941666666668</v>
      </c>
      <c r="U98" s="140">
        <v>3.3970716666666667</v>
      </c>
      <c r="V98" s="140">
        <v>9.2554166666666673E-2</v>
      </c>
      <c r="W98" s="140">
        <v>16.07041666666667</v>
      </c>
      <c r="X98" s="140">
        <v>19.574024999999999</v>
      </c>
      <c r="Y98" s="140">
        <v>1.1467158333333336</v>
      </c>
      <c r="Z98" s="100">
        <v>1.8091666666666666E-3</v>
      </c>
      <c r="AA98" s="140">
        <v>5.9905333333333338E-2</v>
      </c>
      <c r="AC98" s="139">
        <v>58.61</v>
      </c>
      <c r="AD98" s="139">
        <v>8.2514285714285709</v>
      </c>
      <c r="AE98" s="11"/>
      <c r="AF98" s="83">
        <f t="shared" si="733"/>
        <v>8.6294149460407865E-2</v>
      </c>
      <c r="AG98" s="22">
        <f t="shared" ref="AG98:AG115" si="734">E98/AC98</f>
        <v>4.7378151538966557E-4</v>
      </c>
      <c r="AH98" s="126">
        <f t="shared" si="549"/>
        <v>1057.2104270890093</v>
      </c>
      <c r="AI98" s="126">
        <f t="shared" ref="AI98:AI115" si="735">(10539+79.8*AL98*10)/(15.45-LN(O98))-273</f>
        <v>1057.0604328136242</v>
      </c>
      <c r="AJ98" s="126">
        <f t="shared" ref="AJ98:AJ115" si="736">AH98-AI98</f>
        <v>0.14999427538509735</v>
      </c>
      <c r="AK98" s="12"/>
      <c r="AL98" s="25">
        <f t="shared" si="550"/>
        <v>2.3142160203110631</v>
      </c>
      <c r="AN98" s="2">
        <v>15.999000000000001</v>
      </c>
      <c r="AO98" s="2">
        <v>28.085000000000001</v>
      </c>
      <c r="AP98" s="2">
        <v>47.866999999999997</v>
      </c>
      <c r="AQ98" s="2">
        <v>26.9815386</v>
      </c>
      <c r="AR98" s="2">
        <v>51.996099999999998</v>
      </c>
      <c r="AS98" s="2">
        <v>55.844999999999999</v>
      </c>
      <c r="AT98" s="2">
        <v>54.938045000000002</v>
      </c>
      <c r="AU98" s="2">
        <v>24.305</v>
      </c>
      <c r="AV98" s="2">
        <v>40.078000000000003</v>
      </c>
      <c r="AW98" s="2">
        <v>22.989769280000001</v>
      </c>
      <c r="AX98" s="2">
        <v>39.098300000000002</v>
      </c>
      <c r="AY98" s="2">
        <v>58.693399999999997</v>
      </c>
      <c r="BA98" s="2">
        <f>AN98*2+AO98</f>
        <v>60.082999999999998</v>
      </c>
      <c r="BB98" s="2">
        <f>AN98*2+AP98</f>
        <v>79.864999999999995</v>
      </c>
      <c r="BC98" s="2">
        <f>AQ98*2+AN98*3</f>
        <v>101.9600772</v>
      </c>
      <c r="BD98" s="2">
        <f>AR98*2+AN98*3</f>
        <v>151.98919999999998</v>
      </c>
      <c r="BE98" s="2">
        <f>AS98+AN98</f>
        <v>71.843999999999994</v>
      </c>
      <c r="BF98" s="2">
        <f>AT98+AN98</f>
        <v>70.937044999999998</v>
      </c>
      <c r="BG98" s="2">
        <f>AU98+AN98</f>
        <v>40.304000000000002</v>
      </c>
      <c r="BH98" s="2">
        <f>AV98+AN98</f>
        <v>56.077000000000005</v>
      </c>
      <c r="BI98" s="2">
        <f>AW98*2+AN98</f>
        <v>61.978538560000004</v>
      </c>
      <c r="BJ98" s="2">
        <f>AX98*2+AN98</f>
        <v>94.195599999999999</v>
      </c>
      <c r="BK98" s="2">
        <f>AY98+AN98</f>
        <v>74.692399999999992</v>
      </c>
      <c r="BM98" s="2">
        <f t="shared" ref="BM98:BM115" si="737">C98/BA98</f>
        <v>0.68322154353144826</v>
      </c>
      <c r="BN98" s="2">
        <f t="shared" ref="BN98:BN115" si="738">D98/BB98</f>
        <v>3.1302823514681028E-5</v>
      </c>
      <c r="BO98" s="2">
        <f t="shared" ref="BO98:BO115" si="739">E98/BC98</f>
        <v>2.7234517057611937E-4</v>
      </c>
      <c r="BP98" s="2">
        <f t="shared" ref="BP98:BP115" si="740">F98/BD98</f>
        <v>9.8691222797409313E-5</v>
      </c>
      <c r="BQ98" s="2">
        <f t="shared" ref="BQ98:BQ115" si="741">G98/BE98</f>
        <v>0.14134792049440456</v>
      </c>
      <c r="BR98" s="2">
        <f t="shared" ref="BR98:BR115" si="742">H98/BF98</f>
        <v>1.9559596822788434E-3</v>
      </c>
      <c r="BS98" s="2">
        <f t="shared" ref="BS98:BS115" si="743">I98/BG98</f>
        <v>1.1981441048034935</v>
      </c>
      <c r="BT98" s="2">
        <f t="shared" ref="BT98:BT115" si="744">J98/BH98</f>
        <v>1.1553700904199484E-3</v>
      </c>
      <c r="BU98" s="2">
        <f t="shared" ref="BU98:BU115" si="745">K98/BI98</f>
        <v>0</v>
      </c>
      <c r="BV98" s="2">
        <f t="shared" ref="BV98:BV115" si="746">L98/BJ98</f>
        <v>0</v>
      </c>
      <c r="BW98" s="2">
        <f t="shared" ref="BW98:BW115" si="747">M98/BK98</f>
        <v>4.7193556506418327E-3</v>
      </c>
      <c r="BY98" s="2">
        <f t="shared" si="551"/>
        <v>0.68322154353144826</v>
      </c>
      <c r="BZ98" s="2">
        <f t="shared" si="552"/>
        <v>3.1302823514681028E-5</v>
      </c>
      <c r="CA98" s="2">
        <f t="shared" si="553"/>
        <v>5.4469034115223875E-4</v>
      </c>
      <c r="CB98" s="2">
        <f t="shared" si="554"/>
        <v>1.9738244559481863E-4</v>
      </c>
      <c r="CC98" s="2">
        <f t="shared" si="555"/>
        <v>0.14134792049440456</v>
      </c>
      <c r="CD98" s="2">
        <f t="shared" si="556"/>
        <v>1.9559596822788434E-3</v>
      </c>
      <c r="CE98" s="2">
        <f t="shared" si="557"/>
        <v>1.1981441048034935</v>
      </c>
      <c r="CF98" s="2">
        <f t="shared" si="558"/>
        <v>1.1553700904199484E-3</v>
      </c>
      <c r="CG98" s="2">
        <f t="shared" si="559"/>
        <v>0</v>
      </c>
      <c r="CH98" s="2">
        <f t="shared" si="560"/>
        <v>0</v>
      </c>
      <c r="CI98" s="2">
        <f>BW98</f>
        <v>4.7193556506418327E-3</v>
      </c>
      <c r="CK98" s="2">
        <f t="shared" si="561"/>
        <v>1.3664430870628965</v>
      </c>
      <c r="CL98" s="2">
        <f t="shared" si="562"/>
        <v>6.2605647029362056E-5</v>
      </c>
      <c r="CM98" s="2">
        <f t="shared" si="563"/>
        <v>8.1703551172835807E-4</v>
      </c>
      <c r="CN98" s="2">
        <f t="shared" si="564"/>
        <v>2.9607366839222795E-4</v>
      </c>
      <c r="CO98" s="2">
        <f t="shared" si="565"/>
        <v>0.14134792049440456</v>
      </c>
      <c r="CP98" s="2">
        <f t="shared" si="566"/>
        <v>1.9559596822788434E-3</v>
      </c>
      <c r="CQ98" s="2">
        <f t="shared" si="567"/>
        <v>1.1981441048034935</v>
      </c>
      <c r="CR98" s="2">
        <f t="shared" si="568"/>
        <v>1.1553700904199484E-3</v>
      </c>
      <c r="CS98" s="2">
        <f t="shared" si="569"/>
        <v>0</v>
      </c>
      <c r="CT98" s="2">
        <f t="shared" si="570"/>
        <v>0</v>
      </c>
      <c r="CU98" s="2">
        <f t="shared" si="571"/>
        <v>4.7193556506418327E-3</v>
      </c>
      <c r="CW98" s="14">
        <f>SUM(CK98:CU98)</f>
        <v>2.714941512611285</v>
      </c>
      <c r="CY98" s="14">
        <f>4/CW98</f>
        <v>1.4733282398237448</v>
      </c>
      <c r="DA98" s="16">
        <f t="shared" si="711"/>
        <v>1.0066095941408508</v>
      </c>
      <c r="DB98" s="16">
        <f t="shared" si="712"/>
        <v>4.6119333870398332E-5</v>
      </c>
      <c r="DC98" s="16">
        <f t="shared" si="713"/>
        <v>8.0250766157882302E-4</v>
      </c>
      <c r="DD98" s="16">
        <f t="shared" si="714"/>
        <v>2.9080913114032023E-4</v>
      </c>
      <c r="DE98" s="16">
        <f t="shared" si="715"/>
        <v>0.2082518829047677</v>
      </c>
      <c r="DF98" s="16">
        <f t="shared" si="716"/>
        <v>2.8817706358580993E-3</v>
      </c>
      <c r="DG98" s="16">
        <f t="shared" si="717"/>
        <v>1.7652595449853277</v>
      </c>
      <c r="DH98" s="16">
        <f t="shared" si="718"/>
        <v>1.7022393816634234E-3</v>
      </c>
      <c r="DI98" s="16">
        <f t="shared" si="719"/>
        <v>0</v>
      </c>
      <c r="DJ98" s="16">
        <f t="shared" si="720"/>
        <v>0</v>
      </c>
      <c r="DK98" s="16">
        <f t="shared" si="721"/>
        <v>6.9531599538623758E-3</v>
      </c>
      <c r="DL98" s="16">
        <f t="shared" ref="DL98:DL115" si="748">DG98/(DG98+DE98)</f>
        <v>0.8944764747942644</v>
      </c>
      <c r="DN98" s="2">
        <f t="shared" ref="DN98:DN115" si="749">Q98/BA98</f>
        <v>0.85336257066613408</v>
      </c>
      <c r="DO98" s="2">
        <f t="shared" ref="DO98:DO115" si="750">R98/BB98</f>
        <v>5.3795936893507798E-3</v>
      </c>
      <c r="DP98" s="2">
        <f t="shared" ref="DP98:DP115" si="751">S98/BC98</f>
        <v>7.0204912843409781E-2</v>
      </c>
      <c r="DQ98" s="2">
        <f t="shared" ref="DQ98:DQ115" si="752">T98/BD98</f>
        <v>4.3768203047760421E-3</v>
      </c>
      <c r="DR98" s="2">
        <f t="shared" ref="DR98:DR115" si="753">U98/BE98</f>
        <v>4.7283999591707968E-2</v>
      </c>
      <c r="DS98" s="2">
        <f t="shared" ref="DS98:DS115" si="754">V98/BF98</f>
        <v>1.3047367093831817E-3</v>
      </c>
      <c r="DT98" s="2">
        <f t="shared" ref="DT98:DT115" si="755">W98/BG98</f>
        <v>0.39873006814873635</v>
      </c>
      <c r="DU98" s="2">
        <f t="shared" ref="DU98:DU115" si="756">X98/BH98</f>
        <v>0.34905620842769758</v>
      </c>
      <c r="DV98" s="2">
        <f t="shared" ref="DV98:DV115" si="757">Y98/BI98</f>
        <v>1.8501821113823525E-2</v>
      </c>
      <c r="DW98" s="2">
        <f t="shared" ref="DW98:DW115" si="758">Z98/BJ98</f>
        <v>1.920648805959797E-5</v>
      </c>
      <c r="DX98" s="2">
        <f t="shared" ref="DX98:DX115" si="759">AA98/BK98</f>
        <v>8.02027158497161E-4</v>
      </c>
      <c r="DZ98" s="2">
        <f t="shared" si="572"/>
        <v>1.7067251413322682</v>
      </c>
      <c r="EA98" s="2">
        <f t="shared" si="573"/>
        <v>1.075918737870156E-2</v>
      </c>
      <c r="EB98" s="2">
        <f t="shared" si="574"/>
        <v>0.21061473853022933</v>
      </c>
      <c r="EC98" s="2">
        <f t="shared" si="575"/>
        <v>1.3130460914328127E-2</v>
      </c>
      <c r="ED98" s="2">
        <f t="shared" si="576"/>
        <v>4.7283999591707968E-2</v>
      </c>
      <c r="EE98" s="2">
        <f t="shared" si="577"/>
        <v>1.3047367093831817E-3</v>
      </c>
      <c r="EF98" s="2">
        <f t="shared" si="578"/>
        <v>0.39873006814873635</v>
      </c>
      <c r="EG98" s="2">
        <f t="shared" si="579"/>
        <v>0.34905620842769758</v>
      </c>
      <c r="EH98" s="2">
        <f t="shared" si="580"/>
        <v>1.8501821113823525E-2</v>
      </c>
      <c r="EI98" s="2">
        <f t="shared" si="581"/>
        <v>1.920648805959797E-5</v>
      </c>
      <c r="EJ98" s="2">
        <f t="shared" si="582"/>
        <v>8.02027158497161E-4</v>
      </c>
      <c r="EL98" s="16">
        <f>SUM(DZ98:EJ98)</f>
        <v>2.7569275957934325</v>
      </c>
      <c r="EN98" s="14">
        <f>6/EL98</f>
        <v>2.1763357184841934</v>
      </c>
      <c r="EP98" s="16">
        <f t="shared" si="722"/>
        <v>1.8572034433581992</v>
      </c>
      <c r="EQ98" s="16">
        <f t="shared" si="723"/>
        <v>1.1707801897066262E-2</v>
      </c>
      <c r="ER98" s="16">
        <f t="shared" si="724"/>
        <v>0.3055789188683648</v>
      </c>
      <c r="ES98" s="16">
        <f t="shared" si="725"/>
        <v>1.9050860725341949E-2</v>
      </c>
      <c r="ET98" s="16">
        <f t="shared" si="726"/>
        <v>0.10290585722422607</v>
      </c>
      <c r="EU98" s="16">
        <f t="shared" si="727"/>
        <v>2.839545103848149E-3</v>
      </c>
      <c r="EV98" s="16">
        <f t="shared" si="728"/>
        <v>0.86777048934573153</v>
      </c>
      <c r="EW98" s="16">
        <f t="shared" si="729"/>
        <v>0.75966349415986156</v>
      </c>
      <c r="EX98" s="16">
        <f t="shared" si="730"/>
        <v>8.0532348294038283E-2</v>
      </c>
      <c r="EY98" s="16">
        <f t="shared" si="731"/>
        <v>8.3599531981486461E-5</v>
      </c>
      <c r="EZ98" s="16">
        <f t="shared" si="732"/>
        <v>1.745480352231755E-3</v>
      </c>
      <c r="FB98" s="14">
        <f t="shared" ref="FB98:FB115" si="760">LN(DH98/EW98)</f>
        <v>-6.1009308968490474</v>
      </c>
      <c r="FC98" s="4">
        <f t="shared" ref="FC98:FC115" si="761">(-(AH98+273)*FB98-11982+3.61*(AH98+273))/56.2/10</f>
        <v>1.6647358287000475</v>
      </c>
      <c r="FD98" s="4">
        <f t="shared" ref="FD98:FD115" si="762">(-(AH98+273)*FB98-5792-1.25*(AH98+273))/42.5/10</f>
        <v>1.55472672959257</v>
      </c>
      <c r="FE98" s="4">
        <f t="shared" ref="FE98:FE115" si="763">IF(AH98&gt;(1275.25-273+2.827*FC98*10), FC98, FD98)</f>
        <v>1.6647358287000475</v>
      </c>
      <c r="FG98" s="4">
        <f t="shared" ref="FG98:FG115" si="764">(3.64-2.328*DL98-9525/(AH98+273)-LN(DH98))/0.0334/10</f>
        <v>2.3142160203110631</v>
      </c>
    </row>
    <row r="99" spans="1:163" x14ac:dyDescent="0.2">
      <c r="A99" s="24" t="s">
        <v>162</v>
      </c>
      <c r="B99" s="60" t="s">
        <v>165</v>
      </c>
      <c r="C99" s="138">
        <v>40.535000000000004</v>
      </c>
      <c r="D99" s="98">
        <v>3.3333333333333335E-3</v>
      </c>
      <c r="E99" s="148">
        <f t="shared" si="584"/>
        <v>3.239034127748968E-2</v>
      </c>
      <c r="F99" s="138">
        <v>1.1666666666666667E-2</v>
      </c>
      <c r="G99" s="138">
        <v>12.100000000000001</v>
      </c>
      <c r="H99" s="138">
        <v>0.18166666666666664</v>
      </c>
      <c r="I99" s="138">
        <v>46.941666666666663</v>
      </c>
      <c r="J99" s="150">
        <f t="shared" si="585"/>
        <v>7.6897119134661004E-2</v>
      </c>
      <c r="K99" s="98"/>
      <c r="L99" s="98"/>
      <c r="M99" s="138">
        <v>0.27166666666666667</v>
      </c>
      <c r="N99" s="141">
        <v>171.42784151419775</v>
      </c>
      <c r="O99" s="142">
        <v>549.58053046328166</v>
      </c>
      <c r="P99" s="11"/>
      <c r="Q99" s="140">
        <v>50.717300000000002</v>
      </c>
      <c r="R99" s="140">
        <v>0.50660233333333327</v>
      </c>
      <c r="S99" s="140">
        <v>7.1090600000000004</v>
      </c>
      <c r="T99" s="140">
        <v>0.5972778333333334</v>
      </c>
      <c r="U99" s="140">
        <v>3.9552316666666663</v>
      </c>
      <c r="V99" s="140">
        <v>0.11553600000000001</v>
      </c>
      <c r="W99" s="140">
        <v>16.009316666666667</v>
      </c>
      <c r="X99" s="140">
        <v>19.520883333333334</v>
      </c>
      <c r="Y99" s="140">
        <v>0.98246050000000007</v>
      </c>
      <c r="Z99" s="100">
        <v>2.3145000000000002E-3</v>
      </c>
      <c r="AA99" s="140">
        <v>4.4278166666666667E-2</v>
      </c>
      <c r="AC99" s="139">
        <v>58.792499999999997</v>
      </c>
      <c r="AD99" s="139">
        <v>7.9662499999999996</v>
      </c>
      <c r="AE99" s="11"/>
      <c r="AF99" s="83">
        <f t="shared" si="733"/>
        <v>8.3323169537038902E-2</v>
      </c>
      <c r="AG99" s="22">
        <f t="shared" si="734"/>
        <v>5.5092641540144889E-4</v>
      </c>
      <c r="AH99" s="126">
        <f t="shared" si="549"/>
        <v>1082.0751842904801</v>
      </c>
      <c r="AI99" s="126">
        <f t="shared" si="735"/>
        <v>1081.9251850391042</v>
      </c>
      <c r="AJ99" s="126">
        <f t="shared" si="736"/>
        <v>0.14999925137590253</v>
      </c>
      <c r="AK99" s="12"/>
      <c r="AL99" s="25">
        <f t="shared" si="550"/>
        <v>2.3134845560781434</v>
      </c>
      <c r="AN99" s="2">
        <v>15.999000000000001</v>
      </c>
      <c r="AO99" s="2">
        <v>28.085000000000001</v>
      </c>
      <c r="AP99" s="2">
        <v>47.866999999999997</v>
      </c>
      <c r="AQ99" s="2">
        <v>26.9815386</v>
      </c>
      <c r="AR99" s="2">
        <v>51.996099999999998</v>
      </c>
      <c r="AS99" s="2">
        <v>55.844999999999999</v>
      </c>
      <c r="AT99" s="2">
        <v>54.938045000000002</v>
      </c>
      <c r="AU99" s="2">
        <v>24.305</v>
      </c>
      <c r="AV99" s="2">
        <v>40.078000000000003</v>
      </c>
      <c r="AW99" s="2">
        <v>22.989769280000001</v>
      </c>
      <c r="AX99" s="2">
        <v>39.098300000000002</v>
      </c>
      <c r="AY99" s="2">
        <v>58.693399999999997</v>
      </c>
      <c r="BA99" s="2">
        <f>AN99*2+AO99</f>
        <v>60.082999999999998</v>
      </c>
      <c r="BB99" s="2">
        <f>AN99*2+AP99</f>
        <v>79.864999999999995</v>
      </c>
      <c r="BC99" s="2">
        <f>AQ99*2+AN99*3</f>
        <v>101.9600772</v>
      </c>
      <c r="BD99" s="2">
        <f>AR99*2+AN99*3</f>
        <v>151.98919999999998</v>
      </c>
      <c r="BE99" s="2">
        <f>AS99+AN99</f>
        <v>71.843999999999994</v>
      </c>
      <c r="BF99" s="2">
        <f>AT99+AN99</f>
        <v>70.937044999999998</v>
      </c>
      <c r="BG99" s="2">
        <f>AU99+AN99</f>
        <v>40.304000000000002</v>
      </c>
      <c r="BH99" s="2">
        <f>AV99+AN99</f>
        <v>56.077000000000005</v>
      </c>
      <c r="BI99" s="2">
        <f>AW99*2+AN99</f>
        <v>61.978538560000004</v>
      </c>
      <c r="BJ99" s="2">
        <f>AX99*2+AN99</f>
        <v>94.195599999999999</v>
      </c>
      <c r="BK99" s="2">
        <f>AY99+AN99</f>
        <v>74.692399999999992</v>
      </c>
      <c r="BM99" s="2">
        <f t="shared" si="737"/>
        <v>0.67465006740675404</v>
      </c>
      <c r="BN99" s="2">
        <f t="shared" si="738"/>
        <v>4.1737098019574706E-5</v>
      </c>
      <c r="BO99" s="2">
        <f t="shared" si="739"/>
        <v>3.1767670412758065E-4</v>
      </c>
      <c r="BP99" s="2">
        <f t="shared" si="740"/>
        <v>7.6759839953540574E-5</v>
      </c>
      <c r="BQ99" s="2">
        <f t="shared" si="741"/>
        <v>0.16842046656644957</v>
      </c>
      <c r="BR99" s="2">
        <f t="shared" si="742"/>
        <v>2.5609562206413681E-3</v>
      </c>
      <c r="BS99" s="2">
        <f t="shared" si="743"/>
        <v>1.1646900224956993</v>
      </c>
      <c r="BT99" s="2">
        <f t="shared" si="744"/>
        <v>1.3712773353542628E-3</v>
      </c>
      <c r="BU99" s="2">
        <f t="shared" si="745"/>
        <v>0</v>
      </c>
      <c r="BV99" s="2">
        <f t="shared" si="746"/>
        <v>0</v>
      </c>
      <c r="BW99" s="2">
        <f t="shared" si="747"/>
        <v>3.6371393430478429E-3</v>
      </c>
      <c r="BY99" s="2">
        <f t="shared" si="551"/>
        <v>0.67465006740675404</v>
      </c>
      <c r="BZ99" s="2">
        <f t="shared" si="552"/>
        <v>4.1737098019574706E-5</v>
      </c>
      <c r="CA99" s="2">
        <f t="shared" si="553"/>
        <v>6.353534082551613E-4</v>
      </c>
      <c r="CB99" s="2">
        <f t="shared" si="554"/>
        <v>1.5351967990708115E-4</v>
      </c>
      <c r="CC99" s="2">
        <f t="shared" si="555"/>
        <v>0.16842046656644957</v>
      </c>
      <c r="CD99" s="2">
        <f t="shared" si="556"/>
        <v>2.5609562206413681E-3</v>
      </c>
      <c r="CE99" s="2">
        <f t="shared" si="557"/>
        <v>1.1646900224956993</v>
      </c>
      <c r="CF99" s="2">
        <f t="shared" si="558"/>
        <v>1.3712773353542628E-3</v>
      </c>
      <c r="CG99" s="2">
        <f t="shared" si="559"/>
        <v>0</v>
      </c>
      <c r="CH99" s="2">
        <f t="shared" si="560"/>
        <v>0</v>
      </c>
      <c r="CI99" s="2">
        <f>BW99</f>
        <v>3.6371393430478429E-3</v>
      </c>
      <c r="CK99" s="2">
        <f t="shared" si="561"/>
        <v>1.3493001348135081</v>
      </c>
      <c r="CL99" s="2">
        <f t="shared" si="562"/>
        <v>8.3474196039149412E-5</v>
      </c>
      <c r="CM99" s="2">
        <f t="shared" si="563"/>
        <v>9.5303011238274189E-4</v>
      </c>
      <c r="CN99" s="2">
        <f t="shared" si="564"/>
        <v>2.3027951986062174E-4</v>
      </c>
      <c r="CO99" s="2">
        <f t="shared" si="565"/>
        <v>0.16842046656644957</v>
      </c>
      <c r="CP99" s="2">
        <f t="shared" si="566"/>
        <v>2.5609562206413681E-3</v>
      </c>
      <c r="CQ99" s="2">
        <f t="shared" si="567"/>
        <v>1.1646900224956993</v>
      </c>
      <c r="CR99" s="2">
        <f t="shared" si="568"/>
        <v>1.3712773353542628E-3</v>
      </c>
      <c r="CS99" s="2">
        <f t="shared" si="569"/>
        <v>0</v>
      </c>
      <c r="CT99" s="2">
        <f t="shared" si="570"/>
        <v>0</v>
      </c>
      <c r="CU99" s="2">
        <f t="shared" si="571"/>
        <v>3.6371393430478429E-3</v>
      </c>
      <c r="CW99" s="14">
        <f>SUM(CK99:CU99)</f>
        <v>2.6912467806029827</v>
      </c>
      <c r="CY99" s="14">
        <f>4/CW99</f>
        <v>1.4862999665544558</v>
      </c>
      <c r="DA99" s="16">
        <f t="shared" si="711"/>
        <v>1.0027323726226198</v>
      </c>
      <c r="DB99" s="16">
        <f t="shared" si="712"/>
        <v>6.2033847390573937E-5</v>
      </c>
      <c r="DC99" s="16">
        <f t="shared" si="713"/>
        <v>9.4432574943990573E-4</v>
      </c>
      <c r="DD99" s="16">
        <f t="shared" si="714"/>
        <v>2.2817629511134548E-4</v>
      </c>
      <c r="DE99" s="16">
        <f t="shared" si="715"/>
        <v>0.25032333382479982</v>
      </c>
      <c r="DF99" s="16">
        <f t="shared" si="716"/>
        <v>3.806349145086691E-3</v>
      </c>
      <c r="DG99" s="16">
        <f t="shared" si="717"/>
        <v>1.7310787414816664</v>
      </c>
      <c r="DH99" s="16">
        <f t="shared" si="718"/>
        <v>2.038129457673924E-3</v>
      </c>
      <c r="DI99" s="16">
        <f t="shared" si="719"/>
        <v>0</v>
      </c>
      <c r="DJ99" s="16">
        <f t="shared" si="720"/>
        <v>0</v>
      </c>
      <c r="DK99" s="16">
        <f t="shared" si="721"/>
        <v>5.4058800839259045E-3</v>
      </c>
      <c r="DL99" s="16">
        <f t="shared" si="748"/>
        <v>0.87366353505707217</v>
      </c>
      <c r="DN99" s="2">
        <f t="shared" si="749"/>
        <v>0.84412063312417829</v>
      </c>
      <c r="DO99" s="2">
        <f t="shared" si="750"/>
        <v>6.3432333729835757E-3</v>
      </c>
      <c r="DP99" s="2">
        <f t="shared" si="751"/>
        <v>6.9723956623289021E-2</v>
      </c>
      <c r="DQ99" s="2">
        <f t="shared" si="752"/>
        <v>3.9297386480969271E-3</v>
      </c>
      <c r="DR99" s="2">
        <f t="shared" si="753"/>
        <v>5.5053054766809564E-2</v>
      </c>
      <c r="DS99" s="2">
        <f t="shared" si="754"/>
        <v>1.628711768301034E-3</v>
      </c>
      <c r="DT99" s="2">
        <f t="shared" si="755"/>
        <v>0.39721408958581444</v>
      </c>
      <c r="DU99" s="2">
        <f t="shared" si="756"/>
        <v>0.34810855312041178</v>
      </c>
      <c r="DV99" s="2">
        <f t="shared" si="757"/>
        <v>1.5851624172275418E-2</v>
      </c>
      <c r="DW99" s="2">
        <f t="shared" si="758"/>
        <v>2.4571211394162787E-5</v>
      </c>
      <c r="DX99" s="2">
        <f t="shared" si="759"/>
        <v>5.9280685406636643E-4</v>
      </c>
      <c r="DZ99" s="2">
        <f t="shared" si="572"/>
        <v>1.6882412662483566</v>
      </c>
      <c r="EA99" s="2">
        <f t="shared" si="573"/>
        <v>1.2686466745967151E-2</v>
      </c>
      <c r="EB99" s="2">
        <f t="shared" si="574"/>
        <v>0.20917186986986708</v>
      </c>
      <c r="EC99" s="2">
        <f t="shared" si="575"/>
        <v>1.1789215944290781E-2</v>
      </c>
      <c r="ED99" s="2">
        <f t="shared" si="576"/>
        <v>5.5053054766809564E-2</v>
      </c>
      <c r="EE99" s="2">
        <f t="shared" si="577"/>
        <v>1.628711768301034E-3</v>
      </c>
      <c r="EF99" s="2">
        <f t="shared" si="578"/>
        <v>0.39721408958581444</v>
      </c>
      <c r="EG99" s="2">
        <f t="shared" si="579"/>
        <v>0.34810855312041178</v>
      </c>
      <c r="EH99" s="2">
        <f t="shared" si="580"/>
        <v>1.5851624172275418E-2</v>
      </c>
      <c r="EI99" s="2">
        <f t="shared" si="581"/>
        <v>2.4571211394162787E-5</v>
      </c>
      <c r="EJ99" s="2">
        <f t="shared" si="582"/>
        <v>5.9280685406636643E-4</v>
      </c>
      <c r="EL99" s="16">
        <f>SUM(DZ99:EJ99)</f>
        <v>2.7403622302875541</v>
      </c>
      <c r="EN99" s="14">
        <f>6/EL99</f>
        <v>2.1894915692844017</v>
      </c>
      <c r="EP99" s="16">
        <f t="shared" si="722"/>
        <v>1.8481950096843998</v>
      </c>
      <c r="EQ99" s="16">
        <f t="shared" si="723"/>
        <v>1.3888455992150998E-2</v>
      </c>
      <c r="ER99" s="16">
        <f t="shared" si="724"/>
        <v>0.30532003040768524</v>
      </c>
      <c r="ES99" s="16">
        <f t="shared" si="725"/>
        <v>1.7208259278998609E-2</v>
      </c>
      <c r="ET99" s="16">
        <f t="shared" si="726"/>
        <v>0.12053819927528199</v>
      </c>
      <c r="EU99" s="16">
        <f t="shared" si="727"/>
        <v>3.5660506854894038E-3</v>
      </c>
      <c r="EV99" s="16">
        <f t="shared" si="728"/>
        <v>0.86969690034911984</v>
      </c>
      <c r="EW99" s="16">
        <f t="shared" si="729"/>
        <v>0.76218074225293286</v>
      </c>
      <c r="EX99" s="16">
        <f t="shared" si="730"/>
        <v>6.9413994969323725E-2</v>
      </c>
      <c r="EY99" s="16">
        <f t="shared" si="731"/>
        <v>1.075969203892485E-4</v>
      </c>
      <c r="EZ99" s="16">
        <f t="shared" si="732"/>
        <v>1.2979456091923179E-3</v>
      </c>
      <c r="FB99" s="14">
        <f t="shared" si="760"/>
        <v>-5.9241512674145449</v>
      </c>
      <c r="FC99" s="4">
        <f t="shared" si="761"/>
        <v>1.668134850080212</v>
      </c>
      <c r="FD99" s="4">
        <f t="shared" si="762"/>
        <v>1.2748856237490493</v>
      </c>
      <c r="FE99" s="4">
        <f t="shared" si="763"/>
        <v>1.668134850080212</v>
      </c>
      <c r="FG99" s="4">
        <f t="shared" si="764"/>
        <v>2.3134845560781434</v>
      </c>
    </row>
    <row r="100" spans="1:163" x14ac:dyDescent="0.2">
      <c r="A100" s="24" t="s">
        <v>163</v>
      </c>
      <c r="B100" s="60" t="s">
        <v>165</v>
      </c>
      <c r="C100" s="138">
        <v>40.340000000000003</v>
      </c>
      <c r="D100" s="98">
        <v>2.5000000000000001E-3</v>
      </c>
      <c r="E100" s="148">
        <f t="shared" si="584"/>
        <v>2.8999413402941918E-2</v>
      </c>
      <c r="F100" s="138">
        <v>2.5000000000000001E-3</v>
      </c>
      <c r="G100" s="138">
        <v>13.34</v>
      </c>
      <c r="H100" s="138">
        <v>0.20874999999999999</v>
      </c>
      <c r="I100" s="138">
        <v>46.136249999999997</v>
      </c>
      <c r="J100" s="150">
        <f t="shared" si="585"/>
        <v>7.8534170786505694E-2</v>
      </c>
      <c r="K100" s="98"/>
      <c r="L100" s="98"/>
      <c r="M100" s="138">
        <v>0.28000000000000003</v>
      </c>
      <c r="N100" s="141">
        <v>153.48115051504999</v>
      </c>
      <c r="O100" s="142">
        <v>561.28047092062263</v>
      </c>
      <c r="P100" s="11"/>
      <c r="Q100" s="140"/>
      <c r="R100" s="140"/>
      <c r="S100" s="140"/>
      <c r="T100" s="140"/>
      <c r="U100" s="140"/>
      <c r="V100" s="140"/>
      <c r="W100" s="140"/>
      <c r="X100" s="140"/>
      <c r="Y100" s="140"/>
      <c r="Z100" s="100"/>
      <c r="AA100" s="140"/>
      <c r="AC100" s="139">
        <v>58.440000000000005</v>
      </c>
      <c r="AD100" s="139">
        <v>5.3185714285714285</v>
      </c>
      <c r="AE100" s="11"/>
      <c r="AF100" s="83">
        <f t="shared" si="733"/>
        <v>5.7539423358176765E-2</v>
      </c>
      <c r="AG100" s="22">
        <f t="shared" si="734"/>
        <v>4.9622541757258587E-4</v>
      </c>
      <c r="AH100" s="126">
        <f t="shared" si="549"/>
        <v>1069.1608781365599</v>
      </c>
      <c r="AI100" s="126">
        <f t="shared" si="735"/>
        <v>1069.0102360579983</v>
      </c>
      <c r="AJ100" s="126">
        <f t="shared" si="736"/>
        <v>0.15064207856153189</v>
      </c>
      <c r="AK100" s="12"/>
      <c r="AL100" s="25">
        <f t="shared" si="550"/>
        <v>2.1301217200499578</v>
      </c>
      <c r="AN100" s="2">
        <v>15.999000000000001</v>
      </c>
      <c r="AO100" s="2">
        <v>28.085000000000001</v>
      </c>
      <c r="AP100" s="2">
        <v>47.866999999999997</v>
      </c>
      <c r="AQ100" s="2">
        <v>26.9815386</v>
      </c>
      <c r="AR100" s="2">
        <v>51.996099999999998</v>
      </c>
      <c r="AS100" s="2">
        <v>55.844999999999999</v>
      </c>
      <c r="AT100" s="2">
        <v>54.938045000000002</v>
      </c>
      <c r="AU100" s="2">
        <v>24.305</v>
      </c>
      <c r="AV100" s="2">
        <v>40.078000000000003</v>
      </c>
      <c r="AW100" s="2">
        <v>22.989769280000001</v>
      </c>
      <c r="AX100" s="2">
        <v>39.098300000000002</v>
      </c>
      <c r="AY100" s="2">
        <v>58.693399999999997</v>
      </c>
      <c r="BA100" s="2">
        <f t="shared" ref="BA100" si="765">AN100*2+AO100</f>
        <v>60.082999999999998</v>
      </c>
      <c r="BB100" s="2">
        <f t="shared" ref="BB100" si="766">AN100*2+AP100</f>
        <v>79.864999999999995</v>
      </c>
      <c r="BC100" s="2">
        <f t="shared" ref="BC100" si="767">AQ100*2+AN100*3</f>
        <v>101.9600772</v>
      </c>
      <c r="BD100" s="2">
        <f t="shared" ref="BD100" si="768">AR100*2+AN100*3</f>
        <v>151.98919999999998</v>
      </c>
      <c r="BE100" s="2">
        <f t="shared" ref="BE100" si="769">AS100+AN100</f>
        <v>71.843999999999994</v>
      </c>
      <c r="BF100" s="2">
        <f t="shared" ref="BF100" si="770">AT100+AN100</f>
        <v>70.937044999999998</v>
      </c>
      <c r="BG100" s="2">
        <f t="shared" ref="BG100" si="771">AU100+AN100</f>
        <v>40.304000000000002</v>
      </c>
      <c r="BH100" s="2">
        <f t="shared" ref="BH100" si="772">AV100+AN100</f>
        <v>56.077000000000005</v>
      </c>
      <c r="BI100" s="2">
        <f t="shared" ref="BI100" si="773">AW100*2+AN100</f>
        <v>61.978538560000004</v>
      </c>
      <c r="BJ100" s="2">
        <f t="shared" ref="BJ100" si="774">AX100*2+AN100</f>
        <v>94.195599999999999</v>
      </c>
      <c r="BK100" s="2">
        <f t="shared" ref="BK100" si="775">AY100+AN100</f>
        <v>74.692399999999992</v>
      </c>
      <c r="BM100" s="2">
        <f t="shared" si="737"/>
        <v>0.67140455702944268</v>
      </c>
      <c r="BN100" s="2">
        <f t="shared" si="738"/>
        <v>3.1302823514681028E-5</v>
      </c>
      <c r="BO100" s="2">
        <f t="shared" si="739"/>
        <v>2.8441929625119898E-4</v>
      </c>
      <c r="BP100" s="2">
        <f t="shared" si="740"/>
        <v>1.6448537132901551E-5</v>
      </c>
      <c r="BQ100" s="2">
        <f t="shared" si="741"/>
        <v>0.18568008462780469</v>
      </c>
      <c r="BR100" s="2">
        <f t="shared" si="742"/>
        <v>2.9427501526177189E-3</v>
      </c>
      <c r="BS100" s="2">
        <f t="shared" si="743"/>
        <v>1.1447064807463279</v>
      </c>
      <c r="BT100" s="2">
        <f t="shared" si="744"/>
        <v>1.400470260293983E-3</v>
      </c>
      <c r="BU100" s="2">
        <f t="shared" si="745"/>
        <v>0</v>
      </c>
      <c r="BV100" s="2">
        <f t="shared" si="746"/>
        <v>0</v>
      </c>
      <c r="BW100" s="2">
        <f t="shared" si="747"/>
        <v>3.7487080345523782E-3</v>
      </c>
      <c r="BY100" s="2">
        <f t="shared" si="551"/>
        <v>0.67140455702944268</v>
      </c>
      <c r="BZ100" s="2">
        <f t="shared" si="552"/>
        <v>3.1302823514681028E-5</v>
      </c>
      <c r="CA100" s="2">
        <f t="shared" si="553"/>
        <v>5.6883859250239795E-4</v>
      </c>
      <c r="CB100" s="2">
        <f t="shared" si="554"/>
        <v>3.2897074265803102E-5</v>
      </c>
      <c r="CC100" s="2">
        <f t="shared" si="555"/>
        <v>0.18568008462780469</v>
      </c>
      <c r="CD100" s="2">
        <f t="shared" si="556"/>
        <v>2.9427501526177189E-3</v>
      </c>
      <c r="CE100" s="2">
        <f t="shared" si="557"/>
        <v>1.1447064807463279</v>
      </c>
      <c r="CF100" s="2">
        <f t="shared" si="558"/>
        <v>1.400470260293983E-3</v>
      </c>
      <c r="CG100" s="2">
        <f t="shared" si="559"/>
        <v>0</v>
      </c>
      <c r="CH100" s="2">
        <f t="shared" si="560"/>
        <v>0</v>
      </c>
      <c r="CI100" s="2">
        <f t="shared" ref="CI100" si="776">BW100</f>
        <v>3.7487080345523782E-3</v>
      </c>
      <c r="CK100" s="2">
        <f t="shared" si="561"/>
        <v>1.3428091140588854</v>
      </c>
      <c r="CL100" s="2">
        <f t="shared" si="562"/>
        <v>6.2605647029362056E-5</v>
      </c>
      <c r="CM100" s="2">
        <f t="shared" si="563"/>
        <v>8.5325788875359693E-4</v>
      </c>
      <c r="CN100" s="2">
        <f t="shared" si="564"/>
        <v>4.934561139870465E-5</v>
      </c>
      <c r="CO100" s="2">
        <f t="shared" si="565"/>
        <v>0.18568008462780469</v>
      </c>
      <c r="CP100" s="2">
        <f t="shared" si="566"/>
        <v>2.9427501526177189E-3</v>
      </c>
      <c r="CQ100" s="2">
        <f t="shared" si="567"/>
        <v>1.1447064807463279</v>
      </c>
      <c r="CR100" s="2">
        <f t="shared" si="568"/>
        <v>1.400470260293983E-3</v>
      </c>
      <c r="CS100" s="2">
        <f t="shared" si="569"/>
        <v>0</v>
      </c>
      <c r="CT100" s="2">
        <f t="shared" si="570"/>
        <v>0</v>
      </c>
      <c r="CU100" s="2">
        <f t="shared" si="571"/>
        <v>3.7487080345523782E-3</v>
      </c>
      <c r="CW100" s="14">
        <f t="shared" ref="CW100" si="777">SUM(CK100:CU100)</f>
        <v>2.6822528170276638</v>
      </c>
      <c r="CY100" s="14">
        <f t="shared" ref="CY100" si="778">4/CW100</f>
        <v>1.4912837353015054</v>
      </c>
      <c r="DA100" s="16">
        <f t="shared" si="711"/>
        <v>1.0012546957053199</v>
      </c>
      <c r="DB100" s="16">
        <f t="shared" si="712"/>
        <v>4.6681391576457317E-5</v>
      </c>
      <c r="DC100" s="16">
        <f t="shared" si="713"/>
        <v>8.4829974101062694E-4</v>
      </c>
      <c r="DD100" s="16">
        <f t="shared" si="714"/>
        <v>4.9058871791597879E-5</v>
      </c>
      <c r="DE100" s="16">
        <f t="shared" si="715"/>
        <v>0.27690169017485222</v>
      </c>
      <c r="DF100" s="16">
        <f t="shared" si="716"/>
        <v>4.3884754396548266E-3</v>
      </c>
      <c r="DG100" s="16">
        <f t="shared" si="717"/>
        <v>1.7070821564312246</v>
      </c>
      <c r="DH100" s="16">
        <f t="shared" si="718"/>
        <v>2.0884985209498825E-3</v>
      </c>
      <c r="DI100" s="16">
        <f t="shared" si="719"/>
        <v>0</v>
      </c>
      <c r="DJ100" s="16">
        <f t="shared" si="720"/>
        <v>0</v>
      </c>
      <c r="DK100" s="16">
        <f t="shared" si="721"/>
        <v>5.590387320322035E-3</v>
      </c>
      <c r="DL100" s="16">
        <f t="shared" si="748"/>
        <v>0.8604314794958956</v>
      </c>
      <c r="DN100" s="2">
        <f t="shared" si="749"/>
        <v>0</v>
      </c>
      <c r="DO100" s="2">
        <f t="shared" si="750"/>
        <v>0</v>
      </c>
      <c r="DP100" s="2">
        <f t="shared" si="751"/>
        <v>0</v>
      </c>
      <c r="DQ100" s="2">
        <f t="shared" si="752"/>
        <v>0</v>
      </c>
      <c r="DR100" s="2">
        <f t="shared" si="753"/>
        <v>0</v>
      </c>
      <c r="DS100" s="2">
        <f t="shared" si="754"/>
        <v>0</v>
      </c>
      <c r="DT100" s="2">
        <f t="shared" si="755"/>
        <v>0</v>
      </c>
      <c r="DU100" s="2">
        <f t="shared" si="756"/>
        <v>0</v>
      </c>
      <c r="DV100" s="2">
        <f t="shared" si="757"/>
        <v>0</v>
      </c>
      <c r="DW100" s="2">
        <f t="shared" si="758"/>
        <v>0</v>
      </c>
      <c r="DX100" s="2">
        <f t="shared" si="759"/>
        <v>0</v>
      </c>
      <c r="DZ100" s="2">
        <f t="shared" si="572"/>
        <v>0</v>
      </c>
      <c r="EA100" s="2">
        <f t="shared" si="573"/>
        <v>0</v>
      </c>
      <c r="EB100" s="2">
        <f t="shared" si="574"/>
        <v>0</v>
      </c>
      <c r="EC100" s="2">
        <f t="shared" si="575"/>
        <v>0</v>
      </c>
      <c r="ED100" s="2">
        <f t="shared" si="576"/>
        <v>0</v>
      </c>
      <c r="EE100" s="2">
        <f t="shared" si="577"/>
        <v>0</v>
      </c>
      <c r="EF100" s="2">
        <f t="shared" si="578"/>
        <v>0</v>
      </c>
      <c r="EG100" s="2">
        <f t="shared" si="579"/>
        <v>0</v>
      </c>
      <c r="EH100" s="2">
        <f t="shared" si="580"/>
        <v>0</v>
      </c>
      <c r="EI100" s="2">
        <f t="shared" si="581"/>
        <v>0</v>
      </c>
      <c r="EJ100" s="2">
        <f t="shared" si="582"/>
        <v>0</v>
      </c>
      <c r="EL100" s="16">
        <f t="shared" ref="EL100" si="779">SUM(DZ100:EJ100)</f>
        <v>0</v>
      </c>
      <c r="EN100" s="14" t="e">
        <f t="shared" ref="EN100" si="780">6/EL100</f>
        <v>#DIV/0!</v>
      </c>
      <c r="EP100" s="16" t="e">
        <f t="shared" si="722"/>
        <v>#DIV/0!</v>
      </c>
      <c r="EQ100" s="16" t="e">
        <f t="shared" si="723"/>
        <v>#DIV/0!</v>
      </c>
      <c r="ER100" s="16" t="e">
        <f t="shared" si="724"/>
        <v>#DIV/0!</v>
      </c>
      <c r="ES100" s="16" t="e">
        <f t="shared" si="725"/>
        <v>#DIV/0!</v>
      </c>
      <c r="ET100" s="16" t="e">
        <f t="shared" si="726"/>
        <v>#DIV/0!</v>
      </c>
      <c r="EU100" s="16" t="e">
        <f t="shared" si="727"/>
        <v>#DIV/0!</v>
      </c>
      <c r="EV100" s="16" t="e">
        <f t="shared" si="728"/>
        <v>#DIV/0!</v>
      </c>
      <c r="EW100" s="16" t="e">
        <f t="shared" si="729"/>
        <v>#DIV/0!</v>
      </c>
      <c r="EX100" s="16" t="e">
        <f t="shared" si="730"/>
        <v>#DIV/0!</v>
      </c>
      <c r="EY100" s="16" t="e">
        <f t="shared" si="731"/>
        <v>#DIV/0!</v>
      </c>
      <c r="EZ100" s="16" t="e">
        <f t="shared" si="732"/>
        <v>#DIV/0!</v>
      </c>
      <c r="FB100" s="14" t="e">
        <f t="shared" si="760"/>
        <v>#DIV/0!</v>
      </c>
      <c r="FC100" s="4" t="e">
        <f t="shared" si="761"/>
        <v>#DIV/0!</v>
      </c>
      <c r="FD100" s="4" t="e">
        <f t="shared" si="762"/>
        <v>#DIV/0!</v>
      </c>
      <c r="FE100" s="4" t="e">
        <f t="shared" si="763"/>
        <v>#DIV/0!</v>
      </c>
      <c r="FG100" s="4">
        <f t="shared" si="764"/>
        <v>2.1301217200499578</v>
      </c>
    </row>
    <row r="101" spans="1:163" x14ac:dyDescent="0.2">
      <c r="A101" s="24" t="s">
        <v>164</v>
      </c>
      <c r="B101" s="60" t="s">
        <v>165</v>
      </c>
      <c r="C101" s="138">
        <v>40.686363636363637</v>
      </c>
      <c r="D101" s="98">
        <v>3.6363636363636364E-3</v>
      </c>
      <c r="E101" s="148">
        <f t="shared" si="584"/>
        <v>2.9477775983035363E-2</v>
      </c>
      <c r="F101" s="138">
        <v>1.3636363636363636E-2</v>
      </c>
      <c r="G101" s="138">
        <v>11.185454545454546</v>
      </c>
      <c r="H101" s="138">
        <v>0.16818181818181815</v>
      </c>
      <c r="I101" s="138">
        <v>47.07</v>
      </c>
      <c r="J101" s="150">
        <f t="shared" si="585"/>
        <v>7.1152997783429331E-2</v>
      </c>
      <c r="K101" s="98"/>
      <c r="L101" s="98"/>
      <c r="M101" s="138">
        <v>0.31272727272727269</v>
      </c>
      <c r="N101" s="141">
        <v>156.01291342128314</v>
      </c>
      <c r="O101" s="142">
        <v>508.52753270757722</v>
      </c>
      <c r="P101" s="11"/>
      <c r="Q101" s="140">
        <v>51.761333333333333</v>
      </c>
      <c r="R101" s="140">
        <v>0.55376124999999998</v>
      </c>
      <c r="S101" s="140">
        <v>5.8467499999999992</v>
      </c>
      <c r="T101" s="140">
        <v>0.80953991666666669</v>
      </c>
      <c r="U101" s="140">
        <v>3.6596233333333337</v>
      </c>
      <c r="V101" s="140">
        <v>0.11471491666666667</v>
      </c>
      <c r="W101" s="140">
        <v>16.680683333333334</v>
      </c>
      <c r="X101" s="140">
        <v>19.846799999999998</v>
      </c>
      <c r="Y101" s="140">
        <v>0.87040875000000018</v>
      </c>
      <c r="Z101" s="100">
        <v>5.0165833333333338E-3</v>
      </c>
      <c r="AA101" s="140">
        <v>4.3829666666666676E-2</v>
      </c>
      <c r="AC101" s="139">
        <v>54.167500000000004</v>
      </c>
      <c r="AD101" s="139">
        <v>11.462499999999999</v>
      </c>
      <c r="AE101" s="11"/>
      <c r="AF101" s="83">
        <f t="shared" si="733"/>
        <v>0.12431060261209677</v>
      </c>
      <c r="AG101" s="22">
        <f t="shared" si="734"/>
        <v>5.4419672281414799E-4</v>
      </c>
      <c r="AH101" s="126">
        <f t="shared" si="549"/>
        <v>1073.452855472291</v>
      </c>
      <c r="AI101" s="126">
        <f t="shared" si="735"/>
        <v>1073.3029294988737</v>
      </c>
      <c r="AJ101" s="126">
        <f t="shared" si="736"/>
        <v>0.14992597341733926</v>
      </c>
      <c r="AK101" s="12"/>
      <c r="AL101" s="25">
        <f t="shared" si="550"/>
        <v>2.3456986122082788</v>
      </c>
      <c r="AN101" s="2">
        <v>15.999000000000001</v>
      </c>
      <c r="AO101" s="2">
        <v>28.085000000000001</v>
      </c>
      <c r="AP101" s="2">
        <v>47.866999999999997</v>
      </c>
      <c r="AQ101" s="2">
        <v>26.9815386</v>
      </c>
      <c r="AR101" s="2">
        <v>51.996099999999998</v>
      </c>
      <c r="AS101" s="2">
        <v>55.844999999999999</v>
      </c>
      <c r="AT101" s="2">
        <v>54.938045000000002</v>
      </c>
      <c r="AU101" s="2">
        <v>24.305</v>
      </c>
      <c r="AV101" s="2">
        <v>40.078000000000003</v>
      </c>
      <c r="AW101" s="2">
        <v>22.989769280000001</v>
      </c>
      <c r="AX101" s="2">
        <v>39.098300000000002</v>
      </c>
      <c r="AY101" s="2">
        <v>58.693399999999997</v>
      </c>
      <c r="BA101" s="2">
        <f t="shared" ref="BA101" si="781">AN101*2+AO101</f>
        <v>60.082999999999998</v>
      </c>
      <c r="BB101" s="2">
        <f t="shared" ref="BB101" si="782">AN101*2+AP101</f>
        <v>79.864999999999995</v>
      </c>
      <c r="BC101" s="2">
        <f t="shared" ref="BC101" si="783">AQ101*2+AN101*3</f>
        <v>101.9600772</v>
      </c>
      <c r="BD101" s="2">
        <f t="shared" ref="BD101" si="784">AR101*2+AN101*3</f>
        <v>151.98919999999998</v>
      </c>
      <c r="BE101" s="2">
        <f t="shared" ref="BE101" si="785">AS101+AN101</f>
        <v>71.843999999999994</v>
      </c>
      <c r="BF101" s="2">
        <f t="shared" ref="BF101" si="786">AT101+AN101</f>
        <v>70.937044999999998</v>
      </c>
      <c r="BG101" s="2">
        <f t="shared" ref="BG101" si="787">AU101+AN101</f>
        <v>40.304000000000002</v>
      </c>
      <c r="BH101" s="2">
        <f t="shared" ref="BH101" si="788">AV101+AN101</f>
        <v>56.077000000000005</v>
      </c>
      <c r="BI101" s="2">
        <f t="shared" ref="BI101" si="789">AW101*2+AN101</f>
        <v>61.978538560000004</v>
      </c>
      <c r="BJ101" s="2">
        <f t="shared" ref="BJ101" si="790">AX101*2+AN101</f>
        <v>94.195599999999999</v>
      </c>
      <c r="BK101" s="2">
        <f t="shared" ref="BK101" si="791">AY101+AN101</f>
        <v>74.692399999999992</v>
      </c>
      <c r="BM101" s="2">
        <f t="shared" si="737"/>
        <v>0.67716930972760414</v>
      </c>
      <c r="BN101" s="2">
        <f t="shared" si="738"/>
        <v>4.5531379657717856E-5</v>
      </c>
      <c r="BO101" s="2">
        <f t="shared" si="739"/>
        <v>2.8911096178569159E-4</v>
      </c>
      <c r="BP101" s="2">
        <f t="shared" si="740"/>
        <v>8.9719293452190268E-5</v>
      </c>
      <c r="BQ101" s="2">
        <f t="shared" si="741"/>
        <v>0.15569086556225359</v>
      </c>
      <c r="BR101" s="2">
        <f t="shared" si="742"/>
        <v>2.3708602209440519E-3</v>
      </c>
      <c r="BS101" s="2">
        <f t="shared" si="743"/>
        <v>1.1678741564112742</v>
      </c>
      <c r="BT101" s="2">
        <f t="shared" si="744"/>
        <v>1.2688445848285273E-3</v>
      </c>
      <c r="BU101" s="2">
        <f t="shared" si="745"/>
        <v>0</v>
      </c>
      <c r="BV101" s="2">
        <f t="shared" si="746"/>
        <v>0</v>
      </c>
      <c r="BW101" s="2">
        <f t="shared" si="747"/>
        <v>4.1868687139156426E-3</v>
      </c>
      <c r="BY101" s="2">
        <f t="shared" si="551"/>
        <v>0.67716930972760414</v>
      </c>
      <c r="BZ101" s="2">
        <f t="shared" si="552"/>
        <v>4.5531379657717856E-5</v>
      </c>
      <c r="CA101" s="2">
        <f t="shared" si="553"/>
        <v>5.7822192357138318E-4</v>
      </c>
      <c r="CB101" s="2">
        <f t="shared" si="554"/>
        <v>1.7943858690438054E-4</v>
      </c>
      <c r="CC101" s="2">
        <f t="shared" si="555"/>
        <v>0.15569086556225359</v>
      </c>
      <c r="CD101" s="2">
        <f t="shared" si="556"/>
        <v>2.3708602209440519E-3</v>
      </c>
      <c r="CE101" s="2">
        <f t="shared" si="557"/>
        <v>1.1678741564112742</v>
      </c>
      <c r="CF101" s="2">
        <f t="shared" si="558"/>
        <v>1.2688445848285273E-3</v>
      </c>
      <c r="CG101" s="2">
        <f t="shared" si="559"/>
        <v>0</v>
      </c>
      <c r="CH101" s="2">
        <f t="shared" si="560"/>
        <v>0</v>
      </c>
      <c r="CI101" s="2">
        <f t="shared" ref="CI101" si="792">BW101</f>
        <v>4.1868687139156426E-3</v>
      </c>
      <c r="CK101" s="2">
        <f t="shared" si="561"/>
        <v>1.3543386194552083</v>
      </c>
      <c r="CL101" s="2">
        <f t="shared" si="562"/>
        <v>9.1062759315435713E-5</v>
      </c>
      <c r="CM101" s="2">
        <f t="shared" si="563"/>
        <v>8.6733288535707472E-4</v>
      </c>
      <c r="CN101" s="2">
        <f t="shared" si="564"/>
        <v>2.691578803565708E-4</v>
      </c>
      <c r="CO101" s="2">
        <f t="shared" si="565"/>
        <v>0.15569086556225359</v>
      </c>
      <c r="CP101" s="2">
        <f t="shared" si="566"/>
        <v>2.3708602209440519E-3</v>
      </c>
      <c r="CQ101" s="2">
        <f t="shared" si="567"/>
        <v>1.1678741564112742</v>
      </c>
      <c r="CR101" s="2">
        <f t="shared" si="568"/>
        <v>1.2688445848285273E-3</v>
      </c>
      <c r="CS101" s="2">
        <f t="shared" si="569"/>
        <v>0</v>
      </c>
      <c r="CT101" s="2">
        <f t="shared" si="570"/>
        <v>0</v>
      </c>
      <c r="CU101" s="2">
        <f t="shared" si="571"/>
        <v>4.1868687139156426E-3</v>
      </c>
      <c r="CW101" s="14">
        <f t="shared" ref="CW101" si="793">SUM(CK101:CU101)</f>
        <v>2.6869577684734534</v>
      </c>
      <c r="CY101" s="14">
        <f t="shared" ref="CY101" si="794">4/CW101</f>
        <v>1.4886724484220413</v>
      </c>
      <c r="DA101" s="16">
        <f t="shared" si="711"/>
        <v>1.0080832943084561</v>
      </c>
      <c r="DB101" s="16">
        <f t="shared" si="712"/>
        <v>6.7781310435088368E-5</v>
      </c>
      <c r="DC101" s="16">
        <f t="shared" si="713"/>
        <v>8.607830466943134E-4</v>
      </c>
      <c r="DD101" s="16">
        <f t="shared" si="714"/>
        <v>2.6712528050833542E-4</v>
      </c>
      <c r="DE101" s="16">
        <f t="shared" si="715"/>
        <v>0.23177270203350692</v>
      </c>
      <c r="DF101" s="16">
        <f t="shared" si="716"/>
        <v>3.5294342899792035E-3</v>
      </c>
      <c r="DG101" s="16">
        <f t="shared" si="717"/>
        <v>1.7385820798735976</v>
      </c>
      <c r="DH101" s="16">
        <f t="shared" si="718"/>
        <v>1.8888939747637322E-3</v>
      </c>
      <c r="DI101" s="16">
        <f t="shared" si="719"/>
        <v>0</v>
      </c>
      <c r="DJ101" s="16">
        <f t="shared" si="720"/>
        <v>0</v>
      </c>
      <c r="DK101" s="16">
        <f t="shared" si="721"/>
        <v>6.2328760995664428E-3</v>
      </c>
      <c r="DL101" s="16">
        <f t="shared" si="748"/>
        <v>0.8823700664663171</v>
      </c>
      <c r="DN101" s="2">
        <f t="shared" si="749"/>
        <v>0.86149715116311332</v>
      </c>
      <c r="DO101" s="2">
        <f t="shared" si="750"/>
        <v>6.9337162712076635E-3</v>
      </c>
      <c r="DP101" s="2">
        <f t="shared" si="751"/>
        <v>5.73435226861519E-2</v>
      </c>
      <c r="DQ101" s="2">
        <f t="shared" si="752"/>
        <v>5.3262989519430775E-3</v>
      </c>
      <c r="DR101" s="2">
        <f t="shared" si="753"/>
        <v>5.093846853367482E-2</v>
      </c>
      <c r="DS101" s="2">
        <f t="shared" si="754"/>
        <v>1.6171369510340706E-3</v>
      </c>
      <c r="DT101" s="2">
        <f t="shared" si="755"/>
        <v>0.4138716587270081</v>
      </c>
      <c r="DU101" s="2">
        <f t="shared" si="756"/>
        <v>0.35392050216666365</v>
      </c>
      <c r="DV101" s="2">
        <f t="shared" si="757"/>
        <v>1.4043712069095941E-2</v>
      </c>
      <c r="DW101" s="2">
        <f t="shared" si="758"/>
        <v>5.3257087733751194E-5</v>
      </c>
      <c r="DX101" s="2">
        <f t="shared" si="759"/>
        <v>5.8680222708959256E-4</v>
      </c>
      <c r="DZ101" s="2">
        <f t="shared" si="572"/>
        <v>1.7229943023262266</v>
      </c>
      <c r="EA101" s="2">
        <f t="shared" si="573"/>
        <v>1.3867432542415327E-2</v>
      </c>
      <c r="EB101" s="2">
        <f t="shared" si="574"/>
        <v>0.17203056805845571</v>
      </c>
      <c r="EC101" s="2">
        <f t="shared" si="575"/>
        <v>1.5978896855829233E-2</v>
      </c>
      <c r="ED101" s="2">
        <f t="shared" si="576"/>
        <v>5.093846853367482E-2</v>
      </c>
      <c r="EE101" s="2">
        <f t="shared" si="577"/>
        <v>1.6171369510340706E-3</v>
      </c>
      <c r="EF101" s="2">
        <f t="shared" si="578"/>
        <v>0.4138716587270081</v>
      </c>
      <c r="EG101" s="2">
        <f t="shared" si="579"/>
        <v>0.35392050216666365</v>
      </c>
      <c r="EH101" s="2">
        <f t="shared" si="580"/>
        <v>1.4043712069095941E-2</v>
      </c>
      <c r="EI101" s="2">
        <f t="shared" si="581"/>
        <v>5.3257087733751194E-5</v>
      </c>
      <c r="EJ101" s="2">
        <f t="shared" si="582"/>
        <v>5.8680222708959256E-4</v>
      </c>
      <c r="EL101" s="16">
        <f t="shared" ref="EL101" si="795">SUM(DZ101:EJ101)</f>
        <v>2.759902737545227</v>
      </c>
      <c r="EN101" s="14">
        <f t="shared" ref="EN101" si="796">6/EL101</f>
        <v>2.1739896549168436</v>
      </c>
      <c r="EP101" s="16">
        <f t="shared" si="722"/>
        <v>1.8728858943689406</v>
      </c>
      <c r="EQ101" s="16">
        <f t="shared" si="723"/>
        <v>1.5073827443734051E-2</v>
      </c>
      <c r="ER101" s="16">
        <f t="shared" si="724"/>
        <v>0.24932845019236713</v>
      </c>
      <c r="ES101" s="16">
        <f t="shared" si="725"/>
        <v>2.3158637641037354E-2</v>
      </c>
      <c r="ET101" s="16">
        <f t="shared" si="726"/>
        <v>0.11073970362951621</v>
      </c>
      <c r="EU101" s="16">
        <f t="shared" si="727"/>
        <v>3.515639002131836E-3</v>
      </c>
      <c r="EV101" s="16">
        <f t="shared" si="728"/>
        <v>0.89975270453579004</v>
      </c>
      <c r="EW101" s="16">
        <f t="shared" si="729"/>
        <v>0.76941951037330114</v>
      </c>
      <c r="EX101" s="16">
        <f t="shared" si="730"/>
        <v>6.1061769509690791E-2</v>
      </c>
      <c r="EY101" s="16">
        <f t="shared" si="731"/>
        <v>2.3156071556834764E-4</v>
      </c>
      <c r="EZ101" s="16">
        <f t="shared" si="732"/>
        <v>1.2757019711749386E-3</v>
      </c>
      <c r="FB101" s="14">
        <f t="shared" si="760"/>
        <v>-6.0096448886648925</v>
      </c>
      <c r="FC101" s="4">
        <f t="shared" si="761"/>
        <v>1.726687418100131</v>
      </c>
      <c r="FD101" s="4">
        <f t="shared" si="762"/>
        <v>1.4509116502986805</v>
      </c>
      <c r="FE101" s="4">
        <f t="shared" si="763"/>
        <v>1.726687418100131</v>
      </c>
      <c r="FG101" s="4">
        <f t="shared" si="764"/>
        <v>2.3456986122082788</v>
      </c>
    </row>
    <row r="102" spans="1:163" x14ac:dyDescent="0.2">
      <c r="A102" s="24" t="s">
        <v>167</v>
      </c>
      <c r="B102" s="60" t="s">
        <v>181</v>
      </c>
      <c r="C102" s="138">
        <v>40.891999999999996</v>
      </c>
      <c r="D102" s="98"/>
      <c r="E102" s="148">
        <f t="shared" si="584"/>
        <v>1.3273022054542302E-2</v>
      </c>
      <c r="F102" s="138">
        <v>0</v>
      </c>
      <c r="G102" s="138">
        <v>10.022</v>
      </c>
      <c r="H102" s="138">
        <v>0.13600000000000001</v>
      </c>
      <c r="I102" s="138">
        <v>49.275999999999996</v>
      </c>
      <c r="J102" s="150">
        <f t="shared" si="585"/>
        <v>4.2238143310433511E-2</v>
      </c>
      <c r="K102" s="98"/>
      <c r="L102" s="98"/>
      <c r="M102" s="138">
        <v>0.376</v>
      </c>
      <c r="N102" s="141">
        <v>70.248272523199404</v>
      </c>
      <c r="O102" s="142">
        <v>301.87426352970994</v>
      </c>
      <c r="P102" s="11"/>
      <c r="Q102" s="140">
        <v>51.718333333333334</v>
      </c>
      <c r="R102" s="140">
        <v>0.39999999999999997</v>
      </c>
      <c r="S102" s="140">
        <v>6.7416666666666671</v>
      </c>
      <c r="T102" s="140">
        <v>0.83000000000000007</v>
      </c>
      <c r="U102" s="140">
        <v>2.7233333333333332</v>
      </c>
      <c r="V102" s="140">
        <v>9.3333333333333324E-2</v>
      </c>
      <c r="W102" s="140">
        <v>14.878333333333336</v>
      </c>
      <c r="X102" s="140">
        <v>20.044999999999998</v>
      </c>
      <c r="Y102" s="140">
        <v>1.5883333333333336</v>
      </c>
      <c r="Z102" s="100"/>
      <c r="AA102" s="140">
        <v>2.6666666666666668E-2</v>
      </c>
      <c r="AC102" s="139">
        <v>56.947499999999998</v>
      </c>
      <c r="AD102" s="139">
        <v>9.9275000000000002</v>
      </c>
      <c r="AE102" s="11"/>
      <c r="AF102" s="83">
        <f>AD102/151.9892/(AD102/151.9892+AC102/101.9601)</f>
        <v>0.10470100558776096</v>
      </c>
      <c r="AG102" s="22">
        <f t="shared" si="734"/>
        <v>2.3307471011971205E-4</v>
      </c>
      <c r="AH102" s="126">
        <f t="shared" ref="AH102:AH105" si="797">10000/(0.575+0.884*AF102-0.897*LN(AG102))-273</f>
        <v>950.96030647964653</v>
      </c>
      <c r="AI102" s="126">
        <f t="shared" si="735"/>
        <v>950.81084388919817</v>
      </c>
      <c r="AJ102" s="126">
        <f t="shared" si="736"/>
        <v>0.14946259044836552</v>
      </c>
      <c r="AK102" s="12"/>
      <c r="AL102" s="25">
        <f t="shared" ref="AL102:AL105" si="798">FG102</f>
        <v>1.7304569746216429</v>
      </c>
      <c r="AN102" s="2">
        <v>15.999000000000001</v>
      </c>
      <c r="AO102" s="2">
        <v>28.085000000000001</v>
      </c>
      <c r="AP102" s="2">
        <v>47.866999999999997</v>
      </c>
      <c r="AQ102" s="2">
        <v>26.9815386</v>
      </c>
      <c r="AR102" s="2">
        <v>51.996099999999998</v>
      </c>
      <c r="AS102" s="2">
        <v>55.844999999999999</v>
      </c>
      <c r="AT102" s="2">
        <v>54.938045000000002</v>
      </c>
      <c r="AU102" s="2">
        <v>24.305</v>
      </c>
      <c r="AV102" s="2">
        <v>40.078000000000003</v>
      </c>
      <c r="AW102" s="2">
        <v>22.989769280000001</v>
      </c>
      <c r="AX102" s="2">
        <v>39.098300000000002</v>
      </c>
      <c r="AY102" s="2">
        <v>58.693399999999997</v>
      </c>
      <c r="BA102" s="2">
        <f>AN102*2+AO102</f>
        <v>60.082999999999998</v>
      </c>
      <c r="BB102" s="2">
        <f>AN102*2+AP102</f>
        <v>79.864999999999995</v>
      </c>
      <c r="BC102" s="2">
        <f>AQ102*2+AN102*3</f>
        <v>101.9600772</v>
      </c>
      <c r="BD102" s="2">
        <f>AR102*2+AN102*3</f>
        <v>151.98919999999998</v>
      </c>
      <c r="BE102" s="2">
        <f>AS102+AN102</f>
        <v>71.843999999999994</v>
      </c>
      <c r="BF102" s="2">
        <f>AT102+AN102</f>
        <v>70.937044999999998</v>
      </c>
      <c r="BG102" s="2">
        <f>AU102+AN102</f>
        <v>40.304000000000002</v>
      </c>
      <c r="BH102" s="2">
        <f>AV102+AN102</f>
        <v>56.077000000000005</v>
      </c>
      <c r="BI102" s="2">
        <f>AW102*2+AN102</f>
        <v>61.978538560000004</v>
      </c>
      <c r="BJ102" s="2">
        <f>AX102*2+AN102</f>
        <v>94.195599999999999</v>
      </c>
      <c r="BK102" s="2">
        <f>AY102+AN102</f>
        <v>74.692399999999992</v>
      </c>
      <c r="BM102" s="2">
        <f t="shared" si="737"/>
        <v>0.68059184794367789</v>
      </c>
      <c r="BN102" s="2">
        <f t="shared" si="738"/>
        <v>0</v>
      </c>
      <c r="BO102" s="2">
        <f t="shared" si="739"/>
        <v>1.3017861911291591E-4</v>
      </c>
      <c r="BP102" s="2">
        <f t="shared" si="740"/>
        <v>0</v>
      </c>
      <c r="BQ102" s="2">
        <f t="shared" si="741"/>
        <v>0.13949668726685599</v>
      </c>
      <c r="BR102" s="2">
        <f t="shared" si="742"/>
        <v>1.9171929138012446E-3</v>
      </c>
      <c r="BS102" s="2">
        <f t="shared" si="743"/>
        <v>1.2226081778483524</v>
      </c>
      <c r="BT102" s="2">
        <f t="shared" si="744"/>
        <v>7.5321688589677599E-4</v>
      </c>
      <c r="BU102" s="2">
        <f t="shared" si="745"/>
        <v>0</v>
      </c>
      <c r="BV102" s="2">
        <f t="shared" si="746"/>
        <v>0</v>
      </c>
      <c r="BW102" s="2">
        <f t="shared" si="747"/>
        <v>5.033979360684622E-3</v>
      </c>
      <c r="BY102" s="2">
        <f t="shared" ref="BY102:BY105" si="799">BM102</f>
        <v>0.68059184794367789</v>
      </c>
      <c r="BZ102" s="2">
        <f t="shared" ref="BZ102:BZ105" si="800">BN102</f>
        <v>0</v>
      </c>
      <c r="CA102" s="2">
        <f t="shared" ref="CA102:CA105" si="801">BO102*2</f>
        <v>2.6035723822583182E-4</v>
      </c>
      <c r="CB102" s="2">
        <f t="shared" ref="CB102:CB105" si="802">BP102*2</f>
        <v>0</v>
      </c>
      <c r="CC102" s="2">
        <f t="shared" ref="CC102:CC105" si="803">BQ102</f>
        <v>0.13949668726685599</v>
      </c>
      <c r="CD102" s="2">
        <f t="shared" ref="CD102:CD105" si="804">BR102</f>
        <v>1.9171929138012446E-3</v>
      </c>
      <c r="CE102" s="2">
        <f t="shared" ref="CE102:CE105" si="805">BS102</f>
        <v>1.2226081778483524</v>
      </c>
      <c r="CF102" s="2">
        <f t="shared" ref="CF102:CF105" si="806">BT102</f>
        <v>7.5321688589677599E-4</v>
      </c>
      <c r="CG102" s="2">
        <f t="shared" ref="CG102:CG105" si="807">BU102*2</f>
        <v>0</v>
      </c>
      <c r="CH102" s="2">
        <f t="shared" ref="CH102:CH105" si="808">BV102*2</f>
        <v>0</v>
      </c>
      <c r="CI102" s="2">
        <f>BW102</f>
        <v>5.033979360684622E-3</v>
      </c>
      <c r="CK102" s="2">
        <f t="shared" ref="CK102:CK105" si="809">BM102*2</f>
        <v>1.3611836958873558</v>
      </c>
      <c r="CL102" s="2">
        <f t="shared" ref="CL102:CL105" si="810">BN102*2</f>
        <v>0</v>
      </c>
      <c r="CM102" s="2">
        <f t="shared" ref="CM102:CM105" si="811">BO102*3</f>
        <v>3.9053585733874775E-4</v>
      </c>
      <c r="CN102" s="2">
        <f t="shared" ref="CN102:CN105" si="812">BP102*3</f>
        <v>0</v>
      </c>
      <c r="CO102" s="2">
        <f t="shared" ref="CO102:CO105" si="813">BQ102</f>
        <v>0.13949668726685599</v>
      </c>
      <c r="CP102" s="2">
        <f t="shared" ref="CP102:CP105" si="814">BR102</f>
        <v>1.9171929138012446E-3</v>
      </c>
      <c r="CQ102" s="2">
        <f t="shared" ref="CQ102:CQ105" si="815">BS102</f>
        <v>1.2226081778483524</v>
      </c>
      <c r="CR102" s="2">
        <f t="shared" ref="CR102:CR105" si="816">BT102</f>
        <v>7.5321688589677599E-4</v>
      </c>
      <c r="CS102" s="2">
        <f t="shared" ref="CS102:CS105" si="817">BU102</f>
        <v>0</v>
      </c>
      <c r="CT102" s="2">
        <f t="shared" ref="CT102:CT105" si="818">BV102</f>
        <v>0</v>
      </c>
      <c r="CU102" s="2">
        <f t="shared" ref="CU102:CU105" si="819">BW102</f>
        <v>5.033979360684622E-3</v>
      </c>
      <c r="CW102" s="14">
        <f>SUM(CK102:CU102)</f>
        <v>2.7313834860202855</v>
      </c>
      <c r="CY102" s="14">
        <f>4/CW102</f>
        <v>1.464459319049384</v>
      </c>
      <c r="DA102" s="16">
        <f t="shared" si="711"/>
        <v>0.99669907419016035</v>
      </c>
      <c r="DB102" s="16">
        <f t="shared" si="712"/>
        <v>0</v>
      </c>
      <c r="DC102" s="16">
        <f t="shared" si="713"/>
        <v>3.8128258380177991E-4</v>
      </c>
      <c r="DD102" s="16">
        <f t="shared" si="714"/>
        <v>0</v>
      </c>
      <c r="DE102" s="16">
        <f t="shared" si="715"/>
        <v>0.2042872236444648</v>
      </c>
      <c r="DF102" s="16">
        <f t="shared" si="716"/>
        <v>2.8076510290316751E-3</v>
      </c>
      <c r="DG102" s="16">
        <f t="shared" si="717"/>
        <v>1.7904599395960064</v>
      </c>
      <c r="DH102" s="16">
        <f t="shared" si="718"/>
        <v>1.1030554878168901E-3</v>
      </c>
      <c r="DI102" s="16">
        <f t="shared" si="719"/>
        <v>0</v>
      </c>
      <c r="DJ102" s="16">
        <f t="shared" si="720"/>
        <v>0</v>
      </c>
      <c r="DK102" s="16">
        <f t="shared" si="721"/>
        <v>7.3720579866568547E-3</v>
      </c>
      <c r="DL102" s="16">
        <f t="shared" si="748"/>
        <v>0.89758740986872754</v>
      </c>
      <c r="DN102" s="2">
        <f t="shared" si="749"/>
        <v>0.86078147451580866</v>
      </c>
      <c r="DO102" s="2">
        <f t="shared" si="750"/>
        <v>5.008451762348964E-3</v>
      </c>
      <c r="DP102" s="2">
        <f t="shared" si="751"/>
        <v>6.6120650864578467E-2</v>
      </c>
      <c r="DQ102" s="2">
        <f t="shared" si="752"/>
        <v>5.4609143281233148E-3</v>
      </c>
      <c r="DR102" s="2">
        <f t="shared" si="753"/>
        <v>3.7906204183137539E-2</v>
      </c>
      <c r="DS102" s="2">
        <f t="shared" si="754"/>
        <v>1.315720627118501E-3</v>
      </c>
      <c r="DT102" s="2">
        <f t="shared" si="755"/>
        <v>0.36915277226412602</v>
      </c>
      <c r="DU102" s="2">
        <f t="shared" si="756"/>
        <v>0.3574549280453661</v>
      </c>
      <c r="DV102" s="2">
        <f t="shared" si="757"/>
        <v>2.5627150465894005E-2</v>
      </c>
      <c r="DW102" s="2">
        <f t="shared" si="758"/>
        <v>0</v>
      </c>
      <c r="DX102" s="2">
        <f t="shared" si="759"/>
        <v>3.5701981281451218E-4</v>
      </c>
      <c r="DZ102" s="2">
        <f t="shared" ref="DZ102:DZ105" si="820">DN102*2</f>
        <v>1.7215629490316173</v>
      </c>
      <c r="EA102" s="2">
        <f t="shared" ref="EA102:EA105" si="821">DO102*2</f>
        <v>1.0016903524697928E-2</v>
      </c>
      <c r="EB102" s="2">
        <f t="shared" ref="EB102:EB105" si="822">DP102*3</f>
        <v>0.1983619525937354</v>
      </c>
      <c r="EC102" s="2">
        <f t="shared" ref="EC102:EC105" si="823">DQ102*3</f>
        <v>1.6382742984369945E-2</v>
      </c>
      <c r="ED102" s="2">
        <f t="shared" ref="ED102:ED105" si="824">DR102</f>
        <v>3.7906204183137539E-2</v>
      </c>
      <c r="EE102" s="2">
        <f t="shared" ref="EE102:EE105" si="825">DS102</f>
        <v>1.315720627118501E-3</v>
      </c>
      <c r="EF102" s="2">
        <f t="shared" ref="EF102:EF105" si="826">DT102</f>
        <v>0.36915277226412602</v>
      </c>
      <c r="EG102" s="2">
        <f t="shared" ref="EG102:EG105" si="827">DU102</f>
        <v>0.3574549280453661</v>
      </c>
      <c r="EH102" s="2">
        <f t="shared" ref="EH102:EH105" si="828">DV102</f>
        <v>2.5627150465894005E-2</v>
      </c>
      <c r="EI102" s="2">
        <f t="shared" ref="EI102:EI105" si="829">DW102</f>
        <v>0</v>
      </c>
      <c r="EJ102" s="2">
        <f t="shared" ref="EJ102:EJ105" si="830">DX102</f>
        <v>3.5701981281451218E-4</v>
      </c>
      <c r="EL102" s="16">
        <f>SUM(DZ102:EJ102)</f>
        <v>2.7381383435328774</v>
      </c>
      <c r="EN102" s="14">
        <f>6/EL102</f>
        <v>2.191269850981493</v>
      </c>
      <c r="EP102" s="16">
        <f t="shared" si="722"/>
        <v>1.8862044933898858</v>
      </c>
      <c r="EQ102" s="16">
        <f t="shared" si="723"/>
        <v>1.097486934693041E-2</v>
      </c>
      <c r="ER102" s="16">
        <f t="shared" si="724"/>
        <v>0.28977637753364838</v>
      </c>
      <c r="ES102" s="16">
        <f t="shared" si="725"/>
        <v>2.3932673852018953E-2</v>
      </c>
      <c r="ET102" s="16">
        <f t="shared" si="726"/>
        <v>8.3062722391657837E-2</v>
      </c>
      <c r="EU102" s="16">
        <f t="shared" si="727"/>
        <v>2.8830989425192343E-3</v>
      </c>
      <c r="EV102" s="16">
        <f t="shared" si="728"/>
        <v>0.80891334026861639</v>
      </c>
      <c r="EW102" s="16">
        <f t="shared" si="729"/>
        <v>0.78328020691056965</v>
      </c>
      <c r="EX102" s="16">
        <f t="shared" si="730"/>
        <v>0.11231200436495971</v>
      </c>
      <c r="EY102" s="16">
        <f t="shared" si="731"/>
        <v>0</v>
      </c>
      <c r="EZ102" s="16">
        <f t="shared" si="732"/>
        <v>7.8232675202349661E-4</v>
      </c>
      <c r="FB102" s="14">
        <f t="shared" si="760"/>
        <v>-6.5654064499278926</v>
      </c>
      <c r="FC102" s="4">
        <f t="shared" si="761"/>
        <v>0.84038006585180702</v>
      </c>
      <c r="FD102" s="4">
        <f t="shared" si="762"/>
        <v>1.6796388412179617</v>
      </c>
      <c r="FE102" s="4">
        <f t="shared" si="763"/>
        <v>1.6796388412179617</v>
      </c>
      <c r="FG102" s="4">
        <f t="shared" si="764"/>
        <v>1.7304569746216429</v>
      </c>
    </row>
    <row r="103" spans="1:163" x14ac:dyDescent="0.2">
      <c r="A103" s="24" t="s">
        <v>168</v>
      </c>
      <c r="B103" s="60" t="s">
        <v>181</v>
      </c>
      <c r="C103" s="138">
        <v>41.447860000000006</v>
      </c>
      <c r="D103" s="98">
        <v>1.0919999999999999E-2</v>
      </c>
      <c r="E103" s="148">
        <f t="shared" si="584"/>
        <v>7.8491092682963504E-3</v>
      </c>
      <c r="F103" s="138">
        <v>3.7400000000000003E-3</v>
      </c>
      <c r="G103" s="138">
        <v>8.5817000000000014</v>
      </c>
      <c r="H103" s="138">
        <v>0.11308</v>
      </c>
      <c r="I103" s="138">
        <v>50.73798</v>
      </c>
      <c r="J103" s="150">
        <f t="shared" si="585"/>
        <v>3.38880988534771E-2</v>
      </c>
      <c r="K103" s="98"/>
      <c r="L103" s="98"/>
      <c r="M103" s="138">
        <v>0.30972</v>
      </c>
      <c r="N103" s="141">
        <v>41.54188584015472</v>
      </c>
      <c r="O103" s="142">
        <v>242.19684110235133</v>
      </c>
      <c r="P103" s="11"/>
      <c r="Q103" s="140">
        <v>53.26276</v>
      </c>
      <c r="R103" s="140">
        <v>2.298E-2</v>
      </c>
      <c r="S103" s="140">
        <v>2.8071000000000002</v>
      </c>
      <c r="T103" s="140">
        <v>1.10226</v>
      </c>
      <c r="U103" s="140">
        <v>2.0373800000000002</v>
      </c>
      <c r="V103" s="140">
        <v>7.4639999999999998E-2</v>
      </c>
      <c r="W103" s="140">
        <v>17.342760000000002</v>
      </c>
      <c r="X103" s="140">
        <v>22.032779999999999</v>
      </c>
      <c r="Y103" s="140">
        <v>0.61348000000000003</v>
      </c>
      <c r="Z103" s="100"/>
      <c r="AA103" s="140">
        <v>3.6159999999999998E-2</v>
      </c>
      <c r="AC103" s="139">
        <v>31.820240000000002</v>
      </c>
      <c r="AD103" s="139">
        <v>36.326679999999996</v>
      </c>
      <c r="AE103" s="11"/>
      <c r="AF103" s="83">
        <f t="shared" ref="AF103:AF105" si="831">AD103/151.9892/(AD103/151.9892+AC103/101.9601)</f>
        <v>0.43369825844314475</v>
      </c>
      <c r="AG103" s="22">
        <f t="shared" si="734"/>
        <v>2.4667033524248562E-4</v>
      </c>
      <c r="AH103" s="126">
        <f t="shared" si="797"/>
        <v>916.0353491129224</v>
      </c>
      <c r="AI103" s="126">
        <f t="shared" si="735"/>
        <v>915.88534197646277</v>
      </c>
      <c r="AJ103" s="126">
        <f t="shared" si="736"/>
        <v>0.15000713645963515</v>
      </c>
      <c r="AK103" s="12"/>
      <c r="AL103" s="25">
        <f t="shared" si="798"/>
        <v>1.6323236716353218</v>
      </c>
      <c r="AN103" s="2">
        <v>15.999000000000001</v>
      </c>
      <c r="AO103" s="2">
        <v>28.085000000000001</v>
      </c>
      <c r="AP103" s="2">
        <v>47.866999999999997</v>
      </c>
      <c r="AQ103" s="2">
        <v>26.9815386</v>
      </c>
      <c r="AR103" s="2">
        <v>51.996099999999998</v>
      </c>
      <c r="AS103" s="2">
        <v>55.844999999999999</v>
      </c>
      <c r="AT103" s="2">
        <v>54.938045000000002</v>
      </c>
      <c r="AU103" s="2">
        <v>24.305</v>
      </c>
      <c r="AV103" s="2">
        <v>40.078000000000003</v>
      </c>
      <c r="AW103" s="2">
        <v>22.989769280000001</v>
      </c>
      <c r="AX103" s="2">
        <v>39.098300000000002</v>
      </c>
      <c r="AY103" s="2">
        <v>58.693399999999997</v>
      </c>
      <c r="BA103" s="2">
        <f>AN103*2+AO103</f>
        <v>60.082999999999998</v>
      </c>
      <c r="BB103" s="2">
        <f>AN103*2+AP103</f>
        <v>79.864999999999995</v>
      </c>
      <c r="BC103" s="2">
        <f>AQ103*2+AN103*3</f>
        <v>101.9600772</v>
      </c>
      <c r="BD103" s="2">
        <f>AR103*2+AN103*3</f>
        <v>151.98919999999998</v>
      </c>
      <c r="BE103" s="2">
        <f>AS103+AN103</f>
        <v>71.843999999999994</v>
      </c>
      <c r="BF103" s="2">
        <f>AT103+AN103</f>
        <v>70.937044999999998</v>
      </c>
      <c r="BG103" s="2">
        <f>AU103+AN103</f>
        <v>40.304000000000002</v>
      </c>
      <c r="BH103" s="2">
        <f>AV103+AN103</f>
        <v>56.077000000000005</v>
      </c>
      <c r="BI103" s="2">
        <f>AW103*2+AN103</f>
        <v>61.978538560000004</v>
      </c>
      <c r="BJ103" s="2">
        <f>AX103*2+AN103</f>
        <v>94.195599999999999</v>
      </c>
      <c r="BK103" s="2">
        <f>AY103+AN103</f>
        <v>74.692399999999992</v>
      </c>
      <c r="BM103" s="2">
        <f t="shared" si="737"/>
        <v>0.68984338331974115</v>
      </c>
      <c r="BN103" s="2">
        <f t="shared" si="738"/>
        <v>1.3673073311212672E-4</v>
      </c>
      <c r="BO103" s="2">
        <f t="shared" si="739"/>
        <v>7.6982182476185396E-5</v>
      </c>
      <c r="BP103" s="2">
        <f t="shared" si="740"/>
        <v>2.4607011550820721E-5</v>
      </c>
      <c r="BQ103" s="2">
        <f t="shared" si="741"/>
        <v>0.11944908412671904</v>
      </c>
      <c r="BR103" s="2">
        <f t="shared" si="742"/>
        <v>1.5940895197988584E-3</v>
      </c>
      <c r="BS103" s="2">
        <f t="shared" si="743"/>
        <v>1.2588819968241365</v>
      </c>
      <c r="BT103" s="2">
        <f t="shared" si="744"/>
        <v>6.043136910583144E-4</v>
      </c>
      <c r="BU103" s="2">
        <f t="shared" si="745"/>
        <v>0</v>
      </c>
      <c r="BV103" s="2">
        <f t="shared" si="746"/>
        <v>0</v>
      </c>
      <c r="BW103" s="2">
        <f t="shared" si="747"/>
        <v>4.1466066159341515E-3</v>
      </c>
      <c r="BY103" s="2">
        <f t="shared" si="799"/>
        <v>0.68984338331974115</v>
      </c>
      <c r="BZ103" s="2">
        <f t="shared" si="800"/>
        <v>1.3673073311212672E-4</v>
      </c>
      <c r="CA103" s="2">
        <f t="shared" si="801"/>
        <v>1.5396436495237079E-4</v>
      </c>
      <c r="CB103" s="2">
        <f t="shared" si="802"/>
        <v>4.9214023101641443E-5</v>
      </c>
      <c r="CC103" s="2">
        <f t="shared" si="803"/>
        <v>0.11944908412671904</v>
      </c>
      <c r="CD103" s="2">
        <f t="shared" si="804"/>
        <v>1.5940895197988584E-3</v>
      </c>
      <c r="CE103" s="2">
        <f t="shared" si="805"/>
        <v>1.2588819968241365</v>
      </c>
      <c r="CF103" s="2">
        <f t="shared" si="806"/>
        <v>6.043136910583144E-4</v>
      </c>
      <c r="CG103" s="2">
        <f t="shared" si="807"/>
        <v>0</v>
      </c>
      <c r="CH103" s="2">
        <f t="shared" si="808"/>
        <v>0</v>
      </c>
      <c r="CI103" s="2">
        <f>BW103</f>
        <v>4.1466066159341515E-3</v>
      </c>
      <c r="CK103" s="2">
        <f t="shared" si="809"/>
        <v>1.3796867666394823</v>
      </c>
      <c r="CL103" s="2">
        <f t="shared" si="810"/>
        <v>2.7346146622425345E-4</v>
      </c>
      <c r="CM103" s="2">
        <f t="shared" si="811"/>
        <v>2.309465474285562E-4</v>
      </c>
      <c r="CN103" s="2">
        <f t="shared" si="812"/>
        <v>7.3821034652462171E-5</v>
      </c>
      <c r="CO103" s="2">
        <f t="shared" si="813"/>
        <v>0.11944908412671904</v>
      </c>
      <c r="CP103" s="2">
        <f t="shared" si="814"/>
        <v>1.5940895197988584E-3</v>
      </c>
      <c r="CQ103" s="2">
        <f t="shared" si="815"/>
        <v>1.2588819968241365</v>
      </c>
      <c r="CR103" s="2">
        <f t="shared" si="816"/>
        <v>6.043136910583144E-4</v>
      </c>
      <c r="CS103" s="2">
        <f t="shared" si="817"/>
        <v>0</v>
      </c>
      <c r="CT103" s="2">
        <f t="shared" si="818"/>
        <v>0</v>
      </c>
      <c r="CU103" s="2">
        <f t="shared" si="819"/>
        <v>4.1466066159341515E-3</v>
      </c>
      <c r="CW103" s="14">
        <f>SUM(CK103:CU103)</f>
        <v>2.7649410864654351</v>
      </c>
      <c r="CY103" s="14">
        <f>4/CW103</f>
        <v>1.446685435570493</v>
      </c>
      <c r="DA103" s="16">
        <f t="shared" si="711"/>
        <v>0.99798637547334235</v>
      </c>
      <c r="DB103" s="16">
        <f t="shared" si="712"/>
        <v>1.9780636018818987E-4</v>
      </c>
      <c r="DC103" s="16">
        <f t="shared" si="713"/>
        <v>2.2273800437345488E-4</v>
      </c>
      <c r="DD103" s="16">
        <f t="shared" si="714"/>
        <v>7.1197210446974452E-5</v>
      </c>
      <c r="DE103" s="16">
        <f t="shared" si="715"/>
        <v>0.172805250298359</v>
      </c>
      <c r="DF103" s="16">
        <f t="shared" si="716"/>
        <v>2.3061460912885694E-3</v>
      </c>
      <c r="DG103" s="16">
        <f t="shared" si="717"/>
        <v>1.8212062499073778</v>
      </c>
      <c r="DH103" s="16">
        <f t="shared" si="718"/>
        <v>8.7425181536990987E-4</v>
      </c>
      <c r="DI103" s="16">
        <f t="shared" si="719"/>
        <v>0</v>
      </c>
      <c r="DJ103" s="16">
        <f t="shared" si="720"/>
        <v>0</v>
      </c>
      <c r="DK103" s="16">
        <f t="shared" si="721"/>
        <v>5.9988353983121863E-3</v>
      </c>
      <c r="DL103" s="16">
        <f t="shared" si="748"/>
        <v>0.91333788682736816</v>
      </c>
      <c r="DN103" s="2">
        <f t="shared" si="749"/>
        <v>0.88648636053459384</v>
      </c>
      <c r="DO103" s="2">
        <f t="shared" si="750"/>
        <v>2.8773555374694799E-4</v>
      </c>
      <c r="DP103" s="2">
        <f t="shared" si="751"/>
        <v>2.753136401116809E-2</v>
      </c>
      <c r="DQ103" s="2">
        <f t="shared" si="752"/>
        <v>7.2522258160448248E-3</v>
      </c>
      <c r="DR103" s="2">
        <f t="shared" si="753"/>
        <v>2.835838761761595E-2</v>
      </c>
      <c r="DS103" s="2">
        <f t="shared" si="754"/>
        <v>1.0522005815156242E-3</v>
      </c>
      <c r="DT103" s="2">
        <f t="shared" si="755"/>
        <v>0.4302987296546249</v>
      </c>
      <c r="DU103" s="2">
        <f t="shared" si="756"/>
        <v>0.39290225939333412</v>
      </c>
      <c r="DV103" s="2">
        <f t="shared" si="757"/>
        <v>9.8982650164637885E-3</v>
      </c>
      <c r="DW103" s="2">
        <f t="shared" si="758"/>
        <v>0</v>
      </c>
      <c r="DX103" s="2">
        <f t="shared" si="759"/>
        <v>4.8411886617647849E-4</v>
      </c>
      <c r="DZ103" s="2">
        <f t="shared" si="820"/>
        <v>1.7729727210691877</v>
      </c>
      <c r="EA103" s="2">
        <f t="shared" si="821"/>
        <v>5.7547110749389598E-4</v>
      </c>
      <c r="EB103" s="2">
        <f t="shared" si="822"/>
        <v>8.2594092033504263E-2</v>
      </c>
      <c r="EC103" s="2">
        <f t="shared" si="823"/>
        <v>2.1756677448134476E-2</v>
      </c>
      <c r="ED103" s="2">
        <f t="shared" si="824"/>
        <v>2.835838761761595E-2</v>
      </c>
      <c r="EE103" s="2">
        <f t="shared" si="825"/>
        <v>1.0522005815156242E-3</v>
      </c>
      <c r="EF103" s="2">
        <f t="shared" si="826"/>
        <v>0.4302987296546249</v>
      </c>
      <c r="EG103" s="2">
        <f t="shared" si="827"/>
        <v>0.39290225939333412</v>
      </c>
      <c r="EH103" s="2">
        <f t="shared" si="828"/>
        <v>9.8982650164637885E-3</v>
      </c>
      <c r="EI103" s="2">
        <f t="shared" si="829"/>
        <v>0</v>
      </c>
      <c r="EJ103" s="2">
        <f t="shared" si="830"/>
        <v>4.8411886617647849E-4</v>
      </c>
      <c r="EL103" s="16">
        <f>SUM(DZ103:EJ103)</f>
        <v>2.740892922788051</v>
      </c>
      <c r="EN103" s="14">
        <f>6/EL103</f>
        <v>2.1890676392774835</v>
      </c>
      <c r="EP103" s="16">
        <f t="shared" si="722"/>
        <v>1.9405786045071514</v>
      </c>
      <c r="EQ103" s="16">
        <f t="shared" si="723"/>
        <v>6.2987258937703087E-4</v>
      </c>
      <c r="ER103" s="16">
        <f t="shared" si="724"/>
        <v>0.1205360360440336</v>
      </c>
      <c r="ES103" s="16">
        <f t="shared" si="725"/>
        <v>3.1751225693272933E-2</v>
      </c>
      <c r="ET103" s="16">
        <f t="shared" si="726"/>
        <v>6.2078428635810368E-2</v>
      </c>
      <c r="EU103" s="16">
        <f t="shared" si="727"/>
        <v>2.3033382430248028E-3</v>
      </c>
      <c r="EV103" s="16">
        <f t="shared" si="728"/>
        <v>0.94195302430914984</v>
      </c>
      <c r="EW103" s="16">
        <f t="shared" si="729"/>
        <v>0.86008962143695533</v>
      </c>
      <c r="EX103" s="16">
        <f t="shared" si="730"/>
        <v>4.3335943265066575E-2</v>
      </c>
      <c r="EY103" s="16">
        <f t="shared" si="731"/>
        <v>0</v>
      </c>
      <c r="EZ103" s="16">
        <f t="shared" si="732"/>
        <v>1.0597689435106357E-3</v>
      </c>
      <c r="FB103" s="14">
        <f t="shared" si="760"/>
        <v>-6.8914234213436636</v>
      </c>
      <c r="FC103" s="4">
        <f t="shared" si="761"/>
        <v>0.89780011384338487</v>
      </c>
      <c r="FD103" s="4">
        <f t="shared" si="762"/>
        <v>2.1549455700968929</v>
      </c>
      <c r="FE103" s="4">
        <f t="shared" si="763"/>
        <v>2.1549455700968929</v>
      </c>
      <c r="FG103" s="4">
        <f t="shared" si="764"/>
        <v>1.6323236716353218</v>
      </c>
    </row>
    <row r="104" spans="1:163" x14ac:dyDescent="0.2">
      <c r="A104" s="24" t="s">
        <v>169</v>
      </c>
      <c r="B104" s="60" t="s">
        <v>181</v>
      </c>
      <c r="C104" s="138">
        <v>41.227080000000001</v>
      </c>
      <c r="D104" s="98">
        <v>9.5599999999999991E-3</v>
      </c>
      <c r="E104" s="148">
        <f t="shared" si="584"/>
        <v>1.1018582760413771E-2</v>
      </c>
      <c r="F104" s="138">
        <v>2.2740000000000003E-2</v>
      </c>
      <c r="G104" s="138">
        <v>10.264720000000001</v>
      </c>
      <c r="H104" s="138">
        <v>0.11683999999999999</v>
      </c>
      <c r="I104" s="138">
        <v>49.419959999999996</v>
      </c>
      <c r="J104" s="150">
        <f t="shared" si="585"/>
        <v>3.8200166319560129E-2</v>
      </c>
      <c r="K104" s="98"/>
      <c r="L104" s="98"/>
      <c r="M104" s="138">
        <v>0.29818</v>
      </c>
      <c r="N104" s="141">
        <v>58.316516117599761</v>
      </c>
      <c r="O104" s="142">
        <v>273.01500896184371</v>
      </c>
      <c r="P104" s="11"/>
      <c r="Q104" s="140">
        <v>51.966539999999995</v>
      </c>
      <c r="R104" s="140">
        <v>0.48629999999999995</v>
      </c>
      <c r="S104" s="140">
        <v>7.0949799999999996</v>
      </c>
      <c r="T104" s="140">
        <v>0.8924200000000001</v>
      </c>
      <c r="U104" s="140">
        <v>2.8369</v>
      </c>
      <c r="V104" s="140">
        <v>0.10132000000000001</v>
      </c>
      <c r="W104" s="140">
        <v>14.814519999999998</v>
      </c>
      <c r="X104" s="140">
        <v>19.479480000000002</v>
      </c>
      <c r="Y104" s="140">
        <v>1.9312400000000001</v>
      </c>
      <c r="Z104" s="100"/>
      <c r="AA104" s="140">
        <v>4.4040000000000003E-2</v>
      </c>
      <c r="AC104" s="139">
        <v>57.169000000000004</v>
      </c>
      <c r="AD104" s="139">
        <v>10.1477</v>
      </c>
      <c r="AE104" s="11"/>
      <c r="AF104" s="83">
        <f t="shared" si="831"/>
        <v>0.10640570971065386</v>
      </c>
      <c r="AG104" s="22">
        <f t="shared" si="734"/>
        <v>1.9273702112007854E-4</v>
      </c>
      <c r="AH104" s="126">
        <f t="shared" si="797"/>
        <v>925.72950152970907</v>
      </c>
      <c r="AI104" s="126">
        <f t="shared" si="735"/>
        <v>925.5795036848499</v>
      </c>
      <c r="AJ104" s="126">
        <f t="shared" si="736"/>
        <v>0.14999784485917189</v>
      </c>
      <c r="AK104" s="12"/>
      <c r="AL104" s="25">
        <f t="shared" si="798"/>
        <v>1.573420448837759</v>
      </c>
      <c r="AN104" s="2">
        <v>15.999000000000001</v>
      </c>
      <c r="AO104" s="2">
        <v>28.085000000000001</v>
      </c>
      <c r="AP104" s="2">
        <v>47.866999999999997</v>
      </c>
      <c r="AQ104" s="2">
        <v>26.9815386</v>
      </c>
      <c r="AR104" s="2">
        <v>51.996099999999998</v>
      </c>
      <c r="AS104" s="2">
        <v>55.844999999999999</v>
      </c>
      <c r="AT104" s="2">
        <v>54.938045000000002</v>
      </c>
      <c r="AU104" s="2">
        <v>24.305</v>
      </c>
      <c r="AV104" s="2">
        <v>40.078000000000003</v>
      </c>
      <c r="AW104" s="2">
        <v>22.989769280000001</v>
      </c>
      <c r="AX104" s="2">
        <v>39.098300000000002</v>
      </c>
      <c r="AY104" s="2">
        <v>58.693399999999997</v>
      </c>
      <c r="BA104" s="2">
        <f t="shared" ref="BA104" si="832">AN104*2+AO104</f>
        <v>60.082999999999998</v>
      </c>
      <c r="BB104" s="2">
        <f t="shared" ref="BB104" si="833">AN104*2+AP104</f>
        <v>79.864999999999995</v>
      </c>
      <c r="BC104" s="2">
        <f t="shared" ref="BC104" si="834">AQ104*2+AN104*3</f>
        <v>101.9600772</v>
      </c>
      <c r="BD104" s="2">
        <f t="shared" ref="BD104" si="835">AR104*2+AN104*3</f>
        <v>151.98919999999998</v>
      </c>
      <c r="BE104" s="2">
        <f t="shared" ref="BE104" si="836">AS104+AN104</f>
        <v>71.843999999999994</v>
      </c>
      <c r="BF104" s="2">
        <f t="shared" ref="BF104" si="837">AT104+AN104</f>
        <v>70.937044999999998</v>
      </c>
      <c r="BG104" s="2">
        <f t="shared" ref="BG104" si="838">AU104+AN104</f>
        <v>40.304000000000002</v>
      </c>
      <c r="BH104" s="2">
        <f t="shared" ref="BH104" si="839">AV104+AN104</f>
        <v>56.077000000000005</v>
      </c>
      <c r="BI104" s="2">
        <f t="shared" ref="BI104" si="840">AW104*2+AN104</f>
        <v>61.978538560000004</v>
      </c>
      <c r="BJ104" s="2">
        <f t="shared" ref="BJ104" si="841">AX104*2+AN104</f>
        <v>94.195599999999999</v>
      </c>
      <c r="BK104" s="2">
        <f t="shared" ref="BK104" si="842">AY104+AN104</f>
        <v>74.692399999999992</v>
      </c>
      <c r="BM104" s="2">
        <f t="shared" si="737"/>
        <v>0.68616879982690615</v>
      </c>
      <c r="BN104" s="2">
        <f t="shared" si="738"/>
        <v>1.1970199712014024E-4</v>
      </c>
      <c r="BO104" s="2">
        <f t="shared" si="739"/>
        <v>1.0806761884654371E-4</v>
      </c>
      <c r="BP104" s="2">
        <f t="shared" si="740"/>
        <v>1.4961589376087252E-4</v>
      </c>
      <c r="BQ104" s="2">
        <f t="shared" si="741"/>
        <v>0.14287511831189803</v>
      </c>
      <c r="BR104" s="2">
        <f t="shared" si="742"/>
        <v>1.6470942650627749E-3</v>
      </c>
      <c r="BS104" s="2">
        <f t="shared" si="743"/>
        <v>1.2261800317586342</v>
      </c>
      <c r="BT104" s="2">
        <f t="shared" si="744"/>
        <v>6.8120916453376834E-4</v>
      </c>
      <c r="BU104" s="2">
        <f t="shared" si="745"/>
        <v>0</v>
      </c>
      <c r="BV104" s="2">
        <f t="shared" si="746"/>
        <v>0</v>
      </c>
      <c r="BW104" s="2">
        <f t="shared" si="747"/>
        <v>3.9921062919386716E-3</v>
      </c>
      <c r="BY104" s="2">
        <f t="shared" si="799"/>
        <v>0.68616879982690615</v>
      </c>
      <c r="BZ104" s="2">
        <f t="shared" si="800"/>
        <v>1.1970199712014024E-4</v>
      </c>
      <c r="CA104" s="2">
        <f t="shared" si="801"/>
        <v>2.1613523769308741E-4</v>
      </c>
      <c r="CB104" s="2">
        <f t="shared" si="802"/>
        <v>2.9923178752174504E-4</v>
      </c>
      <c r="CC104" s="2">
        <f t="shared" si="803"/>
        <v>0.14287511831189803</v>
      </c>
      <c r="CD104" s="2">
        <f t="shared" si="804"/>
        <v>1.6470942650627749E-3</v>
      </c>
      <c r="CE104" s="2">
        <f t="shared" si="805"/>
        <v>1.2261800317586342</v>
      </c>
      <c r="CF104" s="2">
        <f t="shared" si="806"/>
        <v>6.8120916453376834E-4</v>
      </c>
      <c r="CG104" s="2">
        <f t="shared" si="807"/>
        <v>0</v>
      </c>
      <c r="CH104" s="2">
        <f t="shared" si="808"/>
        <v>0</v>
      </c>
      <c r="CI104" s="2">
        <f t="shared" ref="CI104" si="843">BW104</f>
        <v>3.9921062919386716E-3</v>
      </c>
      <c r="CK104" s="2">
        <f t="shared" si="809"/>
        <v>1.3723375996538123</v>
      </c>
      <c r="CL104" s="2">
        <f t="shared" si="810"/>
        <v>2.3940399424028048E-4</v>
      </c>
      <c r="CM104" s="2">
        <f t="shared" si="811"/>
        <v>3.242028565396311E-4</v>
      </c>
      <c r="CN104" s="2">
        <f t="shared" si="812"/>
        <v>4.4884768128261755E-4</v>
      </c>
      <c r="CO104" s="2">
        <f t="shared" si="813"/>
        <v>0.14287511831189803</v>
      </c>
      <c r="CP104" s="2">
        <f t="shared" si="814"/>
        <v>1.6470942650627749E-3</v>
      </c>
      <c r="CQ104" s="2">
        <f t="shared" si="815"/>
        <v>1.2261800317586342</v>
      </c>
      <c r="CR104" s="2">
        <f t="shared" si="816"/>
        <v>6.8120916453376834E-4</v>
      </c>
      <c r="CS104" s="2">
        <f t="shared" si="817"/>
        <v>0</v>
      </c>
      <c r="CT104" s="2">
        <f t="shared" si="818"/>
        <v>0</v>
      </c>
      <c r="CU104" s="2">
        <f t="shared" si="819"/>
        <v>3.9921062919386716E-3</v>
      </c>
      <c r="CW104" s="14">
        <f t="shared" ref="CW104" si="844">SUM(CK104:CU104)</f>
        <v>2.7487256139779421</v>
      </c>
      <c r="CY104" s="14">
        <f t="shared" ref="CY104" si="845">4/CW104</f>
        <v>1.4552198224730113</v>
      </c>
      <c r="DA104" s="16">
        <f t="shared" si="711"/>
        <v>0.99852643907062955</v>
      </c>
      <c r="DB104" s="16">
        <f t="shared" si="712"/>
        <v>1.7419271899883539E-4</v>
      </c>
      <c r="DC104" s="16">
        <f t="shared" si="713"/>
        <v>3.1452428222589679E-4</v>
      </c>
      <c r="DD104" s="16">
        <f t="shared" si="714"/>
        <v>4.3544802871567563E-4</v>
      </c>
      <c r="DE104" s="16">
        <f t="shared" si="715"/>
        <v>0.20791470430565073</v>
      </c>
      <c r="DF104" s="16">
        <f t="shared" si="716"/>
        <v>2.3968842240009664E-3</v>
      </c>
      <c r="DG104" s="16">
        <f t="shared" si="717"/>
        <v>1.784361488135751</v>
      </c>
      <c r="DH104" s="16">
        <f t="shared" si="718"/>
        <v>9.9130907947981867E-4</v>
      </c>
      <c r="DI104" s="16">
        <f t="shared" si="719"/>
        <v>0</v>
      </c>
      <c r="DJ104" s="16">
        <f t="shared" si="720"/>
        <v>0</v>
      </c>
      <c r="DK104" s="16">
        <f t="shared" si="721"/>
        <v>5.8093922094483849E-3</v>
      </c>
      <c r="DL104" s="16">
        <f t="shared" si="748"/>
        <v>0.89563961809388226</v>
      </c>
      <c r="DN104" s="2">
        <f t="shared" si="749"/>
        <v>0.8649125376562421</v>
      </c>
      <c r="DO104" s="2">
        <f t="shared" si="750"/>
        <v>6.0890252300757524E-3</v>
      </c>
      <c r="DP104" s="2">
        <f t="shared" si="751"/>
        <v>6.9585863357898667E-2</v>
      </c>
      <c r="DQ104" s="2">
        <f t="shared" si="752"/>
        <v>5.8716014032576015E-3</v>
      </c>
      <c r="DR104" s="2">
        <f t="shared" si="753"/>
        <v>3.9486943934079394E-2</v>
      </c>
      <c r="DS104" s="2">
        <f t="shared" si="754"/>
        <v>1.4283087207819273E-3</v>
      </c>
      <c r="DT104" s="2">
        <f t="shared" si="755"/>
        <v>0.3675694720127034</v>
      </c>
      <c r="DU104" s="2">
        <f t="shared" si="756"/>
        <v>0.34737022308611376</v>
      </c>
      <c r="DV104" s="2">
        <f t="shared" si="757"/>
        <v>3.1159818299529778E-2</v>
      </c>
      <c r="DW104" s="2">
        <f t="shared" si="758"/>
        <v>0</v>
      </c>
      <c r="DX104" s="2">
        <f t="shared" si="759"/>
        <v>5.8961822086316693E-4</v>
      </c>
      <c r="DZ104" s="2">
        <f t="shared" si="820"/>
        <v>1.7298250753124842</v>
      </c>
      <c r="EA104" s="2">
        <f t="shared" si="821"/>
        <v>1.2178050460151505E-2</v>
      </c>
      <c r="EB104" s="2">
        <f t="shared" si="822"/>
        <v>0.20875759007369599</v>
      </c>
      <c r="EC104" s="2">
        <f t="shared" si="823"/>
        <v>1.7614804209772805E-2</v>
      </c>
      <c r="ED104" s="2">
        <f t="shared" si="824"/>
        <v>3.9486943934079394E-2</v>
      </c>
      <c r="EE104" s="2">
        <f t="shared" si="825"/>
        <v>1.4283087207819273E-3</v>
      </c>
      <c r="EF104" s="2">
        <f t="shared" si="826"/>
        <v>0.3675694720127034</v>
      </c>
      <c r="EG104" s="2">
        <f t="shared" si="827"/>
        <v>0.34737022308611376</v>
      </c>
      <c r="EH104" s="2">
        <f t="shared" si="828"/>
        <v>3.1159818299529778E-2</v>
      </c>
      <c r="EI104" s="2">
        <f t="shared" si="829"/>
        <v>0</v>
      </c>
      <c r="EJ104" s="2">
        <f t="shared" si="830"/>
        <v>5.8961822086316693E-4</v>
      </c>
      <c r="EL104" s="16">
        <f t="shared" ref="EL104" si="846">SUM(DZ104:EJ104)</f>
        <v>2.755979904330176</v>
      </c>
      <c r="EN104" s="14">
        <f t="shared" ref="EN104" si="847">6/EL104</f>
        <v>2.1770840892463847</v>
      </c>
      <c r="EP104" s="16">
        <f t="shared" si="722"/>
        <v>1.8829873243211193</v>
      </c>
      <c r="EQ104" s="16">
        <f t="shared" si="723"/>
        <v>1.3256319947417728E-2</v>
      </c>
      <c r="ER104" s="16">
        <f t="shared" si="724"/>
        <v>0.3029885519059084</v>
      </c>
      <c r="ES104" s="16">
        <f t="shared" si="725"/>
        <v>2.5565939986857741E-2</v>
      </c>
      <c r="ET104" s="16">
        <f t="shared" si="726"/>
        <v>8.5966397371848288E-2</v>
      </c>
      <c r="EU104" s="16">
        <f t="shared" si="727"/>
        <v>3.109548190546191E-3</v>
      </c>
      <c r="EV104" s="16">
        <f t="shared" si="728"/>
        <v>0.80022964921155093</v>
      </c>
      <c r="EW104" s="16">
        <f t="shared" si="729"/>
        <v>0.75625418575874548</v>
      </c>
      <c r="EX104" s="16">
        <f t="shared" si="730"/>
        <v>0.13567508928742925</v>
      </c>
      <c r="EY104" s="16">
        <f t="shared" si="731"/>
        <v>0</v>
      </c>
      <c r="EZ104" s="16">
        <f t="shared" si="732"/>
        <v>1.2836484473709615E-3</v>
      </c>
      <c r="FB104" s="14">
        <f t="shared" si="760"/>
        <v>-6.6371064510380107</v>
      </c>
      <c r="FC104" s="4">
        <f t="shared" si="761"/>
        <v>0.53649254123605117</v>
      </c>
      <c r="FD104" s="4">
        <f t="shared" si="762"/>
        <v>1.5663139546829989</v>
      </c>
      <c r="FE104" s="4">
        <f t="shared" si="763"/>
        <v>1.5663139546829989</v>
      </c>
      <c r="FG104" s="4">
        <f t="shared" si="764"/>
        <v>1.573420448837759</v>
      </c>
    </row>
    <row r="105" spans="1:163" x14ac:dyDescent="0.2">
      <c r="A105" s="24" t="s">
        <v>170</v>
      </c>
      <c r="B105" s="60" t="s">
        <v>181</v>
      </c>
      <c r="C105" s="138">
        <v>41.570779999999999</v>
      </c>
      <c r="D105" s="98">
        <v>4.3200000000000001E-3</v>
      </c>
      <c r="E105" s="148">
        <f t="shared" si="584"/>
        <v>1.3395476507374682E-2</v>
      </c>
      <c r="F105" s="138">
        <v>2.3219999999999998E-2</v>
      </c>
      <c r="G105" s="138">
        <v>9.1105799999999988</v>
      </c>
      <c r="H105" s="138">
        <v>0.13709999999999997</v>
      </c>
      <c r="I105" s="138">
        <v>50.143419999999999</v>
      </c>
      <c r="J105" s="150">
        <f t="shared" si="585"/>
        <v>4.3498517677978694E-2</v>
      </c>
      <c r="K105" s="98"/>
      <c r="L105" s="98"/>
      <c r="M105" s="138">
        <v>0.32921999999999996</v>
      </c>
      <c r="N105" s="141">
        <v>70.896370125908078</v>
      </c>
      <c r="O105" s="142">
        <v>310.88210701321935</v>
      </c>
      <c r="P105" s="11"/>
      <c r="Q105" s="140">
        <v>52.298360000000002</v>
      </c>
      <c r="R105" s="140">
        <v>0.41493999999999998</v>
      </c>
      <c r="S105" s="140">
        <v>5.3708200000000001</v>
      </c>
      <c r="T105" s="140">
        <v>1.4206400000000001</v>
      </c>
      <c r="U105" s="140">
        <v>2.5951200000000001</v>
      </c>
      <c r="V105" s="140">
        <v>9.35E-2</v>
      </c>
      <c r="W105" s="140">
        <v>15.514939999999999</v>
      </c>
      <c r="X105" s="140">
        <v>19.983000000000001</v>
      </c>
      <c r="Y105" s="140">
        <v>1.6542000000000001</v>
      </c>
      <c r="Z105" s="100"/>
      <c r="AA105" s="140">
        <v>3.0640000000000001E-2</v>
      </c>
      <c r="AC105" s="139">
        <v>46.825139999999998</v>
      </c>
      <c r="AD105" s="139">
        <v>20.335000000000001</v>
      </c>
      <c r="AE105" s="11"/>
      <c r="AF105" s="83">
        <f t="shared" si="831"/>
        <v>0.22560356611030166</v>
      </c>
      <c r="AG105" s="22">
        <f t="shared" si="734"/>
        <v>2.8607445716926169E-4</v>
      </c>
      <c r="AH105" s="126">
        <f t="shared" si="797"/>
        <v>962.59170729644779</v>
      </c>
      <c r="AI105" s="126">
        <f t="shared" si="735"/>
        <v>962.44170804442751</v>
      </c>
      <c r="AJ105" s="126">
        <f t="shared" si="736"/>
        <v>0.14999925202027953</v>
      </c>
      <c r="AK105" s="12"/>
      <c r="AL105" s="25">
        <f t="shared" si="798"/>
        <v>1.8268962989039828</v>
      </c>
      <c r="AN105" s="2">
        <v>15.999000000000001</v>
      </c>
      <c r="AO105" s="2">
        <v>28.085000000000001</v>
      </c>
      <c r="AP105" s="2">
        <v>47.866999999999997</v>
      </c>
      <c r="AQ105" s="2">
        <v>26.9815386</v>
      </c>
      <c r="AR105" s="2">
        <v>51.996099999999998</v>
      </c>
      <c r="AS105" s="2">
        <v>55.844999999999999</v>
      </c>
      <c r="AT105" s="2">
        <v>54.938045000000002</v>
      </c>
      <c r="AU105" s="2">
        <v>24.305</v>
      </c>
      <c r="AV105" s="2">
        <v>40.078000000000003</v>
      </c>
      <c r="AW105" s="2">
        <v>22.989769280000001</v>
      </c>
      <c r="AX105" s="2">
        <v>39.098300000000002</v>
      </c>
      <c r="AY105" s="2">
        <v>58.693399999999997</v>
      </c>
      <c r="BA105" s="2">
        <f>AN105*2+AO105</f>
        <v>60.082999999999998</v>
      </c>
      <c r="BB105" s="2">
        <f>AN105*2+AP105</f>
        <v>79.864999999999995</v>
      </c>
      <c r="BC105" s="2">
        <f>AQ105*2+AN105*3</f>
        <v>101.9600772</v>
      </c>
      <c r="BD105" s="2">
        <f>AR105*2+AN105*3</f>
        <v>151.98919999999998</v>
      </c>
      <c r="BE105" s="2">
        <f>AS105+AN105</f>
        <v>71.843999999999994</v>
      </c>
      <c r="BF105" s="2">
        <f>AT105+AN105</f>
        <v>70.937044999999998</v>
      </c>
      <c r="BG105" s="2">
        <f>AU105+AN105</f>
        <v>40.304000000000002</v>
      </c>
      <c r="BH105" s="2">
        <f>AV105+AN105</f>
        <v>56.077000000000005</v>
      </c>
      <c r="BI105" s="2">
        <f>AW105*2+AN105</f>
        <v>61.978538560000004</v>
      </c>
      <c r="BJ105" s="2">
        <f>AX105*2+AN105</f>
        <v>94.195599999999999</v>
      </c>
      <c r="BK105" s="2">
        <f>AY105+AN105</f>
        <v>74.692399999999992</v>
      </c>
      <c r="BM105" s="2">
        <f t="shared" si="737"/>
        <v>0.69188921991245445</v>
      </c>
      <c r="BN105" s="2">
        <f t="shared" si="738"/>
        <v>5.4091279033368813E-5</v>
      </c>
      <c r="BO105" s="2">
        <f t="shared" si="739"/>
        <v>1.3137962303714969E-4</v>
      </c>
      <c r="BP105" s="2">
        <f t="shared" si="740"/>
        <v>1.5277401289038957E-4</v>
      </c>
      <c r="BQ105" s="2">
        <f t="shared" si="741"/>
        <v>0.12681058961082345</v>
      </c>
      <c r="BR105" s="2">
        <f t="shared" si="742"/>
        <v>1.9326996211922836E-3</v>
      </c>
      <c r="BS105" s="2">
        <f t="shared" si="743"/>
        <v>1.2441301111552203</v>
      </c>
      <c r="BT105" s="2">
        <f t="shared" si="744"/>
        <v>7.7569266683272448E-4</v>
      </c>
      <c r="BU105" s="2">
        <f t="shared" si="745"/>
        <v>0</v>
      </c>
      <c r="BV105" s="2">
        <f t="shared" si="746"/>
        <v>0</v>
      </c>
      <c r="BW105" s="2">
        <f t="shared" si="747"/>
        <v>4.4076773540547634E-3</v>
      </c>
      <c r="BY105" s="2">
        <f t="shared" si="799"/>
        <v>0.69188921991245445</v>
      </c>
      <c r="BZ105" s="2">
        <f t="shared" si="800"/>
        <v>5.4091279033368813E-5</v>
      </c>
      <c r="CA105" s="2">
        <f t="shared" si="801"/>
        <v>2.6275924607429939E-4</v>
      </c>
      <c r="CB105" s="2">
        <f t="shared" si="802"/>
        <v>3.0554802578077915E-4</v>
      </c>
      <c r="CC105" s="2">
        <f t="shared" si="803"/>
        <v>0.12681058961082345</v>
      </c>
      <c r="CD105" s="2">
        <f t="shared" si="804"/>
        <v>1.9326996211922836E-3</v>
      </c>
      <c r="CE105" s="2">
        <f t="shared" si="805"/>
        <v>1.2441301111552203</v>
      </c>
      <c r="CF105" s="2">
        <f t="shared" si="806"/>
        <v>7.7569266683272448E-4</v>
      </c>
      <c r="CG105" s="2">
        <f t="shared" si="807"/>
        <v>0</v>
      </c>
      <c r="CH105" s="2">
        <f t="shared" si="808"/>
        <v>0</v>
      </c>
      <c r="CI105" s="2">
        <f>BW105</f>
        <v>4.4076773540547634E-3</v>
      </c>
      <c r="CK105" s="2">
        <f t="shared" si="809"/>
        <v>1.3837784398249089</v>
      </c>
      <c r="CL105" s="2">
        <f t="shared" si="810"/>
        <v>1.0818255806673763E-4</v>
      </c>
      <c r="CM105" s="2">
        <f t="shared" si="811"/>
        <v>3.9413886911144908E-4</v>
      </c>
      <c r="CN105" s="2">
        <f t="shared" si="812"/>
        <v>4.5832203867116875E-4</v>
      </c>
      <c r="CO105" s="2">
        <f t="shared" si="813"/>
        <v>0.12681058961082345</v>
      </c>
      <c r="CP105" s="2">
        <f t="shared" si="814"/>
        <v>1.9326996211922836E-3</v>
      </c>
      <c r="CQ105" s="2">
        <f t="shared" si="815"/>
        <v>1.2441301111552203</v>
      </c>
      <c r="CR105" s="2">
        <f t="shared" si="816"/>
        <v>7.7569266683272448E-4</v>
      </c>
      <c r="CS105" s="2">
        <f t="shared" si="817"/>
        <v>0</v>
      </c>
      <c r="CT105" s="2">
        <f t="shared" si="818"/>
        <v>0</v>
      </c>
      <c r="CU105" s="2">
        <f t="shared" si="819"/>
        <v>4.4076773540547634E-3</v>
      </c>
      <c r="CW105" s="14">
        <f>SUM(CK105:CU105)</f>
        <v>2.7627958536988819</v>
      </c>
      <c r="CY105" s="14">
        <f>4/CW105</f>
        <v>1.4478087458560236</v>
      </c>
      <c r="DA105" s="16">
        <f t="shared" si="711"/>
        <v>1.0017232637527531</v>
      </c>
      <c r="DB105" s="16">
        <f t="shared" si="712"/>
        <v>7.8313826859049919E-5</v>
      </c>
      <c r="DC105" s="16">
        <f t="shared" si="713"/>
        <v>3.8042513452090569E-4</v>
      </c>
      <c r="DD105" s="16">
        <f t="shared" si="714"/>
        <v>4.4237510400445382E-4</v>
      </c>
      <c r="DE105" s="16">
        <f t="shared" si="715"/>
        <v>0.18359748070570919</v>
      </c>
      <c r="DF105" s="16">
        <f t="shared" si="716"/>
        <v>2.7981794146748119E-3</v>
      </c>
      <c r="DG105" s="16">
        <f t="shared" si="717"/>
        <v>1.8012624559133548</v>
      </c>
      <c r="DH105" s="16">
        <f t="shared" si="718"/>
        <v>1.1230546271368011E-3</v>
      </c>
      <c r="DI105" s="16">
        <f t="shared" si="719"/>
        <v>0</v>
      </c>
      <c r="DJ105" s="16">
        <f t="shared" si="720"/>
        <v>0</v>
      </c>
      <c r="DK105" s="16">
        <f t="shared" si="721"/>
        <v>6.3814738221120238E-3</v>
      </c>
      <c r="DL105" s="16">
        <f t="shared" si="748"/>
        <v>0.90750103958547201</v>
      </c>
      <c r="DN105" s="2">
        <f t="shared" si="749"/>
        <v>0.87043523126341904</v>
      </c>
      <c r="DO105" s="2">
        <f t="shared" si="750"/>
        <v>5.1955174356726978E-3</v>
      </c>
      <c r="DP105" s="2">
        <f t="shared" si="751"/>
        <v>5.2675715314189658E-2</v>
      </c>
      <c r="DQ105" s="2">
        <f t="shared" si="752"/>
        <v>9.346979916994104E-3</v>
      </c>
      <c r="DR105" s="2">
        <f t="shared" si="753"/>
        <v>3.6121596793051616E-2</v>
      </c>
      <c r="DS105" s="2">
        <f t="shared" si="754"/>
        <v>1.3180701282383557E-3</v>
      </c>
      <c r="DT105" s="2">
        <f t="shared" si="755"/>
        <v>0.38494789599047236</v>
      </c>
      <c r="DU105" s="2">
        <f t="shared" si="756"/>
        <v>0.35634930541933413</v>
      </c>
      <c r="DV105" s="2">
        <f t="shared" si="757"/>
        <v>2.6689883924878401E-2</v>
      </c>
      <c r="DW105" s="2">
        <f t="shared" si="758"/>
        <v>0</v>
      </c>
      <c r="DX105" s="2">
        <f t="shared" si="759"/>
        <v>4.1021576492387453E-4</v>
      </c>
      <c r="DZ105" s="2">
        <f t="shared" si="820"/>
        <v>1.7408704625268381</v>
      </c>
      <c r="EA105" s="2">
        <f t="shared" si="821"/>
        <v>1.0391034871345396E-2</v>
      </c>
      <c r="EB105" s="2">
        <f t="shared" si="822"/>
        <v>0.15802714594256898</v>
      </c>
      <c r="EC105" s="2">
        <f t="shared" si="823"/>
        <v>2.8040939750982312E-2</v>
      </c>
      <c r="ED105" s="2">
        <f t="shared" si="824"/>
        <v>3.6121596793051616E-2</v>
      </c>
      <c r="EE105" s="2">
        <f t="shared" si="825"/>
        <v>1.3180701282383557E-3</v>
      </c>
      <c r="EF105" s="2">
        <f t="shared" si="826"/>
        <v>0.38494789599047236</v>
      </c>
      <c r="EG105" s="2">
        <f t="shared" si="827"/>
        <v>0.35634930541933413</v>
      </c>
      <c r="EH105" s="2">
        <f t="shared" si="828"/>
        <v>2.6689883924878401E-2</v>
      </c>
      <c r="EI105" s="2">
        <f t="shared" si="829"/>
        <v>0</v>
      </c>
      <c r="EJ105" s="2">
        <f t="shared" si="830"/>
        <v>4.1021576492387453E-4</v>
      </c>
      <c r="EL105" s="16">
        <f>SUM(DZ105:EJ105)</f>
        <v>2.7431665511126333</v>
      </c>
      <c r="EN105" s="14">
        <f>6/EL105</f>
        <v>2.1872532666915134</v>
      </c>
      <c r="EP105" s="16">
        <f t="shared" si="722"/>
        <v>1.9038623030242963</v>
      </c>
      <c r="EQ105" s="16">
        <f t="shared" si="723"/>
        <v>1.1363912483327823E-2</v>
      </c>
      <c r="ER105" s="16">
        <f t="shared" si="724"/>
        <v>0.23043026079254703</v>
      </c>
      <c r="ES105" s="16">
        <f t="shared" si="725"/>
        <v>4.0888424714290647E-2</v>
      </c>
      <c r="ET105" s="16">
        <f t="shared" si="726"/>
        <v>7.9007080583715847E-2</v>
      </c>
      <c r="EU105" s="16">
        <f t="shared" si="727"/>
        <v>2.8829531937178453E-3</v>
      </c>
      <c r="EV105" s="16">
        <f t="shared" si="728"/>
        <v>0.84197854301118558</v>
      </c>
      <c r="EW105" s="16">
        <f t="shared" si="729"/>
        <v>0.77942618236169037</v>
      </c>
      <c r="EX105" s="16">
        <f t="shared" si="730"/>
        <v>0.11675507160461519</v>
      </c>
      <c r="EY105" s="16">
        <f t="shared" si="731"/>
        <v>0</v>
      </c>
      <c r="EZ105" s="16">
        <f t="shared" si="732"/>
        <v>8.9724577187810252E-4</v>
      </c>
      <c r="FB105" s="14">
        <f t="shared" si="760"/>
        <v>-6.5425056668052308</v>
      </c>
      <c r="FC105" s="4">
        <f t="shared" si="761"/>
        <v>1.000625996769994</v>
      </c>
      <c r="FD105" s="4">
        <f t="shared" si="762"/>
        <v>1.7585320299388241</v>
      </c>
      <c r="FE105" s="4">
        <f t="shared" si="763"/>
        <v>1.7585320299388241</v>
      </c>
      <c r="FG105" s="4">
        <f t="shared" si="764"/>
        <v>1.8268962989039828</v>
      </c>
    </row>
    <row r="106" spans="1:163" x14ac:dyDescent="0.2">
      <c r="A106" s="24" t="s">
        <v>171</v>
      </c>
      <c r="B106" s="60" t="s">
        <v>181</v>
      </c>
      <c r="C106" s="138">
        <v>40.85</v>
      </c>
      <c r="D106" s="98"/>
      <c r="E106" s="148">
        <f t="shared" si="584"/>
        <v>1.2898147544692665E-2</v>
      </c>
      <c r="F106" s="138">
        <v>0</v>
      </c>
      <c r="G106" s="138">
        <v>10.127500000000001</v>
      </c>
      <c r="H106" s="138">
        <v>0.14750000000000002</v>
      </c>
      <c r="I106" s="138">
        <v>49.42</v>
      </c>
      <c r="J106" s="150">
        <f t="shared" si="585"/>
        <v>4.6809596557050602E-2</v>
      </c>
      <c r="K106" s="98"/>
      <c r="L106" s="98"/>
      <c r="M106" s="138">
        <v>0.39999999999999997</v>
      </c>
      <c r="N106" s="141">
        <v>68.264226491956194</v>
      </c>
      <c r="O106" s="142">
        <v>334.54625083607795</v>
      </c>
      <c r="P106" s="11"/>
      <c r="Q106" s="140">
        <v>51.653333333333336</v>
      </c>
      <c r="R106" s="140">
        <v>0.45833333333333331</v>
      </c>
      <c r="S106" s="140">
        <v>7.3316666666666661</v>
      </c>
      <c r="T106" s="140">
        <v>0.94</v>
      </c>
      <c r="U106" s="140">
        <v>2.7749999999999999</v>
      </c>
      <c r="V106" s="140">
        <v>0.10333333333333333</v>
      </c>
      <c r="W106" s="140">
        <v>14.813333333333334</v>
      </c>
      <c r="X106" s="140">
        <v>19.215</v>
      </c>
      <c r="Y106" s="140">
        <v>1.8666666666666669</v>
      </c>
      <c r="Z106" s="100"/>
      <c r="AA106" s="140">
        <v>3.0000000000000002E-2</v>
      </c>
      <c r="AC106" s="139">
        <v>35.921666666666667</v>
      </c>
      <c r="AD106" s="139">
        <v>33.648333333333333</v>
      </c>
      <c r="AE106" s="11"/>
      <c r="AF106" s="83">
        <f t="shared" si="583"/>
        <v>0.38589395486822531</v>
      </c>
      <c r="AG106" s="22">
        <f t="shared" si="734"/>
        <v>3.5906317110451441E-4</v>
      </c>
      <c r="AH106" s="126">
        <f t="shared" si="549"/>
        <v>972.15243197212817</v>
      </c>
      <c r="AI106" s="126">
        <f t="shared" si="735"/>
        <v>972.00264589490757</v>
      </c>
      <c r="AJ106" s="126">
        <f t="shared" si="736"/>
        <v>0.14978607722059678</v>
      </c>
      <c r="AK106" s="12"/>
      <c r="AL106" s="25">
        <f t="shared" si="550"/>
        <v>1.8287850270102588</v>
      </c>
      <c r="AN106" s="2">
        <v>15.999000000000001</v>
      </c>
      <c r="AO106" s="2">
        <v>28.085000000000001</v>
      </c>
      <c r="AP106" s="2">
        <v>47.866999999999997</v>
      </c>
      <c r="AQ106" s="2">
        <v>26.9815386</v>
      </c>
      <c r="AR106" s="2">
        <v>51.996099999999998</v>
      </c>
      <c r="AS106" s="2">
        <v>55.844999999999999</v>
      </c>
      <c r="AT106" s="2">
        <v>54.938045000000002</v>
      </c>
      <c r="AU106" s="2">
        <v>24.305</v>
      </c>
      <c r="AV106" s="2">
        <v>40.078000000000003</v>
      </c>
      <c r="AW106" s="2">
        <v>22.989769280000001</v>
      </c>
      <c r="AX106" s="2">
        <v>39.098300000000002</v>
      </c>
      <c r="AY106" s="2">
        <v>58.693399999999997</v>
      </c>
      <c r="BA106" s="2">
        <f t="shared" ref="BA106" si="848">AN106*2+AO106</f>
        <v>60.082999999999998</v>
      </c>
      <c r="BB106" s="2">
        <f t="shared" ref="BB106" si="849">AN106*2+AP106</f>
        <v>79.864999999999995</v>
      </c>
      <c r="BC106" s="2">
        <f t="shared" ref="BC106" si="850">AQ106*2+AN106*3</f>
        <v>101.9600772</v>
      </c>
      <c r="BD106" s="2">
        <f t="shared" ref="BD106" si="851">AR106*2+AN106*3</f>
        <v>151.98919999999998</v>
      </c>
      <c r="BE106" s="2">
        <f t="shared" ref="BE106" si="852">AS106+AN106</f>
        <v>71.843999999999994</v>
      </c>
      <c r="BF106" s="2">
        <f t="shared" ref="BF106" si="853">AT106+AN106</f>
        <v>70.937044999999998</v>
      </c>
      <c r="BG106" s="2">
        <f t="shared" ref="BG106" si="854">AU106+AN106</f>
        <v>40.304000000000002</v>
      </c>
      <c r="BH106" s="2">
        <f t="shared" ref="BH106" si="855">AV106+AN106</f>
        <v>56.077000000000005</v>
      </c>
      <c r="BI106" s="2">
        <f t="shared" ref="BI106" si="856">AW106*2+AN106</f>
        <v>61.978538560000004</v>
      </c>
      <c r="BJ106" s="2">
        <f t="shared" ref="BJ106" si="857">AX106*2+AN106</f>
        <v>94.195599999999999</v>
      </c>
      <c r="BK106" s="2">
        <f t="shared" ref="BK106" si="858">AY106+AN106</f>
        <v>74.692399999999992</v>
      </c>
      <c r="BM106" s="2">
        <f t="shared" si="737"/>
        <v>0.67989281493933396</v>
      </c>
      <c r="BN106" s="2">
        <f t="shared" si="738"/>
        <v>0</v>
      </c>
      <c r="BO106" s="2">
        <f t="shared" si="739"/>
        <v>1.2650193976797679E-4</v>
      </c>
      <c r="BP106" s="2">
        <f t="shared" si="740"/>
        <v>0</v>
      </c>
      <c r="BQ106" s="2">
        <f t="shared" si="741"/>
        <v>0.14096514670675356</v>
      </c>
      <c r="BR106" s="2">
        <f t="shared" si="742"/>
        <v>2.079308491071203E-3</v>
      </c>
      <c r="BS106" s="2">
        <f t="shared" si="743"/>
        <v>1.2261810242159588</v>
      </c>
      <c r="BT106" s="2">
        <f t="shared" si="744"/>
        <v>8.3473788820818875E-4</v>
      </c>
      <c r="BU106" s="2">
        <f t="shared" si="745"/>
        <v>0</v>
      </c>
      <c r="BV106" s="2">
        <f t="shared" si="746"/>
        <v>0</v>
      </c>
      <c r="BW106" s="2">
        <f t="shared" si="747"/>
        <v>5.3552971922176821E-3</v>
      </c>
      <c r="BY106" s="2">
        <f t="shared" si="551"/>
        <v>0.67989281493933396</v>
      </c>
      <c r="BZ106" s="2">
        <f t="shared" si="552"/>
        <v>0</v>
      </c>
      <c r="CA106" s="2">
        <f t="shared" si="553"/>
        <v>2.5300387953595358E-4</v>
      </c>
      <c r="CB106" s="2">
        <f t="shared" si="554"/>
        <v>0</v>
      </c>
      <c r="CC106" s="2">
        <f t="shared" si="555"/>
        <v>0.14096514670675356</v>
      </c>
      <c r="CD106" s="2">
        <f t="shared" si="556"/>
        <v>2.079308491071203E-3</v>
      </c>
      <c r="CE106" s="2">
        <f t="shared" si="557"/>
        <v>1.2261810242159588</v>
      </c>
      <c r="CF106" s="2">
        <f t="shared" si="558"/>
        <v>8.3473788820818875E-4</v>
      </c>
      <c r="CG106" s="2">
        <f t="shared" si="559"/>
        <v>0</v>
      </c>
      <c r="CH106" s="2">
        <f t="shared" si="560"/>
        <v>0</v>
      </c>
      <c r="CI106" s="2">
        <f t="shared" ref="CI106" si="859">BW106</f>
        <v>5.3552971922176821E-3</v>
      </c>
      <c r="CK106" s="2">
        <f t="shared" si="561"/>
        <v>1.3597856298786679</v>
      </c>
      <c r="CL106" s="2">
        <f t="shared" si="562"/>
        <v>0</v>
      </c>
      <c r="CM106" s="2">
        <f t="shared" si="563"/>
        <v>3.795058193039304E-4</v>
      </c>
      <c r="CN106" s="2">
        <f t="shared" si="564"/>
        <v>0</v>
      </c>
      <c r="CO106" s="2">
        <f t="shared" si="565"/>
        <v>0.14096514670675356</v>
      </c>
      <c r="CP106" s="2">
        <f t="shared" si="566"/>
        <v>2.079308491071203E-3</v>
      </c>
      <c r="CQ106" s="2">
        <f t="shared" si="567"/>
        <v>1.2261810242159588</v>
      </c>
      <c r="CR106" s="2">
        <f t="shared" si="568"/>
        <v>8.3473788820818875E-4</v>
      </c>
      <c r="CS106" s="2">
        <f t="shared" si="569"/>
        <v>0</v>
      </c>
      <c r="CT106" s="2">
        <f t="shared" si="570"/>
        <v>0</v>
      </c>
      <c r="CU106" s="2">
        <f t="shared" si="571"/>
        <v>5.3552971922176821E-3</v>
      </c>
      <c r="CW106" s="14">
        <f t="shared" ref="CW106" si="860">SUM(CK106:CU106)</f>
        <v>2.7355806501921816</v>
      </c>
      <c r="CY106" s="14">
        <f t="shared" ref="CY106" si="861">4/CW106</f>
        <v>1.46221241904127</v>
      </c>
      <c r="DA106" s="16">
        <f t="shared" si="711"/>
        <v>0.994147717621222</v>
      </c>
      <c r="DB106" s="16">
        <f t="shared" si="712"/>
        <v>0</v>
      </c>
      <c r="DC106" s="16">
        <f t="shared" si="713"/>
        <v>3.6994541472309272E-4</v>
      </c>
      <c r="DD106" s="16">
        <f t="shared" si="714"/>
        <v>0</v>
      </c>
      <c r="DE106" s="16">
        <f t="shared" si="715"/>
        <v>0.20612098816658964</v>
      </c>
      <c r="DF106" s="16">
        <f t="shared" si="716"/>
        <v>3.0403906986622765E-3</v>
      </c>
      <c r="DG106" s="16">
        <f t="shared" si="717"/>
        <v>1.792937121601319</v>
      </c>
      <c r="DH106" s="16">
        <f t="shared" si="718"/>
        <v>1.2205641067822969E-3</v>
      </c>
      <c r="DI106" s="16">
        <f t="shared" si="719"/>
        <v>0</v>
      </c>
      <c r="DJ106" s="16">
        <f t="shared" si="720"/>
        <v>0</v>
      </c>
      <c r="DK106" s="16">
        <f t="shared" si="721"/>
        <v>7.8305820621175377E-3</v>
      </c>
      <c r="DL106" s="16">
        <f t="shared" si="748"/>
        <v>0.89689094721187446</v>
      </c>
      <c r="DN106" s="2">
        <f t="shared" si="749"/>
        <v>0.85969963772337166</v>
      </c>
      <c r="DO106" s="2">
        <f t="shared" si="750"/>
        <v>5.7388509776915208E-3</v>
      </c>
      <c r="DP106" s="2">
        <f t="shared" si="751"/>
        <v>7.1907229456929692E-2</v>
      </c>
      <c r="DQ106" s="2">
        <f t="shared" si="752"/>
        <v>6.1846499619709824E-3</v>
      </c>
      <c r="DR106" s="2">
        <f t="shared" si="753"/>
        <v>3.8625354935694009E-2</v>
      </c>
      <c r="DS106" s="2">
        <f t="shared" si="754"/>
        <v>1.456690694309769E-3</v>
      </c>
      <c r="DT106" s="2">
        <f t="shared" si="755"/>
        <v>0.3675400291120815</v>
      </c>
      <c r="DU106" s="2">
        <f t="shared" si="756"/>
        <v>0.34265385095493694</v>
      </c>
      <c r="DV106" s="2">
        <f t="shared" si="757"/>
        <v>3.0117952278910055E-2</v>
      </c>
      <c r="DW106" s="2">
        <f t="shared" si="758"/>
        <v>0</v>
      </c>
      <c r="DX106" s="2">
        <f t="shared" si="759"/>
        <v>4.0164728941632623E-4</v>
      </c>
      <c r="DZ106" s="2">
        <f t="shared" si="572"/>
        <v>1.7193992754467433</v>
      </c>
      <c r="EA106" s="2">
        <f t="shared" si="573"/>
        <v>1.1477701955383042E-2</v>
      </c>
      <c r="EB106" s="2">
        <f t="shared" si="574"/>
        <v>0.21572168837078909</v>
      </c>
      <c r="EC106" s="2">
        <f t="shared" si="575"/>
        <v>1.8553949885912947E-2</v>
      </c>
      <c r="ED106" s="2">
        <f t="shared" si="576"/>
        <v>3.8625354935694009E-2</v>
      </c>
      <c r="EE106" s="2">
        <f t="shared" si="577"/>
        <v>1.456690694309769E-3</v>
      </c>
      <c r="EF106" s="2">
        <f t="shared" si="578"/>
        <v>0.3675400291120815</v>
      </c>
      <c r="EG106" s="2">
        <f t="shared" si="579"/>
        <v>0.34265385095493694</v>
      </c>
      <c r="EH106" s="2">
        <f t="shared" si="580"/>
        <v>3.0117952278910055E-2</v>
      </c>
      <c r="EI106" s="2">
        <f t="shared" si="581"/>
        <v>0</v>
      </c>
      <c r="EJ106" s="2">
        <f t="shared" si="582"/>
        <v>4.0164728941632623E-4</v>
      </c>
      <c r="EL106" s="16">
        <f t="shared" ref="EL106" si="862">SUM(DZ106:EJ106)</f>
        <v>2.7459481409241775</v>
      </c>
      <c r="EN106" s="14">
        <f t="shared" ref="EN106" si="863">6/EL106</f>
        <v>2.1850376234638711</v>
      </c>
      <c r="EP106" s="16">
        <f t="shared" si="722"/>
        <v>1.8784760533038269</v>
      </c>
      <c r="EQ106" s="16">
        <f t="shared" si="723"/>
        <v>1.2539605301708393E-2</v>
      </c>
      <c r="ER106" s="16">
        <f t="shared" si="724"/>
        <v>0.31424000352488185</v>
      </c>
      <c r="ES106" s="16">
        <f t="shared" si="725"/>
        <v>2.7027385709721994E-2</v>
      </c>
      <c r="ET106" s="16">
        <f t="shared" si="726"/>
        <v>8.4397853754137345E-2</v>
      </c>
      <c r="EU106" s="16">
        <f t="shared" si="727"/>
        <v>3.1829239728165541E-3</v>
      </c>
      <c r="EV106" s="16">
        <f t="shared" si="728"/>
        <v>0.80308879173890457</v>
      </c>
      <c r="EW106" s="16">
        <f t="shared" si="729"/>
        <v>0.7487115561613189</v>
      </c>
      <c r="EX106" s="16">
        <f t="shared" si="730"/>
        <v>0.13161771774221581</v>
      </c>
      <c r="EY106" s="16">
        <f t="shared" si="731"/>
        <v>0</v>
      </c>
      <c r="EZ106" s="16">
        <f t="shared" si="732"/>
        <v>8.7761443873695505E-4</v>
      </c>
      <c r="FB106" s="14">
        <f t="shared" si="760"/>
        <v>-6.4190406695988518</v>
      </c>
      <c r="FC106" s="4">
        <f t="shared" si="761"/>
        <v>0.89979427063770567</v>
      </c>
      <c r="FD106" s="4">
        <f t="shared" si="762"/>
        <v>1.5158672016796424</v>
      </c>
      <c r="FE106" s="4">
        <f t="shared" si="763"/>
        <v>1.5158672016796424</v>
      </c>
      <c r="FG106" s="4">
        <f t="shared" si="764"/>
        <v>1.8287850270102588</v>
      </c>
    </row>
    <row r="107" spans="1:163" x14ac:dyDescent="0.2">
      <c r="A107" s="24" t="s">
        <v>172</v>
      </c>
      <c r="B107" s="60" t="s">
        <v>181</v>
      </c>
      <c r="C107" s="138">
        <v>41.562599999999996</v>
      </c>
      <c r="D107" s="98">
        <v>7.8799999999999999E-3</v>
      </c>
      <c r="E107" s="148">
        <f t="shared" si="584"/>
        <v>1.0322348588027786E-2</v>
      </c>
      <c r="F107" s="138">
        <v>1.9859999999999999E-2</v>
      </c>
      <c r="G107" s="138">
        <v>10.172319999999999</v>
      </c>
      <c r="H107" s="138">
        <v>0.13801999999999998</v>
      </c>
      <c r="I107" s="138">
        <v>49.427880000000002</v>
      </c>
      <c r="J107" s="150">
        <f t="shared" si="585"/>
        <v>3.6788976541172531E-2</v>
      </c>
      <c r="K107" s="98"/>
      <c r="L107" s="98"/>
      <c r="M107" s="138">
        <v>0.31947999999999999</v>
      </c>
      <c r="N107" s="141">
        <v>54.631654623302985</v>
      </c>
      <c r="O107" s="142">
        <v>262.92929397384182</v>
      </c>
      <c r="P107" s="11"/>
      <c r="Q107" s="140">
        <v>51.752480000000006</v>
      </c>
      <c r="R107" s="140">
        <v>0.45629999999999998</v>
      </c>
      <c r="S107" s="140">
        <v>7.0147400000000006</v>
      </c>
      <c r="T107" s="140">
        <v>0.94274000000000002</v>
      </c>
      <c r="U107" s="140">
        <v>2.7913799999999998</v>
      </c>
      <c r="V107" s="140">
        <v>8.4040000000000004E-2</v>
      </c>
      <c r="W107" s="140">
        <v>14.851099999999999</v>
      </c>
      <c r="X107" s="140">
        <v>19.687840000000001</v>
      </c>
      <c r="Y107" s="140">
        <v>1.8767400000000003</v>
      </c>
      <c r="Z107" s="100"/>
      <c r="AA107" s="140">
        <v>3.4600000000000006E-2</v>
      </c>
      <c r="AC107" s="139">
        <v>56.566400000000002</v>
      </c>
      <c r="AD107" s="139">
        <v>10.975479999999999</v>
      </c>
      <c r="AE107" s="11"/>
      <c r="AF107" s="83">
        <f t="shared" ref="AF107:AF110" si="864">AD107/151.9892/(AD107/151.9892+AC107/101.9601)</f>
        <v>0.11517069881955197</v>
      </c>
      <c r="AG107" s="22">
        <f t="shared" si="734"/>
        <v>1.8248197848948821E-4</v>
      </c>
      <c r="AH107" s="126">
        <f t="shared" ref="AH107:AH115" si="865">10000/(0.575+0.884*AF107-0.897*LN(AG107))-273</f>
        <v>917.62394912206946</v>
      </c>
      <c r="AI107" s="126">
        <f t="shared" si="735"/>
        <v>917.47394653766469</v>
      </c>
      <c r="AJ107" s="126">
        <f t="shared" si="736"/>
        <v>0.1500025844047741</v>
      </c>
      <c r="AK107" s="12"/>
      <c r="AL107" s="25">
        <f t="shared" ref="AL107:AL115" si="866">FG107</f>
        <v>1.5296220146078972</v>
      </c>
      <c r="AN107" s="2">
        <v>15.999000000000001</v>
      </c>
      <c r="AO107" s="2">
        <v>28.085000000000001</v>
      </c>
      <c r="AP107" s="2">
        <v>47.866999999999997</v>
      </c>
      <c r="AQ107" s="2">
        <v>26.9815386</v>
      </c>
      <c r="AR107" s="2">
        <v>51.996099999999998</v>
      </c>
      <c r="AS107" s="2">
        <v>55.844999999999999</v>
      </c>
      <c r="AT107" s="2">
        <v>54.938045000000002</v>
      </c>
      <c r="AU107" s="2">
        <v>24.305</v>
      </c>
      <c r="AV107" s="2">
        <v>40.078000000000003</v>
      </c>
      <c r="AW107" s="2">
        <v>22.989769280000001</v>
      </c>
      <c r="AX107" s="2">
        <v>39.098300000000002</v>
      </c>
      <c r="AY107" s="2">
        <v>58.693399999999997</v>
      </c>
      <c r="BA107" s="2">
        <f>AN107*2+AO107</f>
        <v>60.082999999999998</v>
      </c>
      <c r="BB107" s="2">
        <f>AN107*2+AP107</f>
        <v>79.864999999999995</v>
      </c>
      <c r="BC107" s="2">
        <f>AQ107*2+AN107*3</f>
        <v>101.9600772</v>
      </c>
      <c r="BD107" s="2">
        <f>AR107*2+AN107*3</f>
        <v>151.98919999999998</v>
      </c>
      <c r="BE107" s="2">
        <f>AS107+AN107</f>
        <v>71.843999999999994</v>
      </c>
      <c r="BF107" s="2">
        <f>AT107+AN107</f>
        <v>70.937044999999998</v>
      </c>
      <c r="BG107" s="2">
        <f>AU107+AN107</f>
        <v>40.304000000000002</v>
      </c>
      <c r="BH107" s="2">
        <f>AV107+AN107</f>
        <v>56.077000000000005</v>
      </c>
      <c r="BI107" s="2">
        <f>AW107*2+AN107</f>
        <v>61.978538560000004</v>
      </c>
      <c r="BJ107" s="2">
        <f>AX107*2+AN107</f>
        <v>94.195599999999999</v>
      </c>
      <c r="BK107" s="2">
        <f>AY107+AN107</f>
        <v>74.692399999999992</v>
      </c>
      <c r="BM107" s="2">
        <f t="shared" si="737"/>
        <v>0.69175307491303695</v>
      </c>
      <c r="BN107" s="2">
        <f t="shared" si="738"/>
        <v>9.8666499718274593E-5</v>
      </c>
      <c r="BO107" s="2">
        <f t="shared" si="739"/>
        <v>1.0123912095299774E-4</v>
      </c>
      <c r="BP107" s="2">
        <f t="shared" si="740"/>
        <v>1.3066717898376992E-4</v>
      </c>
      <c r="BQ107" s="2">
        <f t="shared" si="741"/>
        <v>0.14158899838539057</v>
      </c>
      <c r="BR107" s="2">
        <f t="shared" si="742"/>
        <v>1.9456688673738804E-3</v>
      </c>
      <c r="BS107" s="2">
        <f t="shared" si="743"/>
        <v>1.2263765383088527</v>
      </c>
      <c r="BT107" s="2">
        <f t="shared" si="744"/>
        <v>6.5604394923359898E-4</v>
      </c>
      <c r="BU107" s="2">
        <f t="shared" si="745"/>
        <v>0</v>
      </c>
      <c r="BV107" s="2">
        <f t="shared" si="746"/>
        <v>0</v>
      </c>
      <c r="BW107" s="2">
        <f t="shared" si="747"/>
        <v>4.2772758674242631E-3</v>
      </c>
      <c r="BY107" s="2">
        <f t="shared" ref="BY107:BY115" si="867">BM107</f>
        <v>0.69175307491303695</v>
      </c>
      <c r="BZ107" s="2">
        <f t="shared" ref="BZ107:BZ115" si="868">BN107</f>
        <v>9.8666499718274593E-5</v>
      </c>
      <c r="CA107" s="2">
        <f t="shared" ref="CA107:CA115" si="869">BO107*2</f>
        <v>2.0247824190599547E-4</v>
      </c>
      <c r="CB107" s="2">
        <f t="shared" ref="CB107:CB115" si="870">BP107*2</f>
        <v>2.6133435796753984E-4</v>
      </c>
      <c r="CC107" s="2">
        <f t="shared" ref="CC107:CC115" si="871">BQ107</f>
        <v>0.14158899838539057</v>
      </c>
      <c r="CD107" s="2">
        <f t="shared" ref="CD107:CD115" si="872">BR107</f>
        <v>1.9456688673738804E-3</v>
      </c>
      <c r="CE107" s="2">
        <f t="shared" ref="CE107:CE115" si="873">BS107</f>
        <v>1.2263765383088527</v>
      </c>
      <c r="CF107" s="2">
        <f t="shared" ref="CF107:CF115" si="874">BT107</f>
        <v>6.5604394923359898E-4</v>
      </c>
      <c r="CG107" s="2">
        <f t="shared" ref="CG107:CG115" si="875">BU107*2</f>
        <v>0</v>
      </c>
      <c r="CH107" s="2">
        <f t="shared" ref="CH107:CH115" si="876">BV107*2</f>
        <v>0</v>
      </c>
      <c r="CI107" s="2">
        <f>BW107</f>
        <v>4.2772758674242631E-3</v>
      </c>
      <c r="CK107" s="2">
        <f t="shared" ref="CK107:CK115" si="877">BM107*2</f>
        <v>1.3835061498260739</v>
      </c>
      <c r="CL107" s="2">
        <f t="shared" ref="CL107:CL115" si="878">BN107*2</f>
        <v>1.9733299943654919E-4</v>
      </c>
      <c r="CM107" s="2">
        <f t="shared" ref="CM107:CM115" si="879">BO107*3</f>
        <v>3.0371736285899318E-4</v>
      </c>
      <c r="CN107" s="2">
        <f t="shared" ref="CN107:CN115" si="880">BP107*3</f>
        <v>3.9200153695130975E-4</v>
      </c>
      <c r="CO107" s="2">
        <f t="shared" ref="CO107:CO115" si="881">BQ107</f>
        <v>0.14158899838539057</v>
      </c>
      <c r="CP107" s="2">
        <f t="shared" ref="CP107:CP115" si="882">BR107</f>
        <v>1.9456688673738804E-3</v>
      </c>
      <c r="CQ107" s="2">
        <f t="shared" ref="CQ107:CQ115" si="883">BS107</f>
        <v>1.2263765383088527</v>
      </c>
      <c r="CR107" s="2">
        <f t="shared" ref="CR107:CR115" si="884">BT107</f>
        <v>6.5604394923359898E-4</v>
      </c>
      <c r="CS107" s="2">
        <f t="shared" ref="CS107:CS115" si="885">BU107</f>
        <v>0</v>
      </c>
      <c r="CT107" s="2">
        <f t="shared" ref="CT107:CT115" si="886">BV107</f>
        <v>0</v>
      </c>
      <c r="CU107" s="2">
        <f t="shared" ref="CU107:CU115" si="887">BW107</f>
        <v>4.2772758674242631E-3</v>
      </c>
      <c r="CW107" s="14">
        <f>SUM(CK107:CU107)</f>
        <v>2.7592437271035957</v>
      </c>
      <c r="CY107" s="14">
        <f>4/CW107</f>
        <v>1.4496725898870986</v>
      </c>
      <c r="DA107" s="16">
        <f t="shared" si="711"/>
        <v>1.0028154716715463</v>
      </c>
      <c r="DB107" s="16">
        <f t="shared" si="712"/>
        <v>1.4303412018168581E-4</v>
      </c>
      <c r="DC107" s="16">
        <f t="shared" si="713"/>
        <v>2.9352715733965093E-4</v>
      </c>
      <c r="DD107" s="16">
        <f t="shared" si="714"/>
        <v>3.7884925554128556E-4</v>
      </c>
      <c r="DE107" s="16">
        <f t="shared" si="715"/>
        <v>0.20525768998886937</v>
      </c>
      <c r="DF107" s="16">
        <f t="shared" si="716"/>
        <v>2.8205828260285909E-3</v>
      </c>
      <c r="DG107" s="16">
        <f t="shared" si="717"/>
        <v>1.7778444524669692</v>
      </c>
      <c r="DH107" s="16">
        <f t="shared" si="718"/>
        <v>9.5104893096523168E-4</v>
      </c>
      <c r="DI107" s="16">
        <f t="shared" si="719"/>
        <v>0</v>
      </c>
      <c r="DJ107" s="16">
        <f t="shared" si="720"/>
        <v>0</v>
      </c>
      <c r="DK107" s="16">
        <f t="shared" si="721"/>
        <v>6.2006495843905177E-3</v>
      </c>
      <c r="DL107" s="16">
        <f t="shared" si="748"/>
        <v>0.89649666268088346</v>
      </c>
      <c r="DN107" s="2">
        <f t="shared" si="749"/>
        <v>0.86134979944410239</v>
      </c>
      <c r="DO107" s="2">
        <f t="shared" si="750"/>
        <v>5.7133913478995806E-3</v>
      </c>
      <c r="DP107" s="2">
        <f t="shared" si="751"/>
        <v>6.8798888669338906E-2</v>
      </c>
      <c r="DQ107" s="2">
        <f t="shared" si="752"/>
        <v>6.2026775586686428E-3</v>
      </c>
      <c r="DR107" s="2">
        <f t="shared" si="753"/>
        <v>3.8853348922665773E-2</v>
      </c>
      <c r="DS107" s="2">
        <f t="shared" si="754"/>
        <v>1.1847124446754162E-3</v>
      </c>
      <c r="DT107" s="2">
        <f t="shared" si="755"/>
        <v>0.36847707423580783</v>
      </c>
      <c r="DU107" s="2">
        <f t="shared" si="756"/>
        <v>0.35108582841450148</v>
      </c>
      <c r="DV107" s="2">
        <f t="shared" si="757"/>
        <v>3.0280481657100889E-2</v>
      </c>
      <c r="DW107" s="2">
        <f t="shared" si="758"/>
        <v>0</v>
      </c>
      <c r="DX107" s="2">
        <f t="shared" si="759"/>
        <v>4.6323320712682965E-4</v>
      </c>
      <c r="DZ107" s="2">
        <f t="shared" ref="DZ107:DZ115" si="888">DN107*2</f>
        <v>1.7226995988882048</v>
      </c>
      <c r="EA107" s="2">
        <f t="shared" ref="EA107:EA115" si="889">DO107*2</f>
        <v>1.1426782695799161E-2</v>
      </c>
      <c r="EB107" s="2">
        <f t="shared" ref="EB107:EB115" si="890">DP107*3</f>
        <v>0.2063966660080167</v>
      </c>
      <c r="EC107" s="2">
        <f t="shared" ref="EC107:EC115" si="891">DQ107*3</f>
        <v>1.8608032676005928E-2</v>
      </c>
      <c r="ED107" s="2">
        <f t="shared" ref="ED107:ED115" si="892">DR107</f>
        <v>3.8853348922665773E-2</v>
      </c>
      <c r="EE107" s="2">
        <f t="shared" ref="EE107:EE115" si="893">DS107</f>
        <v>1.1847124446754162E-3</v>
      </c>
      <c r="EF107" s="2">
        <f t="shared" ref="EF107:EF115" si="894">DT107</f>
        <v>0.36847707423580783</v>
      </c>
      <c r="EG107" s="2">
        <f t="shared" ref="EG107:EG115" si="895">DU107</f>
        <v>0.35108582841450148</v>
      </c>
      <c r="EH107" s="2">
        <f t="shared" ref="EH107:EH115" si="896">DV107</f>
        <v>3.0280481657100889E-2</v>
      </c>
      <c r="EI107" s="2">
        <f t="shared" ref="EI107:EI115" si="897">DW107</f>
        <v>0</v>
      </c>
      <c r="EJ107" s="2">
        <f t="shared" ref="EJ107:EJ115" si="898">DX107</f>
        <v>4.6323320712682965E-4</v>
      </c>
      <c r="EL107" s="16">
        <f>SUM(DZ107:EJ107)</f>
        <v>2.7494757591499042</v>
      </c>
      <c r="EN107" s="14">
        <f>6/EL107</f>
        <v>2.1822341877475249</v>
      </c>
      <c r="EP107" s="16">
        <f t="shared" si="722"/>
        <v>1.8796669799563943</v>
      </c>
      <c r="EQ107" s="16">
        <f t="shared" si="723"/>
        <v>1.2467957927367377E-2</v>
      </c>
      <c r="ER107" s="16">
        <f t="shared" si="724"/>
        <v>0.30027057386653438</v>
      </c>
      <c r="ES107" s="16">
        <f t="shared" si="725"/>
        <v>2.7071390048202134E-2</v>
      </c>
      <c r="ET107" s="16">
        <f t="shared" si="726"/>
        <v>8.4787106327524717E-2</v>
      </c>
      <c r="EU107" s="16">
        <f t="shared" si="727"/>
        <v>2.5853199994206413E-3</v>
      </c>
      <c r="EV107" s="16">
        <f t="shared" si="728"/>
        <v>0.80410326879856253</v>
      </c>
      <c r="EW107" s="16">
        <f t="shared" si="729"/>
        <v>0.76615149759978651</v>
      </c>
      <c r="EX107" s="16">
        <f t="shared" si="730"/>
        <v>0.13215820458717478</v>
      </c>
      <c r="EY107" s="16">
        <f t="shared" si="731"/>
        <v>0</v>
      </c>
      <c r="EZ107" s="16">
        <f t="shared" si="732"/>
        <v>1.010883341492098E-3</v>
      </c>
      <c r="FB107" s="14">
        <f t="shared" si="760"/>
        <v>-6.6915696933718998</v>
      </c>
      <c r="FC107" s="4">
        <f t="shared" si="761"/>
        <v>0.50408468056704048</v>
      </c>
      <c r="FD107" s="4">
        <f t="shared" si="762"/>
        <v>1.6161487005774582</v>
      </c>
      <c r="FE107" s="4">
        <f t="shared" si="763"/>
        <v>1.6161487005774582</v>
      </c>
      <c r="FG107" s="4">
        <f t="shared" si="764"/>
        <v>1.5296220146078972</v>
      </c>
    </row>
    <row r="108" spans="1:163" x14ac:dyDescent="0.2">
      <c r="A108" s="24" t="s">
        <v>173</v>
      </c>
      <c r="B108" s="60" t="s">
        <v>181</v>
      </c>
      <c r="C108" s="138">
        <v>40.9925</v>
      </c>
      <c r="D108" s="98"/>
      <c r="E108" s="148">
        <f t="shared" si="584"/>
        <v>1.7708265313259974E-2</v>
      </c>
      <c r="F108" s="138">
        <v>0.02</v>
      </c>
      <c r="G108" s="138">
        <v>9.7324999999999999</v>
      </c>
      <c r="H108" s="138">
        <v>0.14000000000000001</v>
      </c>
      <c r="I108" s="138">
        <v>49.357500000000002</v>
      </c>
      <c r="J108" s="150">
        <f t="shared" si="585"/>
        <v>4.9970907867857753E-2</v>
      </c>
      <c r="K108" s="98"/>
      <c r="L108" s="98"/>
      <c r="M108" s="138">
        <v>0.38</v>
      </c>
      <c r="N108" s="141">
        <v>93.722065896311207</v>
      </c>
      <c r="O108" s="142">
        <v>357.14001204201429</v>
      </c>
      <c r="P108" s="11"/>
      <c r="Q108" s="140">
        <v>51.834000000000003</v>
      </c>
      <c r="R108" s="140">
        <v>0.48</v>
      </c>
      <c r="S108" s="140">
        <v>6.6079999999999997</v>
      </c>
      <c r="T108" s="140">
        <v>0.88200000000000001</v>
      </c>
      <c r="U108" s="140">
        <v>2.746</v>
      </c>
      <c r="V108" s="140">
        <v>8.7999999999999995E-2</v>
      </c>
      <c r="W108" s="140">
        <v>15.197999999999999</v>
      </c>
      <c r="X108" s="140">
        <v>19.582000000000001</v>
      </c>
      <c r="Y108" s="140">
        <v>1.6819999999999999</v>
      </c>
      <c r="Z108" s="100"/>
      <c r="AA108" s="140">
        <v>6.8000000000000005E-2</v>
      </c>
      <c r="AC108" s="139">
        <v>55.605999999999995</v>
      </c>
      <c r="AD108" s="139">
        <v>11.582000000000001</v>
      </c>
      <c r="AE108" s="11"/>
      <c r="AF108" s="83">
        <f t="shared" si="864"/>
        <v>0.1225966782493927</v>
      </c>
      <c r="AG108" s="22">
        <f t="shared" si="734"/>
        <v>3.1845961430888712E-4</v>
      </c>
      <c r="AH108" s="126">
        <f t="shared" si="865"/>
        <v>991.85687917824339</v>
      </c>
      <c r="AI108" s="126">
        <f t="shared" si="735"/>
        <v>991.70725544118932</v>
      </c>
      <c r="AJ108" s="126">
        <f t="shared" si="736"/>
        <v>0.14962373705407117</v>
      </c>
      <c r="AK108" s="12"/>
      <c r="AL108" s="25">
        <f t="shared" si="866"/>
        <v>1.9631780685875408</v>
      </c>
      <c r="AN108" s="2">
        <v>15.999000000000001</v>
      </c>
      <c r="AO108" s="2">
        <v>28.085000000000001</v>
      </c>
      <c r="AP108" s="2">
        <v>47.866999999999997</v>
      </c>
      <c r="AQ108" s="2">
        <v>26.9815386</v>
      </c>
      <c r="AR108" s="2">
        <v>51.996099999999998</v>
      </c>
      <c r="AS108" s="2">
        <v>55.844999999999999</v>
      </c>
      <c r="AT108" s="2">
        <v>54.938045000000002</v>
      </c>
      <c r="AU108" s="2">
        <v>24.305</v>
      </c>
      <c r="AV108" s="2">
        <v>40.078000000000003</v>
      </c>
      <c r="AW108" s="2">
        <v>22.989769280000001</v>
      </c>
      <c r="AX108" s="2">
        <v>39.098300000000002</v>
      </c>
      <c r="AY108" s="2">
        <v>58.693399999999997</v>
      </c>
      <c r="BA108" s="2">
        <f t="shared" ref="BA108" si="899">AN108*2+AO108</f>
        <v>60.082999999999998</v>
      </c>
      <c r="BB108" s="2">
        <f t="shared" ref="BB108" si="900">AN108*2+AP108</f>
        <v>79.864999999999995</v>
      </c>
      <c r="BC108" s="2">
        <f t="shared" ref="BC108" si="901">AQ108*2+AN108*3</f>
        <v>101.9600772</v>
      </c>
      <c r="BD108" s="2">
        <f t="shared" ref="BD108" si="902">AR108*2+AN108*3</f>
        <v>151.98919999999998</v>
      </c>
      <c r="BE108" s="2">
        <f t="shared" ref="BE108" si="903">AS108+AN108</f>
        <v>71.843999999999994</v>
      </c>
      <c r="BF108" s="2">
        <f t="shared" ref="BF108" si="904">AT108+AN108</f>
        <v>70.937044999999998</v>
      </c>
      <c r="BG108" s="2">
        <f t="shared" ref="BG108" si="905">AU108+AN108</f>
        <v>40.304000000000002</v>
      </c>
      <c r="BH108" s="2">
        <f t="shared" ref="BH108" si="906">AV108+AN108</f>
        <v>56.077000000000005</v>
      </c>
      <c r="BI108" s="2">
        <f t="shared" ref="BI108" si="907">AW108*2+AN108</f>
        <v>61.978538560000004</v>
      </c>
      <c r="BJ108" s="2">
        <f t="shared" ref="BJ108" si="908">AX108*2+AN108</f>
        <v>94.195599999999999</v>
      </c>
      <c r="BK108" s="2">
        <f t="shared" ref="BK108" si="909">AY108+AN108</f>
        <v>74.692399999999992</v>
      </c>
      <c r="BM108" s="2">
        <f t="shared" si="737"/>
        <v>0.68226453406121534</v>
      </c>
      <c r="BN108" s="2">
        <f t="shared" si="738"/>
        <v>0</v>
      </c>
      <c r="BO108" s="2">
        <f t="shared" si="739"/>
        <v>1.7367842198201056E-4</v>
      </c>
      <c r="BP108" s="2">
        <f t="shared" si="740"/>
        <v>1.3158829706321241E-4</v>
      </c>
      <c r="BQ108" s="2">
        <f t="shared" si="741"/>
        <v>0.1354671232114025</v>
      </c>
      <c r="BR108" s="2">
        <f t="shared" si="742"/>
        <v>1.9735809406777518E-3</v>
      </c>
      <c r="BS108" s="2">
        <f t="shared" si="743"/>
        <v>1.2246303096466851</v>
      </c>
      <c r="BT108" s="2">
        <f t="shared" si="744"/>
        <v>8.911123610010833E-4</v>
      </c>
      <c r="BU108" s="2">
        <f t="shared" si="745"/>
        <v>0</v>
      </c>
      <c r="BV108" s="2">
        <f t="shared" si="746"/>
        <v>0</v>
      </c>
      <c r="BW108" s="2">
        <f t="shared" si="747"/>
        <v>5.0875323326067985E-3</v>
      </c>
      <c r="BY108" s="2">
        <f t="shared" si="867"/>
        <v>0.68226453406121534</v>
      </c>
      <c r="BZ108" s="2">
        <f t="shared" si="868"/>
        <v>0</v>
      </c>
      <c r="CA108" s="2">
        <f t="shared" si="869"/>
        <v>3.4735684396402112E-4</v>
      </c>
      <c r="CB108" s="2">
        <f t="shared" si="870"/>
        <v>2.6317659412642482E-4</v>
      </c>
      <c r="CC108" s="2">
        <f t="shared" si="871"/>
        <v>0.1354671232114025</v>
      </c>
      <c r="CD108" s="2">
        <f t="shared" si="872"/>
        <v>1.9735809406777518E-3</v>
      </c>
      <c r="CE108" s="2">
        <f t="shared" si="873"/>
        <v>1.2246303096466851</v>
      </c>
      <c r="CF108" s="2">
        <f t="shared" si="874"/>
        <v>8.911123610010833E-4</v>
      </c>
      <c r="CG108" s="2">
        <f t="shared" si="875"/>
        <v>0</v>
      </c>
      <c r="CH108" s="2">
        <f t="shared" si="876"/>
        <v>0</v>
      </c>
      <c r="CI108" s="2">
        <f t="shared" ref="CI108" si="910">BW108</f>
        <v>5.0875323326067985E-3</v>
      </c>
      <c r="CK108" s="2">
        <f t="shared" si="877"/>
        <v>1.3645290681224307</v>
      </c>
      <c r="CL108" s="2">
        <f t="shared" si="878"/>
        <v>0</v>
      </c>
      <c r="CM108" s="2">
        <f t="shared" si="879"/>
        <v>5.2103526594603168E-4</v>
      </c>
      <c r="CN108" s="2">
        <f t="shared" si="880"/>
        <v>3.947648911896372E-4</v>
      </c>
      <c r="CO108" s="2">
        <f t="shared" si="881"/>
        <v>0.1354671232114025</v>
      </c>
      <c r="CP108" s="2">
        <f t="shared" si="882"/>
        <v>1.9735809406777518E-3</v>
      </c>
      <c r="CQ108" s="2">
        <f t="shared" si="883"/>
        <v>1.2246303096466851</v>
      </c>
      <c r="CR108" s="2">
        <f t="shared" si="884"/>
        <v>8.911123610010833E-4</v>
      </c>
      <c r="CS108" s="2">
        <f t="shared" si="885"/>
        <v>0</v>
      </c>
      <c r="CT108" s="2">
        <f t="shared" si="886"/>
        <v>0</v>
      </c>
      <c r="CU108" s="2">
        <f t="shared" si="887"/>
        <v>5.0875323326067985E-3</v>
      </c>
      <c r="CW108" s="14">
        <f t="shared" ref="CW108" si="911">SUM(CK108:CU108)</f>
        <v>2.7334945267719397</v>
      </c>
      <c r="CY108" s="14">
        <f t="shared" ref="CY108" si="912">4/CW108</f>
        <v>1.4633283369781289</v>
      </c>
      <c r="DA108" s="16">
        <f t="shared" si="711"/>
        <v>0.99837702600695621</v>
      </c>
      <c r="DB108" s="16">
        <f t="shared" si="712"/>
        <v>0</v>
      </c>
      <c r="DC108" s="16">
        <f t="shared" si="713"/>
        <v>5.0829711281584239E-4</v>
      </c>
      <c r="DD108" s="16">
        <f t="shared" si="714"/>
        <v>3.8511376781458922E-4</v>
      </c>
      <c r="DE108" s="16">
        <f t="shared" si="715"/>
        <v>0.19823288012415291</v>
      </c>
      <c r="DF108" s="16">
        <f t="shared" si="716"/>
        <v>2.887996915813706E-3</v>
      </c>
      <c r="DG108" s="16">
        <f t="shared" si="717"/>
        <v>1.7920362344282947</v>
      </c>
      <c r="DH108" s="16">
        <f t="shared" si="718"/>
        <v>1.3039899692843693E-3</v>
      </c>
      <c r="DI108" s="16">
        <f t="shared" si="719"/>
        <v>0</v>
      </c>
      <c r="DJ108" s="16">
        <f t="shared" si="720"/>
        <v>0</v>
      </c>
      <c r="DK108" s="16">
        <f t="shared" si="721"/>
        <v>7.4447302275959673E-3</v>
      </c>
      <c r="DL108" s="16">
        <f t="shared" si="748"/>
        <v>0.90039895676684434</v>
      </c>
      <c r="DN108" s="2">
        <f t="shared" si="749"/>
        <v>0.86270658921824817</v>
      </c>
      <c r="DO108" s="2">
        <f t="shared" si="750"/>
        <v>6.0101421148187565E-3</v>
      </c>
      <c r="DP108" s="2">
        <f t="shared" si="751"/>
        <v>6.4809680234333908E-2</v>
      </c>
      <c r="DQ108" s="2">
        <f t="shared" si="752"/>
        <v>5.803043900487667E-3</v>
      </c>
      <c r="DR108" s="2">
        <f t="shared" si="753"/>
        <v>3.8221702577807472E-2</v>
      </c>
      <c r="DS108" s="2">
        <f t="shared" si="754"/>
        <v>1.2405365912831581E-3</v>
      </c>
      <c r="DT108" s="2">
        <f t="shared" si="755"/>
        <v>0.37708416038110354</v>
      </c>
      <c r="DU108" s="2">
        <f t="shared" si="756"/>
        <v>0.34919842359612674</v>
      </c>
      <c r="DV108" s="2">
        <f t="shared" si="757"/>
        <v>2.7138426285603593E-2</v>
      </c>
      <c r="DW108" s="2">
        <f t="shared" si="758"/>
        <v>0</v>
      </c>
      <c r="DX108" s="2">
        <f t="shared" si="759"/>
        <v>9.1040052267700607E-4</v>
      </c>
      <c r="DZ108" s="2">
        <f t="shared" si="888"/>
        <v>1.7254131784364963</v>
      </c>
      <c r="EA108" s="2">
        <f t="shared" si="889"/>
        <v>1.2020284229637513E-2</v>
      </c>
      <c r="EB108" s="2">
        <f t="shared" si="890"/>
        <v>0.19442904070300171</v>
      </c>
      <c r="EC108" s="2">
        <f t="shared" si="891"/>
        <v>1.7409131701463E-2</v>
      </c>
      <c r="ED108" s="2">
        <f t="shared" si="892"/>
        <v>3.8221702577807472E-2</v>
      </c>
      <c r="EE108" s="2">
        <f t="shared" si="893"/>
        <v>1.2405365912831581E-3</v>
      </c>
      <c r="EF108" s="2">
        <f t="shared" si="894"/>
        <v>0.37708416038110354</v>
      </c>
      <c r="EG108" s="2">
        <f t="shared" si="895"/>
        <v>0.34919842359612674</v>
      </c>
      <c r="EH108" s="2">
        <f t="shared" si="896"/>
        <v>2.7138426285603593E-2</v>
      </c>
      <c r="EI108" s="2">
        <f t="shared" si="897"/>
        <v>0</v>
      </c>
      <c r="EJ108" s="2">
        <f t="shared" si="898"/>
        <v>9.1040052267700607E-4</v>
      </c>
      <c r="EL108" s="16">
        <f t="shared" ref="EL108" si="913">SUM(DZ108:EJ108)</f>
        <v>2.7430652850252004</v>
      </c>
      <c r="EN108" s="14">
        <f t="shared" ref="EN108" si="914">6/EL108</f>
        <v>2.1873340137964958</v>
      </c>
      <c r="EP108" s="16">
        <f t="shared" si="722"/>
        <v>1.8870274665234354</v>
      </c>
      <c r="EQ108" s="16">
        <f t="shared" si="723"/>
        <v>1.314618827549387E-2</v>
      </c>
      <c r="ER108" s="16">
        <f t="shared" si="724"/>
        <v>0.28352083599966599</v>
      </c>
      <c r="ES108" s="16">
        <f t="shared" si="725"/>
        <v>2.5386390614181922E-2</v>
      </c>
      <c r="ET108" s="16">
        <f t="shared" si="726"/>
        <v>8.3603630113651489E-2</v>
      </c>
      <c r="EU108" s="16">
        <f t="shared" si="727"/>
        <v>2.7134678814728129E-3</v>
      </c>
      <c r="EV108" s="16">
        <f t="shared" si="728"/>
        <v>0.8248090100654808</v>
      </c>
      <c r="EW108" s="16">
        <f t="shared" si="729"/>
        <v>0.76381358949592493</v>
      </c>
      <c r="EX108" s="16">
        <f t="shared" si="730"/>
        <v>0.11872160579081927</v>
      </c>
      <c r="EY108" s="16">
        <f t="shared" si="731"/>
        <v>0</v>
      </c>
      <c r="EZ108" s="16">
        <f t="shared" si="732"/>
        <v>1.9913500294295233E-3</v>
      </c>
      <c r="FB108" s="14">
        <f t="shared" si="760"/>
        <v>-6.3728949953807641</v>
      </c>
      <c r="FC108" s="4">
        <f t="shared" si="761"/>
        <v>1.1475683434544801</v>
      </c>
      <c r="FD108" s="4">
        <f t="shared" si="762"/>
        <v>1.6181858263885993</v>
      </c>
      <c r="FE108" s="4">
        <f t="shared" si="763"/>
        <v>1.6181858263885993</v>
      </c>
      <c r="FG108" s="4">
        <f t="shared" si="764"/>
        <v>1.9631780685875408</v>
      </c>
    </row>
    <row r="109" spans="1:163" x14ac:dyDescent="0.2">
      <c r="A109" s="24" t="s">
        <v>174</v>
      </c>
      <c r="B109" s="60" t="s">
        <v>181</v>
      </c>
      <c r="C109" s="138">
        <v>41.532539999999997</v>
      </c>
      <c r="D109" s="98">
        <v>1.1460000000000001E-2</v>
      </c>
      <c r="E109" s="148">
        <f t="shared" si="584"/>
        <v>1.5495706688035122E-2</v>
      </c>
      <c r="F109" s="138">
        <v>8.2799999999999992E-3</v>
      </c>
      <c r="G109" s="138">
        <v>9.8499400000000001</v>
      </c>
      <c r="H109" s="138">
        <v>0.13916000000000001</v>
      </c>
      <c r="I109" s="138">
        <v>49.52816</v>
      </c>
      <c r="J109" s="150">
        <f t="shared" si="585"/>
        <v>4.694985900013398E-2</v>
      </c>
      <c r="K109" s="98"/>
      <c r="L109" s="98"/>
      <c r="M109" s="138">
        <v>0.31180000000000002</v>
      </c>
      <c r="N109" s="141">
        <v>82.011965465553615</v>
      </c>
      <c r="O109" s="142">
        <v>335.54870071640244</v>
      </c>
      <c r="P109" s="11"/>
      <c r="Q109" s="140">
        <v>51.732939999999999</v>
      </c>
      <c r="R109" s="140">
        <v>0.45734000000000002</v>
      </c>
      <c r="S109" s="140">
        <v>6.6476999999999986</v>
      </c>
      <c r="T109" s="140">
        <v>0.85938000000000003</v>
      </c>
      <c r="U109" s="140">
        <v>2.8406800000000003</v>
      </c>
      <c r="V109" s="140">
        <v>9.6199999999999994E-2</v>
      </c>
      <c r="W109" s="140">
        <v>15.240260000000001</v>
      </c>
      <c r="X109" s="140">
        <v>19.188099999999999</v>
      </c>
      <c r="Y109" s="140">
        <v>1.7727799999999998</v>
      </c>
      <c r="Z109" s="100"/>
      <c r="AA109" s="140">
        <v>3.4079999999999999E-2</v>
      </c>
      <c r="AC109" s="139">
        <v>56.021660000000011</v>
      </c>
      <c r="AD109" s="139">
        <v>11.4191</v>
      </c>
      <c r="AE109" s="11"/>
      <c r="AF109" s="83">
        <f t="shared" si="864"/>
        <v>0.12029083583928457</v>
      </c>
      <c r="AG109" s="22">
        <f t="shared" si="734"/>
        <v>2.7660206227439742E-4</v>
      </c>
      <c r="AH109" s="126">
        <f t="shared" si="865"/>
        <v>972.26861412017047</v>
      </c>
      <c r="AI109" s="126">
        <f t="shared" si="735"/>
        <v>972.11873070950332</v>
      </c>
      <c r="AJ109" s="126">
        <f t="shared" si="736"/>
        <v>0.14988341066714383</v>
      </c>
      <c r="AK109" s="12"/>
      <c r="AL109" s="25">
        <f t="shared" si="866"/>
        <v>1.8255185892360768</v>
      </c>
      <c r="AN109" s="2">
        <v>15.999000000000001</v>
      </c>
      <c r="AO109" s="2">
        <v>28.085000000000001</v>
      </c>
      <c r="AP109" s="2">
        <v>47.866999999999997</v>
      </c>
      <c r="AQ109" s="2">
        <v>26.9815386</v>
      </c>
      <c r="AR109" s="2">
        <v>51.996099999999998</v>
      </c>
      <c r="AS109" s="2">
        <v>55.844999999999999</v>
      </c>
      <c r="AT109" s="2">
        <v>54.938045000000002</v>
      </c>
      <c r="AU109" s="2">
        <v>24.305</v>
      </c>
      <c r="AV109" s="2">
        <v>40.078000000000003</v>
      </c>
      <c r="AW109" s="2">
        <v>22.989769280000001</v>
      </c>
      <c r="AX109" s="2">
        <v>39.098300000000002</v>
      </c>
      <c r="AY109" s="2">
        <v>58.693399999999997</v>
      </c>
      <c r="BA109" s="2">
        <f>AN109*2+AO109</f>
        <v>60.082999999999998</v>
      </c>
      <c r="BB109" s="2">
        <f>AN109*2+AP109</f>
        <v>79.864999999999995</v>
      </c>
      <c r="BC109" s="2">
        <f>AQ109*2+AN109*3</f>
        <v>101.9600772</v>
      </c>
      <c r="BD109" s="2">
        <f>AR109*2+AN109*3</f>
        <v>151.98919999999998</v>
      </c>
      <c r="BE109" s="2">
        <f>AS109+AN109</f>
        <v>71.843999999999994</v>
      </c>
      <c r="BF109" s="2">
        <f>AT109+AN109</f>
        <v>70.937044999999998</v>
      </c>
      <c r="BG109" s="2">
        <f>AU109+AN109</f>
        <v>40.304000000000002</v>
      </c>
      <c r="BH109" s="2">
        <f>AV109+AN109</f>
        <v>56.077000000000005</v>
      </c>
      <c r="BI109" s="2">
        <f>AW109*2+AN109</f>
        <v>61.978538560000004</v>
      </c>
      <c r="BJ109" s="2">
        <f>AX109*2+AN109</f>
        <v>94.195599999999999</v>
      </c>
      <c r="BK109" s="2">
        <f>AY109+AN109</f>
        <v>74.692399999999992</v>
      </c>
      <c r="BM109" s="2">
        <f t="shared" si="737"/>
        <v>0.6912527670056422</v>
      </c>
      <c r="BN109" s="2">
        <f t="shared" si="738"/>
        <v>1.4349214299129784E-4</v>
      </c>
      <c r="BO109" s="2">
        <f t="shared" si="739"/>
        <v>1.51978177278539E-4</v>
      </c>
      <c r="BP109" s="2">
        <f t="shared" si="740"/>
        <v>5.4477554984169929E-5</v>
      </c>
      <c r="BQ109" s="2">
        <f t="shared" si="741"/>
        <v>0.13710177607037471</v>
      </c>
      <c r="BR109" s="2">
        <f t="shared" si="742"/>
        <v>1.9617394550336853E-3</v>
      </c>
      <c r="BS109" s="2">
        <f t="shared" si="743"/>
        <v>1.2288646288209606</v>
      </c>
      <c r="BT109" s="2">
        <f t="shared" si="744"/>
        <v>8.3723913547682609E-4</v>
      </c>
      <c r="BU109" s="2">
        <f t="shared" si="745"/>
        <v>0</v>
      </c>
      <c r="BV109" s="2">
        <f t="shared" si="746"/>
        <v>0</v>
      </c>
      <c r="BW109" s="2">
        <f t="shared" si="747"/>
        <v>4.1744541613336836E-3</v>
      </c>
      <c r="BY109" s="2">
        <f t="shared" si="867"/>
        <v>0.6912527670056422</v>
      </c>
      <c r="BZ109" s="2">
        <f t="shared" si="868"/>
        <v>1.4349214299129784E-4</v>
      </c>
      <c r="CA109" s="2">
        <f t="shared" si="869"/>
        <v>3.0395635455707801E-4</v>
      </c>
      <c r="CB109" s="2">
        <f t="shared" si="870"/>
        <v>1.0895510996833986E-4</v>
      </c>
      <c r="CC109" s="2">
        <f t="shared" si="871"/>
        <v>0.13710177607037471</v>
      </c>
      <c r="CD109" s="2">
        <f t="shared" si="872"/>
        <v>1.9617394550336853E-3</v>
      </c>
      <c r="CE109" s="2">
        <f t="shared" si="873"/>
        <v>1.2288646288209606</v>
      </c>
      <c r="CF109" s="2">
        <f t="shared" si="874"/>
        <v>8.3723913547682609E-4</v>
      </c>
      <c r="CG109" s="2">
        <f t="shared" si="875"/>
        <v>0</v>
      </c>
      <c r="CH109" s="2">
        <f t="shared" si="876"/>
        <v>0</v>
      </c>
      <c r="CI109" s="2">
        <f>BW109</f>
        <v>4.1744541613336836E-3</v>
      </c>
      <c r="CK109" s="2">
        <f t="shared" si="877"/>
        <v>1.3825055340112844</v>
      </c>
      <c r="CL109" s="2">
        <f t="shared" si="878"/>
        <v>2.8698428598259568E-4</v>
      </c>
      <c r="CM109" s="2">
        <f t="shared" si="879"/>
        <v>4.5593453183561701E-4</v>
      </c>
      <c r="CN109" s="2">
        <f t="shared" si="880"/>
        <v>1.6343266495250978E-4</v>
      </c>
      <c r="CO109" s="2">
        <f t="shared" si="881"/>
        <v>0.13710177607037471</v>
      </c>
      <c r="CP109" s="2">
        <f t="shared" si="882"/>
        <v>1.9617394550336853E-3</v>
      </c>
      <c r="CQ109" s="2">
        <f t="shared" si="883"/>
        <v>1.2288646288209606</v>
      </c>
      <c r="CR109" s="2">
        <f t="shared" si="884"/>
        <v>8.3723913547682609E-4</v>
      </c>
      <c r="CS109" s="2">
        <f t="shared" si="885"/>
        <v>0</v>
      </c>
      <c r="CT109" s="2">
        <f t="shared" si="886"/>
        <v>0</v>
      </c>
      <c r="CU109" s="2">
        <f t="shared" si="887"/>
        <v>4.1744541613336836E-3</v>
      </c>
      <c r="CW109" s="14">
        <f>SUM(CK109:CU109)</f>
        <v>2.756351723137235</v>
      </c>
      <c r="CY109" s="14">
        <f>4/CW109</f>
        <v>1.4511936072684022</v>
      </c>
      <c r="DA109" s="16">
        <f t="shared" si="711"/>
        <v>1.0031415964851822</v>
      </c>
      <c r="DB109" s="16">
        <f t="shared" si="712"/>
        <v>2.0823488060221489E-4</v>
      </c>
      <c r="DC109" s="16">
        <f t="shared" si="713"/>
        <v>4.4109951862183946E-4</v>
      </c>
      <c r="DD109" s="16">
        <f t="shared" si="714"/>
        <v>1.5811495906528056E-4</v>
      </c>
      <c r="DE109" s="16">
        <f t="shared" si="715"/>
        <v>0.1989612209784718</v>
      </c>
      <c r="DF109" s="16">
        <f t="shared" si="716"/>
        <v>2.8468637562710833E-3</v>
      </c>
      <c r="DG109" s="16">
        <f t="shared" si="717"/>
        <v>1.7833204935432359</v>
      </c>
      <c r="DH109" s="16">
        <f t="shared" si="718"/>
        <v>1.2149960811588937E-3</v>
      </c>
      <c r="DI109" s="16">
        <f t="shared" si="719"/>
        <v>0</v>
      </c>
      <c r="DJ109" s="16">
        <f t="shared" si="720"/>
        <v>0</v>
      </c>
      <c r="DK109" s="16">
        <f t="shared" si="721"/>
        <v>6.0579411927624205E-3</v>
      </c>
      <c r="DL109" s="16">
        <f t="shared" si="748"/>
        <v>0.89963019911805131</v>
      </c>
      <c r="DN109" s="2">
        <f t="shared" si="749"/>
        <v>0.86102458266065274</v>
      </c>
      <c r="DO109" s="2">
        <f t="shared" si="750"/>
        <v>5.7264133224816886E-3</v>
      </c>
      <c r="DP109" s="2">
        <f t="shared" si="751"/>
        <v>6.5199048319276851E-2</v>
      </c>
      <c r="DQ109" s="2">
        <f t="shared" si="752"/>
        <v>5.6542175365091735E-3</v>
      </c>
      <c r="DR109" s="2">
        <f t="shared" si="753"/>
        <v>3.9539557931072888E-2</v>
      </c>
      <c r="DS109" s="2">
        <f t="shared" si="754"/>
        <v>1.3561320463799978E-3</v>
      </c>
      <c r="DT109" s="2">
        <f t="shared" si="755"/>
        <v>0.3781326915442636</v>
      </c>
      <c r="DU109" s="2">
        <f t="shared" si="756"/>
        <v>0.34217415339622298</v>
      </c>
      <c r="DV109" s="2">
        <f t="shared" si="757"/>
        <v>2.8603126843396155E-2</v>
      </c>
      <c r="DW109" s="2">
        <f t="shared" si="758"/>
        <v>0</v>
      </c>
      <c r="DX109" s="2">
        <f t="shared" si="759"/>
        <v>4.5627132077694657E-4</v>
      </c>
      <c r="DZ109" s="2">
        <f t="shared" si="888"/>
        <v>1.7220491653213055</v>
      </c>
      <c r="EA109" s="2">
        <f t="shared" si="889"/>
        <v>1.1452826644963377E-2</v>
      </c>
      <c r="EB109" s="2">
        <f t="shared" si="890"/>
        <v>0.19559714495783054</v>
      </c>
      <c r="EC109" s="2">
        <f t="shared" si="891"/>
        <v>1.696265260952752E-2</v>
      </c>
      <c r="ED109" s="2">
        <f t="shared" si="892"/>
        <v>3.9539557931072888E-2</v>
      </c>
      <c r="EE109" s="2">
        <f t="shared" si="893"/>
        <v>1.3561320463799978E-3</v>
      </c>
      <c r="EF109" s="2">
        <f t="shared" si="894"/>
        <v>0.3781326915442636</v>
      </c>
      <c r="EG109" s="2">
        <f t="shared" si="895"/>
        <v>0.34217415339622298</v>
      </c>
      <c r="EH109" s="2">
        <f t="shared" si="896"/>
        <v>2.8603126843396155E-2</v>
      </c>
      <c r="EI109" s="2">
        <f t="shared" si="897"/>
        <v>0</v>
      </c>
      <c r="EJ109" s="2">
        <f t="shared" si="898"/>
        <v>4.5627132077694657E-4</v>
      </c>
      <c r="EL109" s="16">
        <f>SUM(DZ109:EJ109)</f>
        <v>2.7363237226157393</v>
      </c>
      <c r="EN109" s="14">
        <f>6/EL109</f>
        <v>2.1927230138780538</v>
      </c>
      <c r="EP109" s="16">
        <f t="shared" si="722"/>
        <v>1.8879884179147599</v>
      </c>
      <c r="EQ109" s="16">
        <f t="shared" si="723"/>
        <v>1.2556438279183488E-2</v>
      </c>
      <c r="ER109" s="16">
        <f t="shared" si="724"/>
        <v>0.28592690746525118</v>
      </c>
      <c r="ES109" s="16">
        <f t="shared" si="725"/>
        <v>2.4796265835553079E-2</v>
      </c>
      <c r="ET109" s="16">
        <f t="shared" si="726"/>
        <v>8.6699298634028046E-2</v>
      </c>
      <c r="EU109" s="16">
        <f t="shared" si="727"/>
        <v>2.9736219479549616E-3</v>
      </c>
      <c r="EV109" s="16">
        <f t="shared" si="728"/>
        <v>0.8291402550487581</v>
      </c>
      <c r="EW109" s="16">
        <f t="shared" si="729"/>
        <v>0.75029314090613752</v>
      </c>
      <c r="EX109" s="16">
        <f t="shared" si="730"/>
        <v>0.12543746899677577</v>
      </c>
      <c r="EY109" s="16">
        <f t="shared" si="731"/>
        <v>0</v>
      </c>
      <c r="EZ109" s="16">
        <f t="shared" ref="EZ109:EZ114" si="915">DX109*$EN109</f>
        <v>1.0004766256401466E-3</v>
      </c>
      <c r="FB109" s="14">
        <f t="shared" si="760"/>
        <v>-6.4257231333044507</v>
      </c>
      <c r="FC109" s="4">
        <f t="shared" si="761"/>
        <v>0.91667444466862569</v>
      </c>
      <c r="FD109" s="4">
        <f t="shared" si="762"/>
        <v>1.5368601724229169</v>
      </c>
      <c r="FE109" s="4">
        <f t="shared" si="763"/>
        <v>1.5368601724229169</v>
      </c>
      <c r="FG109" s="4">
        <f t="shared" si="764"/>
        <v>1.8255185892360768</v>
      </c>
    </row>
    <row r="110" spans="1:163" x14ac:dyDescent="0.2">
      <c r="A110" s="24" t="s">
        <v>175</v>
      </c>
      <c r="B110" s="60" t="s">
        <v>181</v>
      </c>
      <c r="C110" s="138">
        <v>41.417380000000001</v>
      </c>
      <c r="D110" s="98">
        <v>9.0400000000000012E-3</v>
      </c>
      <c r="E110" s="148">
        <f t="shared" si="584"/>
        <v>1.5003969345524894E-2</v>
      </c>
      <c r="F110" s="138">
        <v>0</v>
      </c>
      <c r="G110" s="138">
        <v>9.9100200000000012</v>
      </c>
      <c r="H110" s="138">
        <v>0.14876</v>
      </c>
      <c r="I110" s="138">
        <v>49.560919999999996</v>
      </c>
      <c r="J110" s="150">
        <f t="shared" si="585"/>
        <v>4.6053822251452263E-2</v>
      </c>
      <c r="K110" s="98"/>
      <c r="L110" s="98"/>
      <c r="M110" s="138">
        <v>0.31364000000000003</v>
      </c>
      <c r="N110" s="141">
        <v>79.409415819772633</v>
      </c>
      <c r="O110" s="142">
        <v>329.144763128146</v>
      </c>
      <c r="P110" s="11"/>
      <c r="Q110" s="140">
        <v>51.625980000000006</v>
      </c>
      <c r="R110" s="140">
        <v>0.45621999999999996</v>
      </c>
      <c r="S110" s="140">
        <v>6.6475999999999997</v>
      </c>
      <c r="T110" s="140">
        <v>0.89982000000000006</v>
      </c>
      <c r="U110" s="140">
        <v>2.8425400000000001</v>
      </c>
      <c r="V110" s="140">
        <v>8.8440000000000005E-2</v>
      </c>
      <c r="W110" s="140">
        <v>15.1919</v>
      </c>
      <c r="X110" s="140">
        <v>19.172260000000001</v>
      </c>
      <c r="Y110" s="140">
        <v>1.7360400000000002</v>
      </c>
      <c r="Z110" s="100"/>
      <c r="AA110" s="140">
        <v>2.9359999999999997E-2</v>
      </c>
      <c r="AC110" s="139">
        <v>56.088300000000004</v>
      </c>
      <c r="AD110" s="139">
        <v>11.320440000000001</v>
      </c>
      <c r="AE110" s="11"/>
      <c r="AF110" s="83">
        <f t="shared" si="864"/>
        <v>0.11925068150580655</v>
      </c>
      <c r="AG110" s="22">
        <f t="shared" si="734"/>
        <v>2.6750622403468982E-4</v>
      </c>
      <c r="AH110" s="126">
        <f t="shared" si="865"/>
        <v>967.77646306799102</v>
      </c>
      <c r="AI110" s="126">
        <f t="shared" si="735"/>
        <v>967.62651877199528</v>
      </c>
      <c r="AJ110" s="126">
        <f t="shared" si="736"/>
        <v>0.14994429599573778</v>
      </c>
      <c r="AK110" s="12"/>
      <c r="AL110" s="25">
        <f t="shared" si="866"/>
        <v>1.8012418517447017</v>
      </c>
      <c r="AN110" s="2">
        <v>15.999000000000001</v>
      </c>
      <c r="AO110" s="2">
        <v>28.085000000000001</v>
      </c>
      <c r="AP110" s="2">
        <v>47.866999999999997</v>
      </c>
      <c r="AQ110" s="2">
        <v>26.9815386</v>
      </c>
      <c r="AR110" s="2">
        <v>51.996099999999998</v>
      </c>
      <c r="AS110" s="2">
        <v>55.844999999999999</v>
      </c>
      <c r="AT110" s="2">
        <v>54.938045000000002</v>
      </c>
      <c r="AU110" s="2">
        <v>24.305</v>
      </c>
      <c r="AV110" s="2">
        <v>40.078000000000003</v>
      </c>
      <c r="AW110" s="2">
        <v>22.989769280000001</v>
      </c>
      <c r="AX110" s="2">
        <v>39.098300000000002</v>
      </c>
      <c r="AY110" s="2">
        <v>58.693399999999997</v>
      </c>
      <c r="BA110" s="2">
        <f t="shared" ref="BA110" si="916">AN110*2+AO110</f>
        <v>60.082999999999998</v>
      </c>
      <c r="BB110" s="2">
        <f t="shared" ref="BB110" si="917">AN110*2+AP110</f>
        <v>79.864999999999995</v>
      </c>
      <c r="BC110" s="2">
        <f t="shared" ref="BC110" si="918">AQ110*2+AN110*3</f>
        <v>101.9600772</v>
      </c>
      <c r="BD110" s="2">
        <f t="shared" ref="BD110" si="919">AR110*2+AN110*3</f>
        <v>151.98919999999998</v>
      </c>
      <c r="BE110" s="2">
        <f t="shared" ref="BE110" si="920">AS110+AN110</f>
        <v>71.843999999999994</v>
      </c>
      <c r="BF110" s="2">
        <f t="shared" ref="BF110" si="921">AT110+AN110</f>
        <v>70.937044999999998</v>
      </c>
      <c r="BG110" s="2">
        <f t="shared" ref="BG110" si="922">AU110+AN110</f>
        <v>40.304000000000002</v>
      </c>
      <c r="BH110" s="2">
        <f t="shared" ref="BH110" si="923">AV110+AN110</f>
        <v>56.077000000000005</v>
      </c>
      <c r="BI110" s="2">
        <f t="shared" ref="BI110" si="924">AW110*2+AN110</f>
        <v>61.978538560000004</v>
      </c>
      <c r="BJ110" s="2">
        <f t="shared" ref="BJ110" si="925">AX110*2+AN110</f>
        <v>94.195599999999999</v>
      </c>
      <c r="BK110" s="2">
        <f t="shared" ref="BK110" si="926">AY110+AN110</f>
        <v>74.692399999999992</v>
      </c>
      <c r="BM110" s="2">
        <f t="shared" si="737"/>
        <v>0.68933608508230282</v>
      </c>
      <c r="BN110" s="2">
        <f t="shared" si="738"/>
        <v>1.1319100982908661E-4</v>
      </c>
      <c r="BO110" s="2">
        <f t="shared" si="739"/>
        <v>1.4715533527984514E-4</v>
      </c>
      <c r="BP110" s="2">
        <f t="shared" si="740"/>
        <v>0</v>
      </c>
      <c r="BQ110" s="2">
        <f t="shared" si="741"/>
        <v>0.13793803240354102</v>
      </c>
      <c r="BR110" s="2">
        <f t="shared" si="742"/>
        <v>2.0970707195373025E-3</v>
      </c>
      <c r="BS110" s="2">
        <f t="shared" si="743"/>
        <v>1.2296774513695909</v>
      </c>
      <c r="BT110" s="2">
        <f t="shared" si="744"/>
        <v>8.2126044994297587E-4</v>
      </c>
      <c r="BU110" s="2">
        <f t="shared" si="745"/>
        <v>0</v>
      </c>
      <c r="BV110" s="2">
        <f t="shared" si="746"/>
        <v>0</v>
      </c>
      <c r="BW110" s="2">
        <f t="shared" si="747"/>
        <v>4.1990885284178851E-3</v>
      </c>
      <c r="BY110" s="2">
        <f t="shared" si="867"/>
        <v>0.68933608508230282</v>
      </c>
      <c r="BZ110" s="2">
        <f t="shared" si="868"/>
        <v>1.1319100982908661E-4</v>
      </c>
      <c r="CA110" s="2">
        <f t="shared" si="869"/>
        <v>2.9431067055969029E-4</v>
      </c>
      <c r="CB110" s="2">
        <f t="shared" si="870"/>
        <v>0</v>
      </c>
      <c r="CC110" s="2">
        <f t="shared" si="871"/>
        <v>0.13793803240354102</v>
      </c>
      <c r="CD110" s="2">
        <f t="shared" si="872"/>
        <v>2.0970707195373025E-3</v>
      </c>
      <c r="CE110" s="2">
        <f t="shared" si="873"/>
        <v>1.2296774513695909</v>
      </c>
      <c r="CF110" s="2">
        <f t="shared" si="874"/>
        <v>8.2126044994297587E-4</v>
      </c>
      <c r="CG110" s="2">
        <f t="shared" si="875"/>
        <v>0</v>
      </c>
      <c r="CH110" s="2">
        <f t="shared" si="876"/>
        <v>0</v>
      </c>
      <c r="CI110" s="2">
        <f t="shared" ref="CI110" si="927">BW110</f>
        <v>4.1990885284178851E-3</v>
      </c>
      <c r="CK110" s="2">
        <f t="shared" si="877"/>
        <v>1.3786721701646056</v>
      </c>
      <c r="CL110" s="2">
        <f t="shared" si="878"/>
        <v>2.2638201965817322E-4</v>
      </c>
      <c r="CM110" s="2">
        <f t="shared" si="879"/>
        <v>4.414660058395354E-4</v>
      </c>
      <c r="CN110" s="2">
        <f t="shared" si="880"/>
        <v>0</v>
      </c>
      <c r="CO110" s="2">
        <f t="shared" si="881"/>
        <v>0.13793803240354102</v>
      </c>
      <c r="CP110" s="2">
        <f t="shared" si="882"/>
        <v>2.0970707195373025E-3</v>
      </c>
      <c r="CQ110" s="2">
        <f t="shared" si="883"/>
        <v>1.2296774513695909</v>
      </c>
      <c r="CR110" s="2">
        <f t="shared" si="884"/>
        <v>8.2126044994297587E-4</v>
      </c>
      <c r="CS110" s="2">
        <f t="shared" si="885"/>
        <v>0</v>
      </c>
      <c r="CT110" s="2">
        <f t="shared" si="886"/>
        <v>0</v>
      </c>
      <c r="CU110" s="2">
        <f t="shared" si="887"/>
        <v>4.1990885284178851E-3</v>
      </c>
      <c r="CW110" s="14">
        <f t="shared" ref="CW110" si="928">SUM(CK110:CU110)</f>
        <v>2.7540729216611339</v>
      </c>
      <c r="CY110" s="14">
        <f t="shared" ref="CY110" si="929">4/CW110</f>
        <v>1.4523943678250097</v>
      </c>
      <c r="DA110" s="16">
        <f t="shared" si="711"/>
        <v>1.0011878475120783</v>
      </c>
      <c r="DB110" s="16">
        <f t="shared" si="712"/>
        <v>1.6439798516419072E-4</v>
      </c>
      <c r="DC110" s="16">
        <f t="shared" si="713"/>
        <v>4.2745516031169608E-4</v>
      </c>
      <c r="DD110" s="16">
        <f t="shared" si="714"/>
        <v>0</v>
      </c>
      <c r="DE110" s="16">
        <f t="shared" si="715"/>
        <v>0.20034042137176666</v>
      </c>
      <c r="DF110" s="16">
        <f t="shared" si="716"/>
        <v>3.0457737019867186E-3</v>
      </c>
      <c r="DG110" s="16">
        <f t="shared" si="717"/>
        <v>1.7859766046106063</v>
      </c>
      <c r="DH110" s="16">
        <f t="shared" si="718"/>
        <v>1.1927940520146114E-3</v>
      </c>
      <c r="DI110" s="16">
        <f t="shared" si="719"/>
        <v>0</v>
      </c>
      <c r="DJ110" s="16">
        <f t="shared" si="720"/>
        <v>0</v>
      </c>
      <c r="DK110" s="16">
        <f t="shared" si="721"/>
        <v>6.0987325286727444E-3</v>
      </c>
      <c r="DL110" s="16">
        <f t="shared" si="748"/>
        <v>0.89913975526002243</v>
      </c>
      <c r="DN110" s="2">
        <f t="shared" si="749"/>
        <v>0.85924437860959013</v>
      </c>
      <c r="DO110" s="2">
        <f t="shared" si="750"/>
        <v>5.7123896575471105E-3</v>
      </c>
      <c r="DP110" s="2">
        <f t="shared" si="751"/>
        <v>6.5198067543244267E-2</v>
      </c>
      <c r="DQ110" s="2">
        <f t="shared" si="752"/>
        <v>5.9202890731709897E-3</v>
      </c>
      <c r="DR110" s="2">
        <f t="shared" si="753"/>
        <v>3.9565447358164918E-2</v>
      </c>
      <c r="DS110" s="2">
        <f t="shared" si="754"/>
        <v>1.2467392742395742E-3</v>
      </c>
      <c r="DT110" s="2">
        <f t="shared" si="755"/>
        <v>0.37693281063914252</v>
      </c>
      <c r="DU110" s="2">
        <f t="shared" si="756"/>
        <v>0.34189168464789488</v>
      </c>
      <c r="DV110" s="2">
        <f t="shared" si="757"/>
        <v>2.8010341004078045E-2</v>
      </c>
      <c r="DW110" s="2">
        <f t="shared" si="758"/>
        <v>0</v>
      </c>
      <c r="DX110" s="2">
        <f t="shared" si="759"/>
        <v>3.9307881390877788E-4</v>
      </c>
      <c r="DZ110" s="2">
        <f t="shared" si="888"/>
        <v>1.7184887572191803</v>
      </c>
      <c r="EA110" s="2">
        <f t="shared" si="889"/>
        <v>1.1424779315094221E-2</v>
      </c>
      <c r="EB110" s="2">
        <f t="shared" si="890"/>
        <v>0.19559420262973282</v>
      </c>
      <c r="EC110" s="2">
        <f t="shared" si="891"/>
        <v>1.776086721951297E-2</v>
      </c>
      <c r="ED110" s="2">
        <f t="shared" si="892"/>
        <v>3.9565447358164918E-2</v>
      </c>
      <c r="EE110" s="2">
        <f t="shared" si="893"/>
        <v>1.2467392742395742E-3</v>
      </c>
      <c r="EF110" s="2">
        <f t="shared" si="894"/>
        <v>0.37693281063914252</v>
      </c>
      <c r="EG110" s="2">
        <f t="shared" si="895"/>
        <v>0.34189168464789488</v>
      </c>
      <c r="EH110" s="2">
        <f t="shared" si="896"/>
        <v>2.8010341004078045E-2</v>
      </c>
      <c r="EI110" s="2">
        <f t="shared" si="897"/>
        <v>0</v>
      </c>
      <c r="EJ110" s="2">
        <f t="shared" si="898"/>
        <v>3.9307881390877788E-4</v>
      </c>
      <c r="EL110" s="16">
        <f t="shared" ref="EL110" si="930">SUM(DZ110:EJ110)</f>
        <v>2.7313087081209484</v>
      </c>
      <c r="EN110" s="14">
        <f t="shared" ref="EN110" si="931">6/EL110</f>
        <v>2.1967491196291045</v>
      </c>
      <c r="EP110" s="16">
        <f t="shared" si="722"/>
        <v>1.8875443322568741</v>
      </c>
      <c r="EQ110" s="16">
        <f t="shared" si="723"/>
        <v>1.2548686951195017E-2</v>
      </c>
      <c r="ER110" s="16">
        <f t="shared" si="724"/>
        <v>0.28644759495428146</v>
      </c>
      <c r="ES110" s="16">
        <f t="shared" si="725"/>
        <v>2.6010779618876358E-2</v>
      </c>
      <c r="ET110" s="16">
        <f t="shared" si="726"/>
        <v>8.6915361651780459E-2</v>
      </c>
      <c r="EU110" s="16">
        <f t="shared" si="727"/>
        <v>2.7387734030928134E-3</v>
      </c>
      <c r="EV110" s="16">
        <f t="shared" si="728"/>
        <v>0.82802681993086025</v>
      </c>
      <c r="EW110" s="16">
        <f t="shared" si="729"/>
        <v>0.7510502572587745</v>
      </c>
      <c r="EX110" s="16">
        <f t="shared" si="730"/>
        <v>0.1230633838824389</v>
      </c>
      <c r="EY110" s="16">
        <f t="shared" si="731"/>
        <v>0</v>
      </c>
      <c r="EZ110" s="16">
        <f t="shared" si="915"/>
        <v>8.6349553839896044E-4</v>
      </c>
      <c r="FB110" s="14">
        <f t="shared" si="760"/>
        <v>-6.4451740720941348</v>
      </c>
      <c r="FC110" s="4">
        <f t="shared" si="761"/>
        <v>0.87940092652300517</v>
      </c>
      <c r="FD110" s="4">
        <f t="shared" si="762"/>
        <v>1.5389404945776304</v>
      </c>
      <c r="FE110" s="4">
        <f t="shared" si="763"/>
        <v>1.5389404945776304</v>
      </c>
      <c r="FG110" s="4">
        <f t="shared" si="764"/>
        <v>1.8012418517447017</v>
      </c>
    </row>
    <row r="111" spans="1:163" x14ac:dyDescent="0.2">
      <c r="A111" s="24" t="s">
        <v>176</v>
      </c>
      <c r="B111" s="60" t="s">
        <v>181</v>
      </c>
      <c r="C111" s="138">
        <v>40.877499999999998</v>
      </c>
      <c r="D111" s="98"/>
      <c r="E111" s="148">
        <f t="shared" si="584"/>
        <v>1.8631087550319007E-2</v>
      </c>
      <c r="F111" s="138">
        <v>0</v>
      </c>
      <c r="G111" s="138">
        <v>9.73</v>
      </c>
      <c r="H111" s="138">
        <v>0.14000000000000001</v>
      </c>
      <c r="I111" s="138">
        <v>48.942500000000003</v>
      </c>
      <c r="J111" s="150">
        <f t="shared" si="585"/>
        <v>5.1121082653368892E-2</v>
      </c>
      <c r="K111" s="98"/>
      <c r="L111" s="98"/>
      <c r="M111" s="138">
        <v>0.375</v>
      </c>
      <c r="N111" s="141">
        <v>98.606158436276999</v>
      </c>
      <c r="O111" s="142">
        <v>365.3602636699037</v>
      </c>
      <c r="P111" s="11"/>
      <c r="Q111" s="140">
        <v>52.01</v>
      </c>
      <c r="R111" s="140">
        <v>0.48</v>
      </c>
      <c r="S111" s="140">
        <v>6.6700000000000008</v>
      </c>
      <c r="T111" s="140">
        <v>0.93333333333333324</v>
      </c>
      <c r="U111" s="140">
        <v>2.77</v>
      </c>
      <c r="V111" s="140">
        <v>9.3333333333333338E-2</v>
      </c>
      <c r="W111" s="140">
        <v>15.301666666666668</v>
      </c>
      <c r="X111" s="140">
        <v>19.661666666666665</v>
      </c>
      <c r="Y111" s="140">
        <v>1.6600000000000001</v>
      </c>
      <c r="Z111" s="100"/>
      <c r="AA111" s="140">
        <v>4.5000000000000005E-2</v>
      </c>
      <c r="AC111" s="139">
        <v>55.588333333333338</v>
      </c>
      <c r="AD111" s="139">
        <v>11.515000000000001</v>
      </c>
      <c r="AE111" s="11"/>
      <c r="AF111" s="83">
        <f>AD111/151.9892/(AD111/151.9892+AC111/101.9601)</f>
        <v>0.12200801568101116</v>
      </c>
      <c r="AG111" s="22">
        <f t="shared" si="734"/>
        <v>3.3516183042579085E-4</v>
      </c>
      <c r="AH111" s="126">
        <f t="shared" si="865"/>
        <v>999.31970745544527</v>
      </c>
      <c r="AI111" s="126">
        <f t="shared" si="735"/>
        <v>999.17057715701458</v>
      </c>
      <c r="AJ111" s="126">
        <f t="shared" si="736"/>
        <v>0.14913029843069125</v>
      </c>
      <c r="AK111" s="12"/>
      <c r="AL111" s="25">
        <f t="shared" si="866"/>
        <v>2.0164217447379706</v>
      </c>
      <c r="AN111" s="2">
        <v>15.999000000000001</v>
      </c>
      <c r="AO111" s="2">
        <v>28.085000000000001</v>
      </c>
      <c r="AP111" s="2">
        <v>47.866999999999997</v>
      </c>
      <c r="AQ111" s="2">
        <v>26.9815386</v>
      </c>
      <c r="AR111" s="2">
        <v>51.996099999999998</v>
      </c>
      <c r="AS111" s="2">
        <v>55.844999999999999</v>
      </c>
      <c r="AT111" s="2">
        <v>54.938045000000002</v>
      </c>
      <c r="AU111" s="2">
        <v>24.305</v>
      </c>
      <c r="AV111" s="2">
        <v>40.078000000000003</v>
      </c>
      <c r="AW111" s="2">
        <v>22.989769280000001</v>
      </c>
      <c r="AX111" s="2">
        <v>39.098300000000002</v>
      </c>
      <c r="AY111" s="2">
        <v>58.693399999999997</v>
      </c>
      <c r="BA111" s="2">
        <f>AN111*2+AO111</f>
        <v>60.082999999999998</v>
      </c>
      <c r="BB111" s="2">
        <f>AN111*2+AP111</f>
        <v>79.864999999999995</v>
      </c>
      <c r="BC111" s="2">
        <f>AQ111*2+AN111*3</f>
        <v>101.9600772</v>
      </c>
      <c r="BD111" s="2">
        <f>AR111*2+AN111*3</f>
        <v>151.98919999999998</v>
      </c>
      <c r="BE111" s="2">
        <f>AS111+AN111</f>
        <v>71.843999999999994</v>
      </c>
      <c r="BF111" s="2">
        <f>AT111+AN111</f>
        <v>70.937044999999998</v>
      </c>
      <c r="BG111" s="2">
        <f>AU111+AN111</f>
        <v>40.304000000000002</v>
      </c>
      <c r="BH111" s="2">
        <f>AV111+AN111</f>
        <v>56.077000000000005</v>
      </c>
      <c r="BI111" s="2">
        <f>AW111*2+AN111</f>
        <v>61.978538560000004</v>
      </c>
      <c r="BJ111" s="2">
        <f>AX111*2+AN111</f>
        <v>94.195599999999999</v>
      </c>
      <c r="BK111" s="2">
        <f>AY111+AN111</f>
        <v>74.692399999999992</v>
      </c>
      <c r="BM111" s="2">
        <f t="shared" si="737"/>
        <v>0.68035051512074962</v>
      </c>
      <c r="BN111" s="2">
        <f t="shared" si="738"/>
        <v>0</v>
      </c>
      <c r="BO111" s="2">
        <f t="shared" si="739"/>
        <v>1.8272924130660631E-4</v>
      </c>
      <c r="BP111" s="2">
        <f t="shared" si="740"/>
        <v>0</v>
      </c>
      <c r="BQ111" s="2">
        <f t="shared" si="741"/>
        <v>0.13543232559434332</v>
      </c>
      <c r="BR111" s="2">
        <f t="shared" si="742"/>
        <v>1.9735809406777518E-3</v>
      </c>
      <c r="BS111" s="2">
        <f t="shared" si="743"/>
        <v>1.2143335649067091</v>
      </c>
      <c r="BT111" s="2">
        <f t="shared" si="744"/>
        <v>9.1162299433580408E-4</v>
      </c>
      <c r="BU111" s="2">
        <f t="shared" si="745"/>
        <v>0</v>
      </c>
      <c r="BV111" s="2">
        <f t="shared" si="746"/>
        <v>0</v>
      </c>
      <c r="BW111" s="2">
        <f t="shared" si="747"/>
        <v>5.0205911177040779E-3</v>
      </c>
      <c r="BY111" s="2">
        <f t="shared" si="867"/>
        <v>0.68035051512074962</v>
      </c>
      <c r="BZ111" s="2">
        <f t="shared" si="868"/>
        <v>0</v>
      </c>
      <c r="CA111" s="2">
        <f t="shared" si="869"/>
        <v>3.6545848261321261E-4</v>
      </c>
      <c r="CB111" s="2">
        <f t="shared" si="870"/>
        <v>0</v>
      </c>
      <c r="CC111" s="2">
        <f t="shared" si="871"/>
        <v>0.13543232559434332</v>
      </c>
      <c r="CD111" s="2">
        <f t="shared" si="872"/>
        <v>1.9735809406777518E-3</v>
      </c>
      <c r="CE111" s="2">
        <f t="shared" si="873"/>
        <v>1.2143335649067091</v>
      </c>
      <c r="CF111" s="2">
        <f t="shared" si="874"/>
        <v>9.1162299433580408E-4</v>
      </c>
      <c r="CG111" s="2">
        <f t="shared" si="875"/>
        <v>0</v>
      </c>
      <c r="CH111" s="2">
        <f t="shared" si="876"/>
        <v>0</v>
      </c>
      <c r="CI111" s="2">
        <f>BW111</f>
        <v>5.0205911177040779E-3</v>
      </c>
      <c r="CK111" s="2">
        <f t="shared" si="877"/>
        <v>1.3607010302414992</v>
      </c>
      <c r="CL111" s="2">
        <f t="shared" si="878"/>
        <v>0</v>
      </c>
      <c r="CM111" s="2">
        <f t="shared" si="879"/>
        <v>5.4818772391981895E-4</v>
      </c>
      <c r="CN111" s="2">
        <f t="shared" si="880"/>
        <v>0</v>
      </c>
      <c r="CO111" s="2">
        <f t="shared" si="881"/>
        <v>0.13543232559434332</v>
      </c>
      <c r="CP111" s="2">
        <f t="shared" si="882"/>
        <v>1.9735809406777518E-3</v>
      </c>
      <c r="CQ111" s="2">
        <f t="shared" si="883"/>
        <v>1.2143335649067091</v>
      </c>
      <c r="CR111" s="2">
        <f t="shared" si="884"/>
        <v>9.1162299433580408E-4</v>
      </c>
      <c r="CS111" s="2">
        <f t="shared" si="885"/>
        <v>0</v>
      </c>
      <c r="CT111" s="2">
        <f t="shared" si="886"/>
        <v>0</v>
      </c>
      <c r="CU111" s="2">
        <f t="shared" si="887"/>
        <v>5.0205911177040779E-3</v>
      </c>
      <c r="CW111" s="14">
        <f>SUM(CK111:CU111)</f>
        <v>2.7189209035191895</v>
      </c>
      <c r="CY111" s="14">
        <f>4/CW111</f>
        <v>1.4711718883850822</v>
      </c>
      <c r="DA111" s="16">
        <f t="shared" si="711"/>
        <v>1.0009125520939566</v>
      </c>
      <c r="DB111" s="16">
        <f t="shared" si="712"/>
        <v>0</v>
      </c>
      <c r="DC111" s="16">
        <f t="shared" si="713"/>
        <v>5.3765224599242674E-4</v>
      </c>
      <c r="DD111" s="16">
        <f t="shared" si="714"/>
        <v>0</v>
      </c>
      <c r="DE111" s="16">
        <f t="shared" si="715"/>
        <v>0.19924423019301335</v>
      </c>
      <c r="DF111" s="16">
        <f t="shared" si="716"/>
        <v>2.903476799377695E-3</v>
      </c>
      <c r="DG111" s="16">
        <f t="shared" si="717"/>
        <v>1.7864934038131919</v>
      </c>
      <c r="DH111" s="16">
        <f t="shared" si="718"/>
        <v>1.3411541220722679E-3</v>
      </c>
      <c r="DI111" s="16">
        <f t="shared" si="719"/>
        <v>0</v>
      </c>
      <c r="DJ111" s="16">
        <f t="shared" si="720"/>
        <v>0</v>
      </c>
      <c r="DK111" s="16">
        <f t="shared" si="721"/>
        <v>7.3861525154420788E-3</v>
      </c>
      <c r="DL111" s="16">
        <f t="shared" si="748"/>
        <v>0.89966235882278156</v>
      </c>
      <c r="DN111" s="2">
        <f t="shared" si="749"/>
        <v>0.86563587037930856</v>
      </c>
      <c r="DO111" s="2">
        <f t="shared" si="750"/>
        <v>6.0101421148187565E-3</v>
      </c>
      <c r="DP111" s="2">
        <f t="shared" si="751"/>
        <v>6.5417761374547106E-2</v>
      </c>
      <c r="DQ111" s="2">
        <f t="shared" si="752"/>
        <v>6.1407871962832448E-3</v>
      </c>
      <c r="DR111" s="2">
        <f t="shared" si="753"/>
        <v>3.855575970157564E-2</v>
      </c>
      <c r="DS111" s="2">
        <f t="shared" si="754"/>
        <v>1.3157206271185013E-3</v>
      </c>
      <c r="DT111" s="2">
        <f t="shared" si="755"/>
        <v>0.37965627894667198</v>
      </c>
      <c r="DU111" s="2">
        <f t="shared" si="756"/>
        <v>0.35061908922850121</v>
      </c>
      <c r="DV111" s="2">
        <f t="shared" si="757"/>
        <v>2.6783464705173586E-2</v>
      </c>
      <c r="DW111" s="2">
        <f t="shared" si="758"/>
        <v>0</v>
      </c>
      <c r="DX111" s="2">
        <f t="shared" si="759"/>
        <v>6.0247093412448937E-4</v>
      </c>
      <c r="DZ111" s="2">
        <f t="shared" si="888"/>
        <v>1.7312717407586171</v>
      </c>
      <c r="EA111" s="2">
        <f t="shared" si="889"/>
        <v>1.2020284229637513E-2</v>
      </c>
      <c r="EB111" s="2">
        <f t="shared" si="890"/>
        <v>0.19625328412364132</v>
      </c>
      <c r="EC111" s="2">
        <f t="shared" si="891"/>
        <v>1.8422361588849735E-2</v>
      </c>
      <c r="ED111" s="2">
        <f t="shared" si="892"/>
        <v>3.855575970157564E-2</v>
      </c>
      <c r="EE111" s="2">
        <f t="shared" si="893"/>
        <v>1.3157206271185013E-3</v>
      </c>
      <c r="EF111" s="2">
        <f t="shared" si="894"/>
        <v>0.37965627894667198</v>
      </c>
      <c r="EG111" s="2">
        <f t="shared" si="895"/>
        <v>0.35061908922850121</v>
      </c>
      <c r="EH111" s="2">
        <f t="shared" si="896"/>
        <v>2.6783464705173586E-2</v>
      </c>
      <c r="EI111" s="2">
        <f t="shared" si="897"/>
        <v>0</v>
      </c>
      <c r="EJ111" s="2">
        <f t="shared" si="898"/>
        <v>6.0247093412448937E-4</v>
      </c>
      <c r="EL111" s="16">
        <f>SUM(DZ111:EJ111)</f>
        <v>2.7555004548439106</v>
      </c>
      <c r="EN111" s="14">
        <f>6/EL111</f>
        <v>2.1774628958788829</v>
      </c>
      <c r="EP111" s="16">
        <f t="shared" si="722"/>
        <v>1.8848899890927664</v>
      </c>
      <c r="EQ111" s="16">
        <f t="shared" si="723"/>
        <v>1.3086861453976882E-2</v>
      </c>
      <c r="ER111" s="16">
        <f t="shared" si="724"/>
        <v>0.28488949624907012</v>
      </c>
      <c r="ES111" s="16">
        <f t="shared" si="725"/>
        <v>2.674267254278976E-2</v>
      </c>
      <c r="ET111" s="16">
        <f t="shared" si="726"/>
        <v>8.3953736172603224E-2</v>
      </c>
      <c r="EU111" s="16">
        <f t="shared" si="727"/>
        <v>2.8649328468930316E-3</v>
      </c>
      <c r="EV111" s="16">
        <f t="shared" si="728"/>
        <v>0.82668746059382137</v>
      </c>
      <c r="EW111" s="16">
        <f t="shared" si="729"/>
        <v>0.7634600573819087</v>
      </c>
      <c r="EX111" s="16">
        <f t="shared" si="730"/>
        <v>0.11664000123719426</v>
      </c>
      <c r="EY111" s="16">
        <f t="shared" si="731"/>
        <v>0</v>
      </c>
      <c r="EZ111" s="16">
        <f t="shared" si="915"/>
        <v>1.3118581049015663E-3</v>
      </c>
      <c r="FB111" s="14">
        <f t="shared" si="760"/>
        <v>-6.34433027974063</v>
      </c>
      <c r="FC111" s="4">
        <f t="shared" si="761"/>
        <v>1.2154636822677556</v>
      </c>
      <c r="FD111" s="4">
        <f t="shared" si="762"/>
        <v>1.6226277910612108</v>
      </c>
      <c r="FE111" s="4">
        <f t="shared" si="763"/>
        <v>1.6226277910612108</v>
      </c>
      <c r="FG111" s="4">
        <f t="shared" si="764"/>
        <v>2.0164217447379706</v>
      </c>
    </row>
    <row r="112" spans="1:163" x14ac:dyDescent="0.2">
      <c r="A112" s="24" t="s">
        <v>177</v>
      </c>
      <c r="B112" s="60" t="s">
        <v>182</v>
      </c>
      <c r="C112" s="138">
        <v>40.967500000000001</v>
      </c>
      <c r="D112" s="98"/>
      <c r="E112" s="148">
        <f t="shared" si="584"/>
        <v>1.6032195618270417E-2</v>
      </c>
      <c r="F112" s="138">
        <v>0.01</v>
      </c>
      <c r="G112" s="138">
        <v>9.9725000000000001</v>
      </c>
      <c r="H112" s="138">
        <v>0.15</v>
      </c>
      <c r="I112" s="138">
        <v>49.017499999999998</v>
      </c>
      <c r="J112" s="150">
        <f t="shared" si="585"/>
        <v>4.731190437540287E-2</v>
      </c>
      <c r="K112" s="98"/>
      <c r="L112" s="98"/>
      <c r="M112" s="138">
        <v>0.35749999999999993</v>
      </c>
      <c r="N112" s="141">
        <v>84.851365597790362</v>
      </c>
      <c r="O112" s="142">
        <v>338.1362240414781</v>
      </c>
      <c r="P112" s="11"/>
      <c r="Q112" s="140">
        <v>51.707142857142863</v>
      </c>
      <c r="R112" s="140">
        <v>0.49285714285714288</v>
      </c>
      <c r="S112" s="140">
        <v>6.85</v>
      </c>
      <c r="T112" s="140">
        <v>0.92285714285714293</v>
      </c>
      <c r="U112" s="140">
        <v>2.7914285714285714</v>
      </c>
      <c r="V112" s="140">
        <v>9.7142857142857128E-2</v>
      </c>
      <c r="W112" s="140">
        <v>14.995714285714286</v>
      </c>
      <c r="X112" s="140">
        <v>19.727142857142859</v>
      </c>
      <c r="Y112" s="140">
        <v>1.7157142857142857</v>
      </c>
      <c r="Z112" s="100"/>
      <c r="AA112" s="140">
        <v>3.7142857142857144E-2</v>
      </c>
      <c r="AC112" s="139">
        <v>56.403333333333329</v>
      </c>
      <c r="AD112" s="139">
        <v>10.908333333333333</v>
      </c>
      <c r="AE112" s="11"/>
      <c r="AF112" s="83">
        <f t="shared" ref="AF112:AF115" si="932">AD112/151.9892/(AD112/151.9892+AC112/101.9601)</f>
        <v>0.11483994141647913</v>
      </c>
      <c r="AG112" s="22">
        <f t="shared" si="734"/>
        <v>2.842419883860957E-4</v>
      </c>
      <c r="AH112" s="126">
        <f t="shared" si="865"/>
        <v>976.82227462810897</v>
      </c>
      <c r="AI112" s="126">
        <f t="shared" si="735"/>
        <v>976.67232058671379</v>
      </c>
      <c r="AJ112" s="126">
        <f t="shared" si="736"/>
        <v>0.14995404139517632</v>
      </c>
      <c r="AK112" s="12"/>
      <c r="AL112" s="25">
        <f t="shared" si="866"/>
        <v>1.868464313745785</v>
      </c>
      <c r="AN112" s="2">
        <v>15.999000000000001</v>
      </c>
      <c r="AO112" s="2">
        <v>28.085000000000001</v>
      </c>
      <c r="AP112" s="2">
        <v>47.866999999999997</v>
      </c>
      <c r="AQ112" s="2">
        <v>26.9815386</v>
      </c>
      <c r="AR112" s="2">
        <v>51.996099999999998</v>
      </c>
      <c r="AS112" s="2">
        <v>55.844999999999999</v>
      </c>
      <c r="AT112" s="2">
        <v>54.938045000000002</v>
      </c>
      <c r="AU112" s="2">
        <v>24.305</v>
      </c>
      <c r="AV112" s="2">
        <v>40.078000000000003</v>
      </c>
      <c r="AW112" s="2">
        <v>22.989769280000001</v>
      </c>
      <c r="AX112" s="2">
        <v>39.098300000000002</v>
      </c>
      <c r="AY112" s="2">
        <v>58.693399999999997</v>
      </c>
      <c r="BA112" s="2">
        <f>AN112*2+AO112</f>
        <v>60.082999999999998</v>
      </c>
      <c r="BB112" s="2">
        <f>AN112*2+AP112</f>
        <v>79.864999999999995</v>
      </c>
      <c r="BC112" s="2">
        <f>AQ112*2+AN112*3</f>
        <v>101.9600772</v>
      </c>
      <c r="BD112" s="2">
        <f>AR112*2+AN112*3</f>
        <v>151.98919999999998</v>
      </c>
      <c r="BE112" s="2">
        <f>AS112+AN112</f>
        <v>71.843999999999994</v>
      </c>
      <c r="BF112" s="2">
        <f>AT112+AN112</f>
        <v>70.937044999999998</v>
      </c>
      <c r="BG112" s="2">
        <f>AU112+AN112</f>
        <v>40.304000000000002</v>
      </c>
      <c r="BH112" s="2">
        <f>AV112+AN112</f>
        <v>56.077000000000005</v>
      </c>
      <c r="BI112" s="2">
        <f>AW112*2+AN112</f>
        <v>61.978538560000004</v>
      </c>
      <c r="BJ112" s="2">
        <f>AX112*2+AN112</f>
        <v>94.195599999999999</v>
      </c>
      <c r="BK112" s="2">
        <f>AY112+AN112</f>
        <v>74.692399999999992</v>
      </c>
      <c r="BM112" s="2">
        <f t="shared" si="737"/>
        <v>0.68184844298720104</v>
      </c>
      <c r="BN112" s="2">
        <f t="shared" si="738"/>
        <v>0</v>
      </c>
      <c r="BO112" s="2">
        <f t="shared" si="739"/>
        <v>1.5723993212384913E-4</v>
      </c>
      <c r="BP112" s="2">
        <f t="shared" si="740"/>
        <v>6.5794148531606204E-5</v>
      </c>
      <c r="BQ112" s="2">
        <f t="shared" si="741"/>
        <v>0.13880769444908414</v>
      </c>
      <c r="BR112" s="2">
        <f t="shared" si="742"/>
        <v>2.1145510078690198E-3</v>
      </c>
      <c r="BS112" s="2">
        <f t="shared" si="743"/>
        <v>1.2161944223898371</v>
      </c>
      <c r="BT112" s="2">
        <f t="shared" si="744"/>
        <v>8.436953541630769E-4</v>
      </c>
      <c r="BU112" s="2">
        <f t="shared" si="745"/>
        <v>0</v>
      </c>
      <c r="BV112" s="2">
        <f t="shared" si="746"/>
        <v>0</v>
      </c>
      <c r="BW112" s="2">
        <f t="shared" si="747"/>
        <v>4.7862968655445533E-3</v>
      </c>
      <c r="BY112" s="2">
        <f t="shared" si="867"/>
        <v>0.68184844298720104</v>
      </c>
      <c r="BZ112" s="2">
        <f t="shared" si="868"/>
        <v>0</v>
      </c>
      <c r="CA112" s="2">
        <f t="shared" si="869"/>
        <v>3.1447986424769825E-4</v>
      </c>
      <c r="CB112" s="2">
        <f t="shared" si="870"/>
        <v>1.3158829706321241E-4</v>
      </c>
      <c r="CC112" s="2">
        <f t="shared" si="871"/>
        <v>0.13880769444908414</v>
      </c>
      <c r="CD112" s="2">
        <f t="shared" si="872"/>
        <v>2.1145510078690198E-3</v>
      </c>
      <c r="CE112" s="2">
        <f t="shared" si="873"/>
        <v>1.2161944223898371</v>
      </c>
      <c r="CF112" s="2">
        <f t="shared" si="874"/>
        <v>8.436953541630769E-4</v>
      </c>
      <c r="CG112" s="2">
        <f t="shared" si="875"/>
        <v>0</v>
      </c>
      <c r="CH112" s="2">
        <f t="shared" si="876"/>
        <v>0</v>
      </c>
      <c r="CI112" s="2">
        <f>BW112</f>
        <v>4.7862968655445533E-3</v>
      </c>
      <c r="CK112" s="2">
        <f t="shared" si="877"/>
        <v>1.3636968859744021</v>
      </c>
      <c r="CL112" s="2">
        <f t="shared" si="878"/>
        <v>0</v>
      </c>
      <c r="CM112" s="2">
        <f t="shared" si="879"/>
        <v>4.7171979637154738E-4</v>
      </c>
      <c r="CN112" s="2">
        <f t="shared" si="880"/>
        <v>1.973824455948186E-4</v>
      </c>
      <c r="CO112" s="2">
        <f t="shared" si="881"/>
        <v>0.13880769444908414</v>
      </c>
      <c r="CP112" s="2">
        <f t="shared" si="882"/>
        <v>2.1145510078690198E-3</v>
      </c>
      <c r="CQ112" s="2">
        <f t="shared" si="883"/>
        <v>1.2161944223898371</v>
      </c>
      <c r="CR112" s="2">
        <f t="shared" si="884"/>
        <v>8.436953541630769E-4</v>
      </c>
      <c r="CS112" s="2">
        <f t="shared" si="885"/>
        <v>0</v>
      </c>
      <c r="CT112" s="2">
        <f t="shared" si="886"/>
        <v>0</v>
      </c>
      <c r="CU112" s="2">
        <f t="shared" si="887"/>
        <v>4.7862968655445533E-3</v>
      </c>
      <c r="CW112" s="14">
        <f>SUM(CK112:CU112)</f>
        <v>2.7271126482828665</v>
      </c>
      <c r="CY112" s="14">
        <f>4/CW112</f>
        <v>1.4667527586433258</v>
      </c>
      <c r="DA112" s="16">
        <f t="shared" si="711"/>
        <v>1.0001030847281336</v>
      </c>
      <c r="DB112" s="16">
        <f t="shared" si="712"/>
        <v>0</v>
      </c>
      <c r="DC112" s="16">
        <f t="shared" si="713"/>
        <v>4.6126420842309001E-4</v>
      </c>
      <c r="DD112" s="16">
        <f t="shared" si="714"/>
        <v>1.9300749772264424E-4</v>
      </c>
      <c r="DE112" s="16">
        <f t="shared" si="715"/>
        <v>0.20359656875411403</v>
      </c>
      <c r="DF112" s="16">
        <f t="shared" si="716"/>
        <v>3.1015235240839096E-3</v>
      </c>
      <c r="DG112" s="16">
        <f t="shared" si="717"/>
        <v>1.7838565240869197</v>
      </c>
      <c r="DH112" s="16">
        <f t="shared" si="718"/>
        <v>1.2374924881732507E-3</v>
      </c>
      <c r="DI112" s="16">
        <f t="shared" si="719"/>
        <v>0</v>
      </c>
      <c r="DJ112" s="16">
        <f t="shared" si="720"/>
        <v>0</v>
      </c>
      <c r="DK112" s="16">
        <f t="shared" si="721"/>
        <v>7.0203141312233765E-3</v>
      </c>
      <c r="DL112" s="16">
        <f t="shared" si="748"/>
        <v>0.89755905712316664</v>
      </c>
      <c r="DN112" s="2">
        <f t="shared" si="749"/>
        <v>0.86059522422553569</v>
      </c>
      <c r="DO112" s="2">
        <f t="shared" si="750"/>
        <v>6.1711280643228315E-3</v>
      </c>
      <c r="DP112" s="2">
        <f t="shared" si="751"/>
        <v>6.7183158233230525E-2</v>
      </c>
      <c r="DQ112" s="2">
        <f t="shared" si="752"/>
        <v>6.0718599930596586E-3</v>
      </c>
      <c r="DR112" s="2">
        <f t="shared" si="753"/>
        <v>3.8854024990654358E-2</v>
      </c>
      <c r="DS112" s="2">
        <f t="shared" si="754"/>
        <v>1.3694235098580317E-3</v>
      </c>
      <c r="DT112" s="2">
        <f t="shared" si="755"/>
        <v>0.37206516191232347</v>
      </c>
      <c r="DU112" s="2">
        <f t="shared" si="756"/>
        <v>0.35178670144877322</v>
      </c>
      <c r="DV112" s="2">
        <f t="shared" si="757"/>
        <v>2.7682393382885948E-2</v>
      </c>
      <c r="DW112" s="2">
        <f t="shared" si="758"/>
        <v>0</v>
      </c>
      <c r="DX112" s="2">
        <f t="shared" si="759"/>
        <v>4.9727759642021342E-4</v>
      </c>
      <c r="DZ112" s="2">
        <f t="shared" si="888"/>
        <v>1.7211904484510714</v>
      </c>
      <c r="EA112" s="2">
        <f t="shared" si="889"/>
        <v>1.2342256128645663E-2</v>
      </c>
      <c r="EB112" s="2">
        <f t="shared" si="890"/>
        <v>0.20154947469969159</v>
      </c>
      <c r="EC112" s="2">
        <f t="shared" si="891"/>
        <v>1.8215579979178977E-2</v>
      </c>
      <c r="ED112" s="2">
        <f t="shared" si="892"/>
        <v>3.8854024990654358E-2</v>
      </c>
      <c r="EE112" s="2">
        <f t="shared" si="893"/>
        <v>1.3694235098580317E-3</v>
      </c>
      <c r="EF112" s="2">
        <f t="shared" si="894"/>
        <v>0.37206516191232347</v>
      </c>
      <c r="EG112" s="2">
        <f t="shared" si="895"/>
        <v>0.35178670144877322</v>
      </c>
      <c r="EH112" s="2">
        <f t="shared" si="896"/>
        <v>2.7682393382885948E-2</v>
      </c>
      <c r="EI112" s="2">
        <f t="shared" si="897"/>
        <v>0</v>
      </c>
      <c r="EJ112" s="2">
        <f t="shared" si="898"/>
        <v>4.9727759642021342E-4</v>
      </c>
      <c r="EL112" s="16">
        <f>SUM(DZ112:EJ112)</f>
        <v>2.7455527420995032</v>
      </c>
      <c r="EN112" s="14">
        <f>6/EL112</f>
        <v>2.1853523001025454</v>
      </c>
      <c r="EP112" s="16">
        <f t="shared" si="722"/>
        <v>1.8807037527185402</v>
      </c>
      <c r="EQ112" s="16">
        <f t="shared" si="723"/>
        <v>1.3486088909595269E-2</v>
      </c>
      <c r="ER112" s="16">
        <f t="shared" si="724"/>
        <v>0.29363773874628718</v>
      </c>
      <c r="ES112" s="16">
        <f t="shared" si="725"/>
        <v>2.6538306403467101E-2</v>
      </c>
      <c r="ET112" s="16">
        <f t="shared" si="726"/>
        <v>8.4909732881568278E-2</v>
      </c>
      <c r="EU112" s="16">
        <f t="shared" si="727"/>
        <v>2.9926728170827505E-3</v>
      </c>
      <c r="EV112" s="16">
        <f t="shared" si="728"/>
        <v>0.81309345737312211</v>
      </c>
      <c r="EW112" s="16">
        <f t="shared" si="729"/>
        <v>0.76877787715656398</v>
      </c>
      <c r="EX112" s="16">
        <f t="shared" si="730"/>
        <v>0.12099156410326659</v>
      </c>
      <c r="EY112" s="16">
        <f t="shared" si="731"/>
        <v>0</v>
      </c>
      <c r="EZ112" s="16">
        <f t="shared" si="915"/>
        <v>1.0867267391263787E-3</v>
      </c>
      <c r="FB112" s="14">
        <f t="shared" si="760"/>
        <v>-6.4317149361518755</v>
      </c>
      <c r="FC112" s="4">
        <f t="shared" si="761"/>
        <v>1.0113149513672461</v>
      </c>
      <c r="FD112" s="4">
        <f t="shared" si="762"/>
        <v>1.6099358775900783</v>
      </c>
      <c r="FE112" s="4">
        <f t="shared" si="763"/>
        <v>1.6099358775900783</v>
      </c>
      <c r="FG112" s="4">
        <f t="shared" si="764"/>
        <v>1.868464313745785</v>
      </c>
    </row>
    <row r="113" spans="1:163" x14ac:dyDescent="0.2">
      <c r="A113" s="24" t="s">
        <v>178</v>
      </c>
      <c r="B113" s="60" t="s">
        <v>182</v>
      </c>
      <c r="C113" s="138">
        <v>41.011111111111113</v>
      </c>
      <c r="D113" s="98">
        <v>3.3333333333333331E-3</v>
      </c>
      <c r="E113" s="148">
        <f t="shared" si="584"/>
        <v>1.1487069410579916E-2</v>
      </c>
      <c r="F113" s="138">
        <v>0</v>
      </c>
      <c r="G113" s="138">
        <v>9.6233333333333331</v>
      </c>
      <c r="H113" s="138">
        <v>0.15000000000000002</v>
      </c>
      <c r="I113" s="138">
        <v>49.32</v>
      </c>
      <c r="J113" s="150">
        <f t="shared" si="585"/>
        <v>3.8166518142484167E-2</v>
      </c>
      <c r="K113" s="98"/>
      <c r="L113" s="98"/>
      <c r="M113" s="138">
        <v>0.38666666666666671</v>
      </c>
      <c r="N113" s="141">
        <v>60.796010066989346</v>
      </c>
      <c r="O113" s="142">
        <v>272.77452683176358</v>
      </c>
      <c r="P113" s="11"/>
      <c r="Q113" s="140">
        <v>51.908333333333339</v>
      </c>
      <c r="R113" s="140">
        <v>0.38749999999999996</v>
      </c>
      <c r="S113" s="140">
        <v>6.6516666666666673</v>
      </c>
      <c r="T113" s="140">
        <v>0.97666666666666657</v>
      </c>
      <c r="U113" s="140">
        <v>2.6675000000000004</v>
      </c>
      <c r="V113" s="140">
        <v>8.8333333333333319E-2</v>
      </c>
      <c r="W113" s="140">
        <v>14.988333333333332</v>
      </c>
      <c r="X113" s="140">
        <v>19.845000000000002</v>
      </c>
      <c r="Y113" s="140">
        <v>1.6575</v>
      </c>
      <c r="Z113" s="100"/>
      <c r="AA113" s="140">
        <v>3.666666666666666E-2</v>
      </c>
      <c r="AC113" s="139">
        <v>55.061</v>
      </c>
      <c r="AD113" s="139">
        <v>11.813000000000001</v>
      </c>
      <c r="AE113" s="11"/>
      <c r="AF113" s="83">
        <f t="shared" si="932"/>
        <v>0.12581615515021205</v>
      </c>
      <c r="AG113" s="22">
        <f t="shared" si="734"/>
        <v>2.0862442401300223E-4</v>
      </c>
      <c r="AH113" s="126">
        <f t="shared" si="865"/>
        <v>933.52381914321154</v>
      </c>
      <c r="AI113" s="126">
        <f t="shared" si="735"/>
        <v>933.37347987214548</v>
      </c>
      <c r="AJ113" s="126">
        <f t="shared" si="736"/>
        <v>0.15033927106605915</v>
      </c>
      <c r="AK113" s="12"/>
      <c r="AL113" s="25">
        <f t="shared" si="866"/>
        <v>1.6708634344143463</v>
      </c>
      <c r="AN113" s="2">
        <v>15.999000000000001</v>
      </c>
      <c r="AO113" s="2">
        <v>28.085000000000001</v>
      </c>
      <c r="AP113" s="2">
        <v>47.866999999999997</v>
      </c>
      <c r="AQ113" s="2">
        <v>26.9815386</v>
      </c>
      <c r="AR113" s="2">
        <v>51.996099999999998</v>
      </c>
      <c r="AS113" s="2">
        <v>55.844999999999999</v>
      </c>
      <c r="AT113" s="2">
        <v>54.938045000000002</v>
      </c>
      <c r="AU113" s="2">
        <v>24.305</v>
      </c>
      <c r="AV113" s="2">
        <v>40.078000000000003</v>
      </c>
      <c r="AW113" s="2">
        <v>22.989769280000001</v>
      </c>
      <c r="AX113" s="2">
        <v>39.098300000000002</v>
      </c>
      <c r="AY113" s="2">
        <v>58.693399999999997</v>
      </c>
      <c r="BA113" s="2">
        <f>AN113*2+AO113</f>
        <v>60.082999999999998</v>
      </c>
      <c r="BB113" s="2">
        <f>AN113*2+AP113</f>
        <v>79.864999999999995</v>
      </c>
      <c r="BC113" s="2">
        <f>AQ113*2+AN113*3</f>
        <v>101.9600772</v>
      </c>
      <c r="BD113" s="2">
        <f>AR113*2+AN113*3</f>
        <v>151.98919999999998</v>
      </c>
      <c r="BE113" s="2">
        <f>AS113+AN113</f>
        <v>71.843999999999994</v>
      </c>
      <c r="BF113" s="2">
        <f>AT113+AN113</f>
        <v>70.937044999999998</v>
      </c>
      <c r="BG113" s="2">
        <f>AU113+AN113</f>
        <v>40.304000000000002</v>
      </c>
      <c r="BH113" s="2">
        <f>AV113+AN113</f>
        <v>56.077000000000005</v>
      </c>
      <c r="BI113" s="2">
        <f>AW113*2+AN113</f>
        <v>61.978538560000004</v>
      </c>
      <c r="BJ113" s="2">
        <f>AX113*2+AN113</f>
        <v>94.195599999999999</v>
      </c>
      <c r="BK113" s="2">
        <f>AY113+AN113</f>
        <v>74.692399999999992</v>
      </c>
      <c r="BM113" s="2">
        <f t="shared" si="737"/>
        <v>0.68257429074964826</v>
      </c>
      <c r="BN113" s="2">
        <f t="shared" si="738"/>
        <v>4.1737098019574699E-5</v>
      </c>
      <c r="BO113" s="2">
        <f t="shared" si="739"/>
        <v>1.1266242362731279E-4</v>
      </c>
      <c r="BP113" s="2">
        <f t="shared" si="740"/>
        <v>0</v>
      </c>
      <c r="BQ113" s="2">
        <f t="shared" si="741"/>
        <v>0.13394762726648479</v>
      </c>
      <c r="BR113" s="2">
        <f t="shared" si="742"/>
        <v>2.1145510078690202E-3</v>
      </c>
      <c r="BS113" s="2">
        <f t="shared" si="743"/>
        <v>1.2236998809051209</v>
      </c>
      <c r="BT113" s="2">
        <f t="shared" si="744"/>
        <v>6.8060912927731801E-4</v>
      </c>
      <c r="BU113" s="2">
        <f t="shared" si="745"/>
        <v>0</v>
      </c>
      <c r="BV113" s="2">
        <f t="shared" si="746"/>
        <v>0</v>
      </c>
      <c r="BW113" s="2">
        <f t="shared" si="747"/>
        <v>5.1767872858104269E-3</v>
      </c>
      <c r="BY113" s="2">
        <f t="shared" si="867"/>
        <v>0.68257429074964826</v>
      </c>
      <c r="BZ113" s="2">
        <f t="shared" si="868"/>
        <v>4.1737098019574699E-5</v>
      </c>
      <c r="CA113" s="2">
        <f t="shared" si="869"/>
        <v>2.2532484725462559E-4</v>
      </c>
      <c r="CB113" s="2">
        <f t="shared" si="870"/>
        <v>0</v>
      </c>
      <c r="CC113" s="2">
        <f t="shared" si="871"/>
        <v>0.13394762726648479</v>
      </c>
      <c r="CD113" s="2">
        <f t="shared" si="872"/>
        <v>2.1145510078690202E-3</v>
      </c>
      <c r="CE113" s="2">
        <f t="shared" si="873"/>
        <v>1.2236998809051209</v>
      </c>
      <c r="CF113" s="2">
        <f t="shared" si="874"/>
        <v>6.8060912927731801E-4</v>
      </c>
      <c r="CG113" s="2">
        <f t="shared" si="875"/>
        <v>0</v>
      </c>
      <c r="CH113" s="2">
        <f t="shared" si="876"/>
        <v>0</v>
      </c>
      <c r="CI113" s="2">
        <f>BW113</f>
        <v>5.1767872858104269E-3</v>
      </c>
      <c r="CK113" s="2">
        <f t="shared" si="877"/>
        <v>1.3651485814992965</v>
      </c>
      <c r="CL113" s="2">
        <f t="shared" si="878"/>
        <v>8.3474196039149399E-5</v>
      </c>
      <c r="CM113" s="2">
        <f t="shared" si="879"/>
        <v>3.379872708819384E-4</v>
      </c>
      <c r="CN113" s="2">
        <f t="shared" si="880"/>
        <v>0</v>
      </c>
      <c r="CO113" s="2">
        <f t="shared" si="881"/>
        <v>0.13394762726648479</v>
      </c>
      <c r="CP113" s="2">
        <f t="shared" si="882"/>
        <v>2.1145510078690202E-3</v>
      </c>
      <c r="CQ113" s="2">
        <f t="shared" si="883"/>
        <v>1.2236998809051209</v>
      </c>
      <c r="CR113" s="2">
        <f t="shared" si="884"/>
        <v>6.8060912927731801E-4</v>
      </c>
      <c r="CS113" s="2">
        <f t="shared" si="885"/>
        <v>0</v>
      </c>
      <c r="CT113" s="2">
        <f t="shared" si="886"/>
        <v>0</v>
      </c>
      <c r="CU113" s="2">
        <f t="shared" si="887"/>
        <v>5.1767872858104269E-3</v>
      </c>
      <c r="CW113" s="14">
        <f>SUM(CK113:CU113)</f>
        <v>2.7311894985607803</v>
      </c>
      <c r="CY113" s="14">
        <f>4/CW113</f>
        <v>1.464563334806255</v>
      </c>
      <c r="DA113" s="16">
        <f t="shared" si="711"/>
        <v>0.99967327951331919</v>
      </c>
      <c r="DB113" s="16">
        <f t="shared" si="712"/>
        <v>6.1126623460683861E-5</v>
      </c>
      <c r="DC113" s="16">
        <f t="shared" si="713"/>
        <v>3.3000250970994447E-4</v>
      </c>
      <c r="DD113" s="16">
        <f t="shared" si="714"/>
        <v>0</v>
      </c>
      <c r="DE113" s="16">
        <f t="shared" si="715"/>
        <v>0.19617478367878821</v>
      </c>
      <c r="DF113" s="16">
        <f t="shared" si="716"/>
        <v>3.0968938757025798E-3</v>
      </c>
      <c r="DG113" s="16">
        <f t="shared" si="717"/>
        <v>1.792185978380421</v>
      </c>
      <c r="DH113" s="16">
        <f t="shared" si="718"/>
        <v>9.9679517607397048E-4</v>
      </c>
      <c r="DI113" s="16">
        <f t="shared" si="719"/>
        <v>0</v>
      </c>
      <c r="DJ113" s="16">
        <f t="shared" si="720"/>
        <v>0</v>
      </c>
      <c r="DK113" s="16">
        <f t="shared" si="721"/>
        <v>7.5817328508891403E-3</v>
      </c>
      <c r="DL113" s="16">
        <f t="shared" si="748"/>
        <v>0.90133843544788961</v>
      </c>
      <c r="DN113" s="2">
        <f t="shared" si="749"/>
        <v>0.86394376667831729</v>
      </c>
      <c r="DO113" s="2">
        <f t="shared" si="750"/>
        <v>4.8519376447755582E-3</v>
      </c>
      <c r="DP113" s="2">
        <f t="shared" si="751"/>
        <v>6.5237952435236751E-2</v>
      </c>
      <c r="DQ113" s="2">
        <f t="shared" si="752"/>
        <v>6.4258951732535383E-3</v>
      </c>
      <c r="DR113" s="2">
        <f t="shared" si="753"/>
        <v>3.7129057402149113E-2</v>
      </c>
      <c r="DS113" s="2">
        <f t="shared" si="754"/>
        <v>1.2452355935228671E-3</v>
      </c>
      <c r="DT113" s="2">
        <f t="shared" si="755"/>
        <v>0.3718820299060473</v>
      </c>
      <c r="DU113" s="2">
        <f t="shared" si="756"/>
        <v>0.35388840344526279</v>
      </c>
      <c r="DV113" s="2">
        <f t="shared" si="757"/>
        <v>2.6743128161942898E-2</v>
      </c>
      <c r="DW113" s="2">
        <f t="shared" si="758"/>
        <v>0</v>
      </c>
      <c r="DX113" s="2">
        <f t="shared" si="759"/>
        <v>4.9090224261995417E-4</v>
      </c>
      <c r="DZ113" s="2">
        <f t="shared" si="888"/>
        <v>1.7278875333566346</v>
      </c>
      <c r="EA113" s="2">
        <f t="shared" si="889"/>
        <v>9.7038752895511164E-3</v>
      </c>
      <c r="EB113" s="2">
        <f t="shared" si="890"/>
        <v>0.19571385730571025</v>
      </c>
      <c r="EC113" s="2">
        <f t="shared" si="891"/>
        <v>1.9277685519760616E-2</v>
      </c>
      <c r="ED113" s="2">
        <f t="shared" si="892"/>
        <v>3.7129057402149113E-2</v>
      </c>
      <c r="EE113" s="2">
        <f t="shared" si="893"/>
        <v>1.2452355935228671E-3</v>
      </c>
      <c r="EF113" s="2">
        <f t="shared" si="894"/>
        <v>0.3718820299060473</v>
      </c>
      <c r="EG113" s="2">
        <f t="shared" si="895"/>
        <v>0.35388840344526279</v>
      </c>
      <c r="EH113" s="2">
        <f t="shared" si="896"/>
        <v>2.6743128161942898E-2</v>
      </c>
      <c r="EI113" s="2">
        <f t="shared" si="897"/>
        <v>0</v>
      </c>
      <c r="EJ113" s="2">
        <f t="shared" si="898"/>
        <v>4.9090224261995417E-4</v>
      </c>
      <c r="EL113" s="16">
        <f>SUM(DZ113:EJ113)</f>
        <v>2.7439617082232015</v>
      </c>
      <c r="EN113" s="14">
        <f>6/EL113</f>
        <v>2.1866194349647765</v>
      </c>
      <c r="EP113" s="16">
        <f t="shared" si="722"/>
        <v>1.889116230935483</v>
      </c>
      <c r="EQ113" s="16">
        <f t="shared" si="723"/>
        <v>1.0609341151303459E-2</v>
      </c>
      <c r="ER113" s="16">
        <f t="shared" si="724"/>
        <v>0.28530114938439272</v>
      </c>
      <c r="ES113" s="16">
        <f t="shared" si="725"/>
        <v>2.8101974545765074E-2</v>
      </c>
      <c r="ET113" s="16">
        <f t="shared" si="726"/>
        <v>8.1187118517462048E-2</v>
      </c>
      <c r="EU113" s="16">
        <f t="shared" si="727"/>
        <v>2.7228563499069997E-3</v>
      </c>
      <c r="EV113" s="16">
        <f t="shared" si="728"/>
        <v>0.81316447410671522</v>
      </c>
      <c r="EW113" s="16">
        <f t="shared" si="729"/>
        <v>0.77381926078206742</v>
      </c>
      <c r="EX113" s="16">
        <f t="shared" si="730"/>
        <v>0.11695408758131637</v>
      </c>
      <c r="EY113" s="16">
        <f t="shared" si="731"/>
        <v>0</v>
      </c>
      <c r="EZ113" s="16">
        <f t="shared" si="915"/>
        <v>1.0734163843805857E-3</v>
      </c>
      <c r="FB113" s="14">
        <f t="shared" si="760"/>
        <v>-6.6545483034926178</v>
      </c>
      <c r="FC113" s="4">
        <f t="shared" si="761"/>
        <v>0.71605341798912048</v>
      </c>
      <c r="FD113" s="4">
        <f t="shared" si="762"/>
        <v>1.7146264938208891</v>
      </c>
      <c r="FE113" s="4">
        <f t="shared" si="763"/>
        <v>1.7146264938208891</v>
      </c>
      <c r="FG113" s="4">
        <f t="shared" si="764"/>
        <v>1.6708634344143463</v>
      </c>
    </row>
    <row r="114" spans="1:163" x14ac:dyDescent="0.2">
      <c r="A114" s="24" t="s">
        <v>179</v>
      </c>
      <c r="B114" s="60" t="s">
        <v>182</v>
      </c>
      <c r="C114" s="138">
        <v>41.002499999999998</v>
      </c>
      <c r="D114" s="98"/>
      <c r="E114" s="148">
        <f t="shared" si="584"/>
        <v>2.3924318268848509E-2</v>
      </c>
      <c r="F114" s="138">
        <v>0</v>
      </c>
      <c r="G114" s="138">
        <v>9.8449999999999989</v>
      </c>
      <c r="H114" s="138">
        <v>0.15000000000000002</v>
      </c>
      <c r="I114" s="138">
        <v>49.38</v>
      </c>
      <c r="J114" s="150">
        <f t="shared" si="585"/>
        <v>6.0094988278590049E-2</v>
      </c>
      <c r="K114" s="98"/>
      <c r="L114" s="98"/>
      <c r="M114" s="138">
        <v>0.38</v>
      </c>
      <c r="N114" s="141">
        <v>126.62090236689373</v>
      </c>
      <c r="O114" s="142">
        <v>429.49639606778754</v>
      </c>
      <c r="P114" s="11"/>
      <c r="Q114" s="140">
        <v>51.915999999999997</v>
      </c>
      <c r="R114" s="140">
        <v>0.45599999999999996</v>
      </c>
      <c r="S114" s="140">
        <v>6.8420000000000005</v>
      </c>
      <c r="T114" s="140">
        <v>0.86799999999999999</v>
      </c>
      <c r="U114" s="140">
        <v>2.964</v>
      </c>
      <c r="V114" s="140">
        <v>0.1</v>
      </c>
      <c r="W114" s="140">
        <v>15.406000000000001</v>
      </c>
      <c r="X114" s="140">
        <v>19.115999999999996</v>
      </c>
      <c r="Y114" s="140">
        <v>1.7259999999999998</v>
      </c>
      <c r="Z114" s="100"/>
      <c r="AA114" s="140">
        <v>2.6000000000000002E-2</v>
      </c>
      <c r="AC114" s="139">
        <v>55.405999999999992</v>
      </c>
      <c r="AD114" s="139">
        <v>10.994</v>
      </c>
      <c r="AE114" s="11"/>
      <c r="AF114" s="83">
        <f t="shared" si="932"/>
        <v>0.11747452775498794</v>
      </c>
      <c r="AG114" s="22">
        <f t="shared" si="734"/>
        <v>4.3180013480216062E-4</v>
      </c>
      <c r="AH114" s="126">
        <f t="shared" si="865"/>
        <v>1037.8912604818202</v>
      </c>
      <c r="AI114" s="126">
        <f t="shared" si="735"/>
        <v>1037.7412624012286</v>
      </c>
      <c r="AJ114" s="126">
        <f t="shared" si="736"/>
        <v>0.14999808059155839</v>
      </c>
      <c r="AK114" s="12"/>
      <c r="AL114" s="25">
        <f t="shared" si="866"/>
        <v>2.2123245961810043</v>
      </c>
      <c r="AN114" s="2">
        <v>15.999000000000001</v>
      </c>
      <c r="AO114" s="2">
        <v>28.085000000000001</v>
      </c>
      <c r="AP114" s="2">
        <v>47.866999999999997</v>
      </c>
      <c r="AQ114" s="2">
        <v>26.9815386</v>
      </c>
      <c r="AR114" s="2">
        <v>51.996099999999998</v>
      </c>
      <c r="AS114" s="2">
        <v>55.844999999999999</v>
      </c>
      <c r="AT114" s="2">
        <v>54.938045000000002</v>
      </c>
      <c r="AU114" s="2">
        <v>24.305</v>
      </c>
      <c r="AV114" s="2">
        <v>40.078000000000003</v>
      </c>
      <c r="AW114" s="2">
        <v>22.989769280000001</v>
      </c>
      <c r="AX114" s="2">
        <v>39.098300000000002</v>
      </c>
      <c r="AY114" s="2">
        <v>58.693399999999997</v>
      </c>
      <c r="BA114" s="2">
        <f>AN114*2+AO114</f>
        <v>60.082999999999998</v>
      </c>
      <c r="BB114" s="2">
        <f>AN114*2+AP114</f>
        <v>79.864999999999995</v>
      </c>
      <c r="BC114" s="2">
        <f>AQ114*2+AN114*3</f>
        <v>101.9600772</v>
      </c>
      <c r="BD114" s="2">
        <f>AR114*2+AN114*3</f>
        <v>151.98919999999998</v>
      </c>
      <c r="BE114" s="2">
        <f>AS114+AN114</f>
        <v>71.843999999999994</v>
      </c>
      <c r="BF114" s="2">
        <f>AT114+AN114</f>
        <v>70.937044999999998</v>
      </c>
      <c r="BG114" s="2">
        <f>AU114+AN114</f>
        <v>40.304000000000002</v>
      </c>
      <c r="BH114" s="2">
        <f>AV114+AN114</f>
        <v>56.077000000000005</v>
      </c>
      <c r="BI114" s="2">
        <f>AW114*2+AN114</f>
        <v>61.978538560000004</v>
      </c>
      <c r="BJ114" s="2">
        <f>AX114*2+AN114</f>
        <v>94.195599999999999</v>
      </c>
      <c r="BK114" s="2">
        <f>AY114+AN114</f>
        <v>74.692399999999992</v>
      </c>
      <c r="BM114" s="2">
        <f t="shared" si="737"/>
        <v>0.68243097049082102</v>
      </c>
      <c r="BN114" s="2">
        <f t="shared" si="738"/>
        <v>0</v>
      </c>
      <c r="BO114" s="2">
        <f t="shared" si="739"/>
        <v>2.3464397954426529E-4</v>
      </c>
      <c r="BP114" s="2">
        <f t="shared" si="740"/>
        <v>0</v>
      </c>
      <c r="BQ114" s="2">
        <f t="shared" si="741"/>
        <v>0.13703301597906575</v>
      </c>
      <c r="BR114" s="2">
        <f t="shared" si="742"/>
        <v>2.1145510078690202E-3</v>
      </c>
      <c r="BS114" s="2">
        <f t="shared" si="743"/>
        <v>1.2251885668916236</v>
      </c>
      <c r="BT114" s="2">
        <f t="shared" si="744"/>
        <v>1.0716512701925932E-3</v>
      </c>
      <c r="BU114" s="2">
        <f t="shared" si="745"/>
        <v>0</v>
      </c>
      <c r="BV114" s="2">
        <f t="shared" si="746"/>
        <v>0</v>
      </c>
      <c r="BW114" s="2">
        <f t="shared" si="747"/>
        <v>5.0875323326067985E-3</v>
      </c>
      <c r="BY114" s="2">
        <f t="shared" si="867"/>
        <v>0.68243097049082102</v>
      </c>
      <c r="BZ114" s="2">
        <f t="shared" si="868"/>
        <v>0</v>
      </c>
      <c r="CA114" s="2">
        <f t="shared" si="869"/>
        <v>4.6928795908853058E-4</v>
      </c>
      <c r="CB114" s="2">
        <f t="shared" si="870"/>
        <v>0</v>
      </c>
      <c r="CC114" s="2">
        <f t="shared" si="871"/>
        <v>0.13703301597906575</v>
      </c>
      <c r="CD114" s="2">
        <f t="shared" si="872"/>
        <v>2.1145510078690202E-3</v>
      </c>
      <c r="CE114" s="2">
        <f t="shared" si="873"/>
        <v>1.2251885668916236</v>
      </c>
      <c r="CF114" s="2">
        <f t="shared" si="874"/>
        <v>1.0716512701925932E-3</v>
      </c>
      <c r="CG114" s="2">
        <f t="shared" si="875"/>
        <v>0</v>
      </c>
      <c r="CH114" s="2">
        <f t="shared" si="876"/>
        <v>0</v>
      </c>
      <c r="CI114" s="2">
        <f>BW114</f>
        <v>5.0875323326067985E-3</v>
      </c>
      <c r="CK114" s="2">
        <f t="shared" si="877"/>
        <v>1.364861940981642</v>
      </c>
      <c r="CL114" s="2">
        <f t="shared" si="878"/>
        <v>0</v>
      </c>
      <c r="CM114" s="2">
        <f t="shared" si="879"/>
        <v>7.0393193863279593E-4</v>
      </c>
      <c r="CN114" s="2">
        <f t="shared" si="880"/>
        <v>0</v>
      </c>
      <c r="CO114" s="2">
        <f t="shared" si="881"/>
        <v>0.13703301597906575</v>
      </c>
      <c r="CP114" s="2">
        <f t="shared" si="882"/>
        <v>2.1145510078690202E-3</v>
      </c>
      <c r="CQ114" s="2">
        <f t="shared" si="883"/>
        <v>1.2251885668916236</v>
      </c>
      <c r="CR114" s="2">
        <f t="shared" si="884"/>
        <v>1.0716512701925932E-3</v>
      </c>
      <c r="CS114" s="2">
        <f t="shared" si="885"/>
        <v>0</v>
      </c>
      <c r="CT114" s="2">
        <f t="shared" si="886"/>
        <v>0</v>
      </c>
      <c r="CU114" s="2">
        <f t="shared" si="887"/>
        <v>5.0875323326067985E-3</v>
      </c>
      <c r="CW114" s="14">
        <f>SUM(CK114:CU114)</f>
        <v>2.736061190401633</v>
      </c>
      <c r="CY114" s="14">
        <f>4/CW114</f>
        <v>1.4619556075837727</v>
      </c>
      <c r="DA114" s="16">
        <f t="shared" si="711"/>
        <v>0.99768378409789193</v>
      </c>
      <c r="DB114" s="16">
        <f t="shared" si="712"/>
        <v>0</v>
      </c>
      <c r="DC114" s="16">
        <f t="shared" si="713"/>
        <v>6.8607816336102145E-4</v>
      </c>
      <c r="DD114" s="16">
        <f t="shared" si="714"/>
        <v>0</v>
      </c>
      <c r="DE114" s="16">
        <f t="shared" si="715"/>
        <v>0.20033618613471191</v>
      </c>
      <c r="DF114" s="16">
        <f t="shared" si="716"/>
        <v>3.0913797034760326E-3</v>
      </c>
      <c r="DG114" s="16">
        <f t="shared" si="717"/>
        <v>1.7911712957147354</v>
      </c>
      <c r="DH114" s="16">
        <f t="shared" si="718"/>
        <v>1.5667065838323344E-3</v>
      </c>
      <c r="DI114" s="16">
        <f t="shared" si="719"/>
        <v>0</v>
      </c>
      <c r="DJ114" s="16">
        <f t="shared" si="720"/>
        <v>0</v>
      </c>
      <c r="DK114" s="16">
        <f t="shared" si="721"/>
        <v>7.4377464224182604E-3</v>
      </c>
      <c r="DL114" s="16">
        <f t="shared" si="748"/>
        <v>0.89940475345406867</v>
      </c>
      <c r="DN114" s="2">
        <f t="shared" si="749"/>
        <v>0.86407136794101491</v>
      </c>
      <c r="DO114" s="2">
        <f t="shared" si="750"/>
        <v>5.7096350090778186E-3</v>
      </c>
      <c r="DP114" s="2">
        <f t="shared" si="751"/>
        <v>6.7104696150622381E-2</v>
      </c>
      <c r="DQ114" s="2">
        <f t="shared" si="752"/>
        <v>5.7109320925434184E-3</v>
      </c>
      <c r="DR114" s="2">
        <f t="shared" si="753"/>
        <v>4.1256054785368299E-2</v>
      </c>
      <c r="DS114" s="2">
        <f t="shared" si="754"/>
        <v>1.4097006719126799E-3</v>
      </c>
      <c r="DT114" s="2">
        <f t="shared" si="755"/>
        <v>0.3822449384676459</v>
      </c>
      <c r="DU114" s="2">
        <f t="shared" si="756"/>
        <v>0.34088842127788566</v>
      </c>
      <c r="DV114" s="2">
        <f t="shared" si="757"/>
        <v>2.7848349446463611E-2</v>
      </c>
      <c r="DW114" s="2">
        <f t="shared" si="758"/>
        <v>0</v>
      </c>
      <c r="DX114" s="2">
        <f t="shared" si="759"/>
        <v>3.4809431749414942E-4</v>
      </c>
      <c r="DZ114" s="2">
        <f t="shared" si="888"/>
        <v>1.7281427358820298</v>
      </c>
      <c r="EA114" s="2">
        <f t="shared" si="889"/>
        <v>1.1419270018155637E-2</v>
      </c>
      <c r="EB114" s="2">
        <f t="shared" si="890"/>
        <v>0.20131408845186716</v>
      </c>
      <c r="EC114" s="2">
        <f t="shared" si="891"/>
        <v>1.7132796277630254E-2</v>
      </c>
      <c r="ED114" s="2">
        <f t="shared" si="892"/>
        <v>4.1256054785368299E-2</v>
      </c>
      <c r="EE114" s="2">
        <f t="shared" si="893"/>
        <v>1.4097006719126799E-3</v>
      </c>
      <c r="EF114" s="2">
        <f t="shared" si="894"/>
        <v>0.3822449384676459</v>
      </c>
      <c r="EG114" s="2">
        <f t="shared" si="895"/>
        <v>0.34088842127788566</v>
      </c>
      <c r="EH114" s="2">
        <f t="shared" si="896"/>
        <v>2.7848349446463611E-2</v>
      </c>
      <c r="EI114" s="2">
        <f t="shared" si="897"/>
        <v>0</v>
      </c>
      <c r="EJ114" s="2">
        <f t="shared" si="898"/>
        <v>3.4809431749414942E-4</v>
      </c>
      <c r="EL114" s="16">
        <f>SUM(DZ114:EJ114)</f>
        <v>2.7520044495964524</v>
      </c>
      <c r="EN114" s="14">
        <f>6/EL114</f>
        <v>2.1802290330162171</v>
      </c>
      <c r="EP114" s="16">
        <f t="shared" si="722"/>
        <v>1.8838734829830388</v>
      </c>
      <c r="EQ114" s="16">
        <f t="shared" si="723"/>
        <v>1.2448312014717272E-2</v>
      </c>
      <c r="ER114" s="16">
        <f t="shared" si="724"/>
        <v>0.29260721359863701</v>
      </c>
      <c r="ES114" s="16">
        <f t="shared" si="725"/>
        <v>2.4902279907494437E-2</v>
      </c>
      <c r="ET114" s="16">
        <f t="shared" si="726"/>
        <v>8.9947648430767593E-2</v>
      </c>
      <c r="EU114" s="16">
        <f t="shared" si="727"/>
        <v>3.0734703327664936E-3</v>
      </c>
      <c r="EV114" s="16">
        <f t="shared" si="728"/>
        <v>0.83338151257065907</v>
      </c>
      <c r="EW114" s="16">
        <f t="shared" si="729"/>
        <v>0.74321483308910952</v>
      </c>
      <c r="EX114" s="16">
        <f t="shared" si="730"/>
        <v>0.12143155996952212</v>
      </c>
      <c r="EY114" s="16">
        <f t="shared" si="731"/>
        <v>0</v>
      </c>
      <c r="EZ114" s="16">
        <f t="shared" si="915"/>
        <v>7.589253372287095E-4</v>
      </c>
      <c r="FB114" s="14">
        <f t="shared" si="760"/>
        <v>-6.1620094469436113</v>
      </c>
      <c r="FC114" s="4">
        <f t="shared" si="761"/>
        <v>1.4733839525696877</v>
      </c>
      <c r="FD114" s="4">
        <f t="shared" si="762"/>
        <v>1.5226123656529864</v>
      </c>
      <c r="FE114" s="4">
        <f t="shared" si="763"/>
        <v>1.5226123656529864</v>
      </c>
      <c r="FG114" s="4">
        <f t="shared" si="764"/>
        <v>2.2123245961810043</v>
      </c>
    </row>
    <row r="115" spans="1:163" x14ac:dyDescent="0.2">
      <c r="A115" s="40" t="s">
        <v>180</v>
      </c>
      <c r="B115" s="61" t="s">
        <v>182</v>
      </c>
      <c r="C115" s="143">
        <v>40.9925</v>
      </c>
      <c r="D115" s="101"/>
      <c r="E115" s="149">
        <f t="shared" si="584"/>
        <v>1.1552464974263961E-2</v>
      </c>
      <c r="F115" s="143">
        <v>0</v>
      </c>
      <c r="G115" s="143">
        <v>9.875</v>
      </c>
      <c r="H115" s="143">
        <v>0.15</v>
      </c>
      <c r="I115" s="143">
        <v>49.067499999999995</v>
      </c>
      <c r="J115" s="149">
        <f t="shared" si="585"/>
        <v>3.8378614346050582E-2</v>
      </c>
      <c r="K115" s="101"/>
      <c r="L115" s="101"/>
      <c r="M115" s="143">
        <v>0.37</v>
      </c>
      <c r="N115" s="145">
        <v>61.142120045606681</v>
      </c>
      <c r="O115" s="146">
        <v>274.29036962765758</v>
      </c>
      <c r="P115" s="41"/>
      <c r="Q115" s="144">
        <v>51.935000000000002</v>
      </c>
      <c r="R115" s="144">
        <v>0.40666666666666668</v>
      </c>
      <c r="S115" s="144">
        <v>6.57</v>
      </c>
      <c r="T115" s="144">
        <v>0.8566666666666668</v>
      </c>
      <c r="U115" s="144">
        <v>2.7083333333333335</v>
      </c>
      <c r="V115" s="144">
        <v>8.5000000000000006E-2</v>
      </c>
      <c r="W115" s="144">
        <v>14.97</v>
      </c>
      <c r="X115" s="144">
        <v>20.078333333333333</v>
      </c>
      <c r="Y115" s="144">
        <v>1.5883333333333332</v>
      </c>
      <c r="Z115" s="102"/>
      <c r="AA115" s="144">
        <v>1.8333333333333333E-2</v>
      </c>
      <c r="AB115" s="27"/>
      <c r="AC115" s="144">
        <v>56.898333333333333</v>
      </c>
      <c r="AD115" s="144">
        <v>10.048333333333334</v>
      </c>
      <c r="AE115" s="41"/>
      <c r="AF115" s="84">
        <f t="shared" si="932"/>
        <v>0.10592227215852201</v>
      </c>
      <c r="AG115" s="42">
        <f t="shared" si="734"/>
        <v>2.0303696606691399E-4</v>
      </c>
      <c r="AH115" s="127">
        <f t="shared" si="865"/>
        <v>932.53981691592526</v>
      </c>
      <c r="AI115" s="127">
        <f t="shared" si="735"/>
        <v>932.38981641528972</v>
      </c>
      <c r="AJ115" s="127">
        <f t="shared" si="736"/>
        <v>0.15000050063554227</v>
      </c>
      <c r="AK115" s="43"/>
      <c r="AL115" s="44">
        <f t="shared" si="866"/>
        <v>1.6503615021335716</v>
      </c>
      <c r="AM115" s="27"/>
      <c r="AN115" s="28">
        <v>15.999000000000001</v>
      </c>
      <c r="AO115" s="28">
        <v>28.085000000000001</v>
      </c>
      <c r="AP115" s="28">
        <v>47.866999999999997</v>
      </c>
      <c r="AQ115" s="28">
        <v>26.9815386</v>
      </c>
      <c r="AR115" s="28">
        <v>51.996099999999998</v>
      </c>
      <c r="AS115" s="28">
        <v>55.844999999999999</v>
      </c>
      <c r="AT115" s="28">
        <v>54.938045000000002</v>
      </c>
      <c r="AU115" s="28">
        <v>24.305</v>
      </c>
      <c r="AV115" s="28">
        <v>40.078000000000003</v>
      </c>
      <c r="AW115" s="28">
        <v>22.989769280000001</v>
      </c>
      <c r="AX115" s="28">
        <v>39.098300000000002</v>
      </c>
      <c r="AY115" s="28">
        <v>58.693399999999997</v>
      </c>
      <c r="AZ115" s="27"/>
      <c r="BA115" s="28">
        <f>AN115*2+AO115</f>
        <v>60.082999999999998</v>
      </c>
      <c r="BB115" s="28">
        <f>AN115*2+AP115</f>
        <v>79.864999999999995</v>
      </c>
      <c r="BC115" s="28">
        <f>AQ115*2+AN115*3</f>
        <v>101.9600772</v>
      </c>
      <c r="BD115" s="28">
        <f>AR115*2+AN115*3</f>
        <v>151.98919999999998</v>
      </c>
      <c r="BE115" s="28">
        <f>AS115+AN115</f>
        <v>71.843999999999994</v>
      </c>
      <c r="BF115" s="28">
        <f>AT115+AN115</f>
        <v>70.937044999999998</v>
      </c>
      <c r="BG115" s="28">
        <f>AU115+AN115</f>
        <v>40.304000000000002</v>
      </c>
      <c r="BH115" s="28">
        <f>AV115+AN115</f>
        <v>56.077000000000005</v>
      </c>
      <c r="BI115" s="28">
        <f>AW115*2+AN115</f>
        <v>61.978538560000004</v>
      </c>
      <c r="BJ115" s="28">
        <f>AX115*2+AN115</f>
        <v>94.195599999999999</v>
      </c>
      <c r="BK115" s="28">
        <f>AY115+AN115</f>
        <v>74.692399999999992</v>
      </c>
      <c r="BL115" s="27"/>
      <c r="BM115" s="28">
        <f t="shared" si="737"/>
        <v>0.68226453406121534</v>
      </c>
      <c r="BN115" s="28">
        <f t="shared" si="738"/>
        <v>0</v>
      </c>
      <c r="BO115" s="28">
        <f t="shared" si="739"/>
        <v>1.1330380764231083E-4</v>
      </c>
      <c r="BP115" s="28">
        <f t="shared" si="740"/>
        <v>0</v>
      </c>
      <c r="BQ115" s="28">
        <f t="shared" si="741"/>
        <v>0.13745058738377597</v>
      </c>
      <c r="BR115" s="28">
        <f t="shared" si="742"/>
        <v>2.1145510078690198E-3</v>
      </c>
      <c r="BS115" s="28">
        <f t="shared" si="743"/>
        <v>1.2174349940452558</v>
      </c>
      <c r="BT115" s="28">
        <f t="shared" si="744"/>
        <v>6.8439136091535881E-4</v>
      </c>
      <c r="BU115" s="28">
        <f t="shared" si="745"/>
        <v>0</v>
      </c>
      <c r="BV115" s="28">
        <f t="shared" si="746"/>
        <v>0</v>
      </c>
      <c r="BW115" s="28">
        <f t="shared" si="747"/>
        <v>4.9536499028013563E-3</v>
      </c>
      <c r="BX115" s="27"/>
      <c r="BY115" s="28">
        <f t="shared" si="867"/>
        <v>0.68226453406121534</v>
      </c>
      <c r="BZ115" s="28">
        <f t="shared" si="868"/>
        <v>0</v>
      </c>
      <c r="CA115" s="28">
        <f t="shared" si="869"/>
        <v>2.2660761528462165E-4</v>
      </c>
      <c r="CB115" s="28">
        <f t="shared" si="870"/>
        <v>0</v>
      </c>
      <c r="CC115" s="28">
        <f t="shared" si="871"/>
        <v>0.13745058738377597</v>
      </c>
      <c r="CD115" s="28">
        <f t="shared" si="872"/>
        <v>2.1145510078690198E-3</v>
      </c>
      <c r="CE115" s="28">
        <f t="shared" si="873"/>
        <v>1.2174349940452558</v>
      </c>
      <c r="CF115" s="28">
        <f t="shared" si="874"/>
        <v>6.8439136091535881E-4</v>
      </c>
      <c r="CG115" s="28">
        <f t="shared" si="875"/>
        <v>0</v>
      </c>
      <c r="CH115" s="28">
        <f t="shared" si="876"/>
        <v>0</v>
      </c>
      <c r="CI115" s="28">
        <f>BW115</f>
        <v>4.9536499028013563E-3</v>
      </c>
      <c r="CJ115" s="27"/>
      <c r="CK115" s="28">
        <f t="shared" si="877"/>
        <v>1.3645290681224307</v>
      </c>
      <c r="CL115" s="28">
        <f t="shared" si="878"/>
        <v>0</v>
      </c>
      <c r="CM115" s="28">
        <f t="shared" si="879"/>
        <v>3.3991142292693249E-4</v>
      </c>
      <c r="CN115" s="28">
        <f t="shared" si="880"/>
        <v>0</v>
      </c>
      <c r="CO115" s="28">
        <f t="shared" si="881"/>
        <v>0.13745058738377597</v>
      </c>
      <c r="CP115" s="28">
        <f t="shared" si="882"/>
        <v>2.1145510078690198E-3</v>
      </c>
      <c r="CQ115" s="28">
        <f t="shared" si="883"/>
        <v>1.2174349940452558</v>
      </c>
      <c r="CR115" s="28">
        <f t="shared" si="884"/>
        <v>6.8439136091535881E-4</v>
      </c>
      <c r="CS115" s="28">
        <f t="shared" si="885"/>
        <v>0</v>
      </c>
      <c r="CT115" s="28">
        <f t="shared" si="886"/>
        <v>0</v>
      </c>
      <c r="CU115" s="28">
        <f t="shared" si="887"/>
        <v>4.9536499028013563E-3</v>
      </c>
      <c r="CV115" s="27"/>
      <c r="CW115" s="30">
        <f>SUM(CK115:CU115)</f>
        <v>2.7275071532459751</v>
      </c>
      <c r="CX115" s="27"/>
      <c r="CY115" s="30">
        <f>4/CW115</f>
        <v>1.4665406084232064</v>
      </c>
      <c r="CZ115" s="27"/>
      <c r="DA115" s="29">
        <f t="shared" si="711"/>
        <v>1.0005686448877102</v>
      </c>
      <c r="DB115" s="29">
        <f t="shared" si="712"/>
        <v>0</v>
      </c>
      <c r="DC115" s="29">
        <f t="shared" si="713"/>
        <v>3.3232926999284093E-4</v>
      </c>
      <c r="DD115" s="29">
        <f t="shared" si="714"/>
        <v>0</v>
      </c>
      <c r="DE115" s="29">
        <f t="shared" si="715"/>
        <v>0.20157686804992991</v>
      </c>
      <c r="DF115" s="29">
        <f t="shared" si="716"/>
        <v>3.1010749216221368E-3</v>
      </c>
      <c r="DG115" s="29">
        <f t="shared" si="717"/>
        <v>1.7854178568828321</v>
      </c>
      <c r="DH115" s="29">
        <f t="shared" si="718"/>
        <v>1.0036877228363965E-3</v>
      </c>
      <c r="DI115" s="29">
        <f t="shared" si="719"/>
        <v>0</v>
      </c>
      <c r="DJ115" s="29">
        <f t="shared" si="720"/>
        <v>0</v>
      </c>
      <c r="DK115" s="29">
        <f t="shared" si="721"/>
        <v>7.2647287423698581E-3</v>
      </c>
      <c r="DL115" s="29">
        <f t="shared" si="748"/>
        <v>0.89855188565900646</v>
      </c>
      <c r="DM115" s="27"/>
      <c r="DN115" s="28">
        <f t="shared" si="749"/>
        <v>0.86438759715726587</v>
      </c>
      <c r="DO115" s="28">
        <f t="shared" si="750"/>
        <v>5.0919259583881134E-3</v>
      </c>
      <c r="DP115" s="28">
        <f t="shared" si="751"/>
        <v>6.4436985341945197E-2</v>
      </c>
      <c r="DQ115" s="28">
        <f t="shared" si="752"/>
        <v>5.6363653908742652E-3</v>
      </c>
      <c r="DR115" s="28">
        <f t="shared" si="753"/>
        <v>3.7697418480782438E-2</v>
      </c>
      <c r="DS115" s="28">
        <f t="shared" si="754"/>
        <v>1.1982455711257779E-3</v>
      </c>
      <c r="DT115" s="28">
        <f t="shared" si="755"/>
        <v>0.37142715363239381</v>
      </c>
      <c r="DU115" s="28">
        <f t="shared" si="756"/>
        <v>0.35804934881205008</v>
      </c>
      <c r="DV115" s="28">
        <f t="shared" si="757"/>
        <v>2.5627150465893998E-2</v>
      </c>
      <c r="DW115" s="28">
        <f t="shared" si="758"/>
        <v>0</v>
      </c>
      <c r="DX115" s="28">
        <f t="shared" si="759"/>
        <v>2.4545112130997714E-4</v>
      </c>
      <c r="DY115" s="27"/>
      <c r="DZ115" s="28">
        <f t="shared" si="888"/>
        <v>1.7287751943145317</v>
      </c>
      <c r="EA115" s="28">
        <f t="shared" si="889"/>
        <v>1.0183851916776227E-2</v>
      </c>
      <c r="EB115" s="28">
        <f t="shared" si="890"/>
        <v>0.19331095602583559</v>
      </c>
      <c r="EC115" s="28">
        <f t="shared" si="891"/>
        <v>1.6909096172622796E-2</v>
      </c>
      <c r="ED115" s="28">
        <f t="shared" si="892"/>
        <v>3.7697418480782438E-2</v>
      </c>
      <c r="EE115" s="28">
        <f t="shared" si="893"/>
        <v>1.1982455711257779E-3</v>
      </c>
      <c r="EF115" s="28">
        <f t="shared" si="894"/>
        <v>0.37142715363239381</v>
      </c>
      <c r="EG115" s="28">
        <f t="shared" si="895"/>
        <v>0.35804934881205008</v>
      </c>
      <c r="EH115" s="28">
        <f t="shared" si="896"/>
        <v>2.5627150465893998E-2</v>
      </c>
      <c r="EI115" s="28">
        <f t="shared" si="897"/>
        <v>0</v>
      </c>
      <c r="EJ115" s="28">
        <f t="shared" si="898"/>
        <v>2.4545112130997714E-4</v>
      </c>
      <c r="EK115" s="27"/>
      <c r="EL115" s="29">
        <f>SUM(DZ115:EJ115)</f>
        <v>2.7434238665133228</v>
      </c>
      <c r="EM115" s="27"/>
      <c r="EN115" s="30">
        <f>6/EL115</f>
        <v>2.1870481164930342</v>
      </c>
      <c r="EO115" s="27"/>
      <c r="EP115" s="29">
        <f t="shared" si="722"/>
        <v>1.8904572662827379</v>
      </c>
      <c r="EQ115" s="29">
        <f t="shared" si="723"/>
        <v>1.1136287076614711E-2</v>
      </c>
      <c r="ER115" s="29">
        <f t="shared" si="724"/>
        <v>0.281853574849181</v>
      </c>
      <c r="ES115" s="29">
        <f t="shared" si="725"/>
        <v>2.4654004623956172E-2</v>
      </c>
      <c r="ET115" s="29">
        <f t="shared" si="726"/>
        <v>8.2446068085044927E-2</v>
      </c>
      <c r="EU115" s="29">
        <f t="shared" si="727"/>
        <v>2.6206207194267527E-3</v>
      </c>
      <c r="EV115" s="29">
        <f t="shared" si="728"/>
        <v>0.81232905676609579</v>
      </c>
      <c r="EW115" s="29">
        <f t="shared" si="729"/>
        <v>0.7830711539309515</v>
      </c>
      <c r="EX115" s="29">
        <f t="shared" si="730"/>
        <v>0.1120956223150341</v>
      </c>
      <c r="EY115" s="29">
        <f t="shared" si="731"/>
        <v>0</v>
      </c>
      <c r="EZ115" s="29">
        <f>DX115*$EN115</f>
        <v>5.3681341255208876E-4</v>
      </c>
      <c r="FA115" s="27"/>
      <c r="FB115" s="30">
        <f t="shared" si="760"/>
        <v>-6.6595426254798387</v>
      </c>
      <c r="FC115" s="26">
        <f t="shared" si="761"/>
        <v>0.70879454898799832</v>
      </c>
      <c r="FD115" s="26">
        <f t="shared" si="762"/>
        <v>1.7162800619290786</v>
      </c>
      <c r="FE115" s="26">
        <f t="shared" si="763"/>
        <v>1.7162800619290786</v>
      </c>
      <c r="FF115" s="27"/>
      <c r="FG115" s="26">
        <f t="shared" si="764"/>
        <v>1.6503615021335716</v>
      </c>
    </row>
    <row r="116" spans="1:163" x14ac:dyDescent="0.2">
      <c r="AI116" s="153" t="s">
        <v>199</v>
      </c>
    </row>
    <row r="117" spans="1:163" s="11" customFormat="1" x14ac:dyDescent="0.2">
      <c r="A117" s="62" t="s">
        <v>183</v>
      </c>
      <c r="B117" s="63"/>
      <c r="C117" s="63"/>
      <c r="D117" s="73"/>
      <c r="E117" s="64"/>
      <c r="F117" s="65"/>
      <c r="G117" s="65"/>
      <c r="H117" s="65"/>
      <c r="I117" s="65"/>
      <c r="J117" s="65"/>
      <c r="K117" s="66"/>
      <c r="L117" s="66"/>
      <c r="M117" s="65"/>
      <c r="O117" s="68"/>
      <c r="Z117" s="73"/>
      <c r="AF117" s="87"/>
      <c r="DA117" s="86"/>
      <c r="DB117" s="86"/>
      <c r="DC117" s="86"/>
      <c r="DD117" s="86"/>
      <c r="DE117" s="86"/>
      <c r="DF117" s="86"/>
      <c r="DG117" s="86"/>
      <c r="DH117" s="86"/>
      <c r="DI117" s="86"/>
      <c r="DJ117" s="86"/>
      <c r="DK117" s="86"/>
      <c r="DL117" s="86"/>
      <c r="EP117" s="86"/>
      <c r="EQ117" s="86"/>
      <c r="ER117" s="86"/>
      <c r="ES117" s="86"/>
      <c r="ET117" s="86"/>
      <c r="EU117" s="86"/>
      <c r="EV117" s="86"/>
      <c r="EW117" s="86"/>
      <c r="EX117" s="86"/>
      <c r="EY117" s="86"/>
      <c r="EZ117" s="86"/>
    </row>
    <row r="118" spans="1:163" s="11" customFormat="1" x14ac:dyDescent="0.2">
      <c r="A118" s="11" t="s">
        <v>184</v>
      </c>
      <c r="D118" s="73"/>
      <c r="E118" s="66"/>
      <c r="F118" s="65"/>
      <c r="G118" s="65"/>
      <c r="H118" s="65"/>
      <c r="I118" s="65"/>
      <c r="J118" s="65"/>
      <c r="K118" s="66"/>
      <c r="L118" s="66"/>
      <c r="M118" s="65"/>
      <c r="O118" s="68"/>
      <c r="Z118" s="73"/>
      <c r="AF118" s="87"/>
      <c r="DA118" s="86"/>
      <c r="DB118" s="86"/>
      <c r="DC118" s="86"/>
      <c r="DD118" s="86"/>
      <c r="DE118" s="86"/>
      <c r="DF118" s="86"/>
      <c r="DG118" s="86"/>
      <c r="DH118" s="86"/>
      <c r="DI118" s="86"/>
      <c r="DJ118" s="86"/>
      <c r="DK118" s="86"/>
      <c r="DL118" s="86"/>
      <c r="EP118" s="86"/>
      <c r="EQ118" s="86"/>
      <c r="ER118" s="86"/>
      <c r="ES118" s="86"/>
      <c r="ET118" s="86"/>
      <c r="EU118" s="86"/>
      <c r="EV118" s="86"/>
      <c r="EW118" s="86"/>
      <c r="EX118" s="86"/>
      <c r="EY118" s="86"/>
      <c r="EZ118" s="86"/>
    </row>
    <row r="119" spans="1:163" s="11" customFormat="1" x14ac:dyDescent="0.2">
      <c r="A119" s="11" t="s">
        <v>185</v>
      </c>
      <c r="D119" s="73"/>
      <c r="E119" s="66"/>
      <c r="F119" s="65"/>
      <c r="G119" s="65"/>
      <c r="H119" s="65"/>
      <c r="I119" s="65"/>
      <c r="J119" s="65"/>
      <c r="K119" s="66"/>
      <c r="L119" s="66"/>
      <c r="M119" s="65"/>
      <c r="O119" s="68"/>
      <c r="Z119" s="73"/>
      <c r="AF119" s="87"/>
      <c r="DA119" s="86"/>
      <c r="DB119" s="86"/>
      <c r="DC119" s="86"/>
      <c r="DD119" s="86"/>
      <c r="DE119" s="86"/>
      <c r="DF119" s="86"/>
      <c r="DG119" s="86"/>
      <c r="DH119" s="86"/>
      <c r="DI119" s="86"/>
      <c r="DJ119" s="86"/>
      <c r="DK119" s="86"/>
      <c r="DL119" s="86"/>
      <c r="EP119" s="86"/>
      <c r="EQ119" s="86"/>
      <c r="ER119" s="86"/>
      <c r="ES119" s="86"/>
      <c r="ET119" s="86"/>
      <c r="EU119" s="86"/>
      <c r="EV119" s="86"/>
      <c r="EW119" s="86"/>
      <c r="EX119" s="86"/>
      <c r="EY119" s="86"/>
      <c r="EZ119" s="86"/>
    </row>
    <row r="120" spans="1:163" s="11" customFormat="1" x14ac:dyDescent="0.2">
      <c r="A120" s="11" t="s">
        <v>186</v>
      </c>
      <c r="D120" s="73"/>
      <c r="E120" s="66"/>
      <c r="F120" s="65"/>
      <c r="G120" s="65"/>
      <c r="H120" s="65"/>
      <c r="I120" s="65"/>
      <c r="J120" s="65"/>
      <c r="K120" s="66"/>
      <c r="L120" s="66"/>
      <c r="M120" s="65"/>
      <c r="O120" s="68"/>
      <c r="Z120" s="73"/>
      <c r="AF120" s="87"/>
      <c r="DA120" s="86"/>
      <c r="DB120" s="86"/>
      <c r="DC120" s="86"/>
      <c r="DD120" s="86"/>
      <c r="DE120" s="86"/>
      <c r="DF120" s="86"/>
      <c r="DG120" s="86"/>
      <c r="DH120" s="86"/>
      <c r="DI120" s="86"/>
      <c r="DJ120" s="86"/>
      <c r="DK120" s="86"/>
      <c r="DL120" s="86"/>
      <c r="EP120" s="86"/>
      <c r="EQ120" s="86"/>
      <c r="ER120" s="86"/>
      <c r="ES120" s="86"/>
      <c r="ET120" s="86"/>
      <c r="EU120" s="86"/>
      <c r="EV120" s="86"/>
      <c r="EW120" s="86"/>
      <c r="EX120" s="86"/>
      <c r="EY120" s="86"/>
      <c r="EZ120" s="86"/>
    </row>
    <row r="121" spans="1:163" s="11" customFormat="1" x14ac:dyDescent="0.2">
      <c r="A121" s="11" t="s">
        <v>187</v>
      </c>
      <c r="D121" s="73"/>
      <c r="E121" s="66"/>
      <c r="F121" s="65"/>
      <c r="G121" s="65"/>
      <c r="H121" s="65"/>
      <c r="I121" s="65"/>
      <c r="J121" s="65"/>
      <c r="K121" s="66"/>
      <c r="L121" s="66"/>
      <c r="M121" s="65"/>
      <c r="O121" s="68"/>
      <c r="Z121" s="73"/>
      <c r="AF121" s="87"/>
      <c r="DA121" s="86"/>
      <c r="DB121" s="86"/>
      <c r="DC121" s="86"/>
      <c r="DD121" s="86"/>
      <c r="DE121" s="86"/>
      <c r="DF121" s="86"/>
      <c r="DG121" s="86"/>
      <c r="DH121" s="86"/>
      <c r="DI121" s="86"/>
      <c r="DJ121" s="86"/>
      <c r="DK121" s="86"/>
      <c r="DL121" s="86"/>
      <c r="EP121" s="86"/>
      <c r="EQ121" s="86"/>
      <c r="ER121" s="86"/>
      <c r="ES121" s="86"/>
      <c r="ET121" s="86"/>
      <c r="EU121" s="86"/>
      <c r="EV121" s="86"/>
      <c r="EW121" s="86"/>
      <c r="EX121" s="86"/>
      <c r="EY121" s="86"/>
      <c r="EZ121" s="86"/>
    </row>
    <row r="122" spans="1:163" x14ac:dyDescent="0.2">
      <c r="H122" s="2"/>
    </row>
    <row r="123" spans="1:163" x14ac:dyDescent="0.2">
      <c r="H123" s="2"/>
    </row>
    <row r="124" spans="1:163" x14ac:dyDescent="0.2">
      <c r="H124" s="3"/>
    </row>
  </sheetData>
  <mergeCells count="1">
    <mergeCell ref="A3:AD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Table S6a This study</vt:lpstr>
      <vt:lpstr>Table S6b Comparison</vt:lpstr>
      <vt:lpstr>Table S6c The literature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2023-06-25T02:08:06Z</dcterms:modified>
</cp:coreProperties>
</file>