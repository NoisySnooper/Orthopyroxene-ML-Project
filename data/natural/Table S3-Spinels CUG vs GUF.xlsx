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电脑桌面\SCI-04-Jiaohe\Manuscript#2\For JGR\数据表JGR\"/>
    </mc:Choice>
  </mc:AlternateContent>
  <bookViews>
    <workbookView xWindow="0" yWindow="0" windowWidth="28770" windowHeight="5115"/>
  </bookViews>
  <sheets>
    <sheet name="Table S3a Sec. standards" sheetId="2" r:id="rId1"/>
    <sheet name="Table S3b  std as unknowns" sheetId="3" r:id="rId2"/>
    <sheet name="Table S3c Samples" sheetId="1" r:id="rId3"/>
    <sheet name="Table S3d Corrected Fe3+" sheetId="4" r:id="rId4"/>
  </sheets>
  <definedNames>
    <definedName name="_xlnm._FilterDatabase" localSheetId="2" hidden="1">'Table S3c Samples'!$A$1:$A$210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O17" i="1" l="1"/>
  <c r="C22" i="4"/>
  <c r="D20" i="4"/>
  <c r="D21" i="4"/>
  <c r="D22" i="4"/>
  <c r="C23" i="4"/>
  <c r="D23" i="4"/>
  <c r="B23" i="4"/>
  <c r="B22" i="4"/>
  <c r="D90" i="4"/>
  <c r="D91" i="4"/>
  <c r="D92" i="4"/>
  <c r="D93" i="4"/>
  <c r="D95" i="4"/>
  <c r="C95" i="4"/>
  <c r="B95" i="4"/>
  <c r="D94" i="4"/>
  <c r="C94" i="4"/>
  <c r="B94" i="4"/>
  <c r="D82" i="4"/>
  <c r="D83" i="4"/>
  <c r="D84" i="4"/>
  <c r="D85" i="4"/>
  <c r="D87" i="4"/>
  <c r="C87" i="4"/>
  <c r="B87" i="4"/>
  <c r="D86" i="4"/>
  <c r="C86" i="4"/>
  <c r="B86" i="4"/>
  <c r="D74" i="4"/>
  <c r="D75" i="4"/>
  <c r="D76" i="4"/>
  <c r="D77" i="4"/>
  <c r="D79" i="4"/>
  <c r="C79" i="4"/>
  <c r="B79" i="4"/>
  <c r="D78" i="4"/>
  <c r="C78" i="4"/>
  <c r="B78" i="4"/>
  <c r="D66" i="4"/>
  <c r="D67" i="4"/>
  <c r="D68" i="4"/>
  <c r="D69" i="4"/>
  <c r="D71" i="4"/>
  <c r="C71" i="4"/>
  <c r="B71" i="4"/>
  <c r="D70" i="4"/>
  <c r="C70" i="4"/>
  <c r="B70" i="4"/>
  <c r="D58" i="4"/>
  <c r="D59" i="4"/>
  <c r="D60" i="4"/>
  <c r="D61" i="4"/>
  <c r="D63" i="4"/>
  <c r="C63" i="4"/>
  <c r="B63" i="4"/>
  <c r="D62" i="4"/>
  <c r="C62" i="4"/>
  <c r="B62" i="4"/>
  <c r="D50" i="4"/>
  <c r="D51" i="4"/>
  <c r="D52" i="4"/>
  <c r="D53" i="4"/>
  <c r="D55" i="4"/>
  <c r="C55" i="4"/>
  <c r="B55" i="4"/>
  <c r="D54" i="4"/>
  <c r="C54" i="4"/>
  <c r="B54" i="4"/>
  <c r="D42" i="4"/>
  <c r="D43" i="4"/>
  <c r="D44" i="4"/>
  <c r="D45" i="4"/>
  <c r="D47" i="4"/>
  <c r="C47" i="4"/>
  <c r="B47" i="4"/>
  <c r="D46" i="4"/>
  <c r="C46" i="4"/>
  <c r="B46" i="4"/>
  <c r="D34" i="4"/>
  <c r="D35" i="4"/>
  <c r="D36" i="4"/>
  <c r="D37" i="4"/>
  <c r="D39" i="4"/>
  <c r="C39" i="4"/>
  <c r="B39" i="4"/>
  <c r="D38" i="4"/>
  <c r="C38" i="4"/>
  <c r="B38" i="4"/>
  <c r="D26" i="4"/>
  <c r="D27" i="4"/>
  <c r="D28" i="4"/>
  <c r="D29" i="4"/>
  <c r="D31" i="4"/>
  <c r="C31" i="4"/>
  <c r="B31" i="4"/>
  <c r="D30" i="4"/>
  <c r="C30" i="4"/>
  <c r="B30" i="4"/>
  <c r="D12" i="4"/>
  <c r="D13" i="4"/>
  <c r="D14" i="4"/>
  <c r="D15" i="4"/>
  <c r="D17" i="4"/>
  <c r="C17" i="4"/>
  <c r="B17" i="4"/>
  <c r="D16" i="4"/>
  <c r="C16" i="4"/>
  <c r="B16" i="4"/>
  <c r="C8" i="4"/>
  <c r="D4" i="4"/>
  <c r="D5" i="4"/>
  <c r="D6" i="4"/>
  <c r="D7" i="4"/>
  <c r="D8" i="4"/>
  <c r="C9" i="4"/>
  <c r="D9" i="4"/>
  <c r="B8" i="4"/>
  <c r="B9" i="4"/>
  <c r="BB178" i="1"/>
  <c r="BB163" i="1"/>
  <c r="BB148" i="1"/>
  <c r="BB133" i="1"/>
  <c r="BB118" i="1"/>
  <c r="BB103" i="1"/>
  <c r="BB88" i="1"/>
  <c r="BB73" i="1"/>
  <c r="BB58" i="1"/>
  <c r="BB32" i="1"/>
  <c r="BB17" i="1"/>
  <c r="AN178" i="1"/>
  <c r="AN163" i="1"/>
  <c r="AN148" i="1"/>
  <c r="AN133" i="1"/>
  <c r="AN118" i="1"/>
  <c r="AN103" i="1"/>
  <c r="AN88" i="1"/>
  <c r="AN73" i="1"/>
  <c r="AN58" i="1"/>
  <c r="AN32" i="1"/>
  <c r="AN17" i="1"/>
  <c r="Z178" i="1"/>
  <c r="Z163" i="1"/>
  <c r="Z148" i="1"/>
  <c r="Z133" i="1"/>
  <c r="Z118" i="1"/>
  <c r="Z103" i="1"/>
  <c r="Z88" i="1"/>
  <c r="Z73" i="1"/>
  <c r="Z58" i="1"/>
  <c r="L178" i="1"/>
  <c r="L163" i="1"/>
  <c r="L148" i="1"/>
  <c r="L133" i="1"/>
  <c r="L118" i="1"/>
  <c r="L103" i="1"/>
  <c r="L88" i="1"/>
  <c r="L73" i="1"/>
  <c r="L58" i="1"/>
  <c r="L32" i="1"/>
  <c r="L17" i="1"/>
  <c r="L43" i="1"/>
  <c r="BB43" i="1"/>
  <c r="AN43" i="1"/>
  <c r="Z43" i="1"/>
  <c r="Z32" i="1"/>
  <c r="Z17" i="1"/>
  <c r="BF16" i="1"/>
  <c r="BG163" i="1"/>
  <c r="BF163" i="1"/>
  <c r="BH166" i="1"/>
  <c r="BG166" i="1"/>
  <c r="BF166" i="1"/>
  <c r="BH151" i="1"/>
  <c r="BG151" i="1"/>
  <c r="BF151" i="1"/>
  <c r="BH136" i="1"/>
  <c r="BG136" i="1"/>
  <c r="BF136" i="1"/>
  <c r="BH121" i="1"/>
  <c r="BG121" i="1"/>
  <c r="BF121" i="1"/>
  <c r="BH106" i="1"/>
  <c r="BG106" i="1"/>
  <c r="BF106" i="1"/>
  <c r="BH91" i="1"/>
  <c r="BG91" i="1"/>
  <c r="BF91" i="1"/>
  <c r="BH76" i="1"/>
  <c r="BG76" i="1"/>
  <c r="BF76" i="1"/>
  <c r="BH61" i="1"/>
  <c r="BG61" i="1"/>
  <c r="BF61" i="1"/>
  <c r="BH46" i="1"/>
  <c r="BG46" i="1"/>
  <c r="BF46" i="1"/>
  <c r="BH35" i="1"/>
  <c r="BG35" i="1"/>
  <c r="BF35" i="1"/>
  <c r="BH20" i="1"/>
  <c r="BG20" i="1"/>
  <c r="BF20" i="1"/>
  <c r="BG5" i="1"/>
  <c r="BH5" i="1"/>
  <c r="BF5" i="1"/>
  <c r="BJ16" i="1"/>
  <c r="K17" i="1"/>
  <c r="BF31" i="1"/>
  <c r="BF42" i="1"/>
  <c r="BJ42" i="1"/>
  <c r="BF57" i="1"/>
  <c r="BJ57" i="1"/>
  <c r="BF72" i="1"/>
  <c r="BJ72" i="1"/>
  <c r="BF87" i="1"/>
  <c r="BJ87" i="1"/>
  <c r="BF102" i="1"/>
  <c r="BJ102" i="1"/>
  <c r="BF117" i="1"/>
  <c r="BJ117" i="1"/>
  <c r="BF132" i="1"/>
  <c r="BJ132" i="1"/>
  <c r="BF147" i="1"/>
  <c r="BJ147" i="1"/>
  <c r="BF162" i="1"/>
  <c r="BJ162" i="1"/>
  <c r="BF177" i="1"/>
  <c r="BJ177" i="1"/>
  <c r="BH132" i="1"/>
  <c r="BH147" i="1"/>
  <c r="BH162" i="1"/>
  <c r="BH177" i="1"/>
  <c r="BG132" i="1"/>
  <c r="BG147" i="1"/>
  <c r="BG162" i="1"/>
  <c r="BG177" i="1"/>
  <c r="BH16" i="1"/>
  <c r="BH31" i="1"/>
  <c r="BH42" i="1"/>
  <c r="BH57" i="1"/>
  <c r="BH72" i="1"/>
  <c r="BH87" i="1"/>
  <c r="BH102" i="1"/>
  <c r="BH117" i="1"/>
  <c r="BG16" i="1"/>
  <c r="BG31" i="1"/>
  <c r="BG42" i="1"/>
  <c r="BG57" i="1"/>
  <c r="BG72" i="1"/>
  <c r="BG87" i="1"/>
  <c r="BG102" i="1"/>
  <c r="BG117" i="1"/>
  <c r="BH133" i="1"/>
  <c r="BG133" i="1"/>
  <c r="BF133" i="1"/>
  <c r="BH58" i="1"/>
  <c r="BG58" i="1"/>
  <c r="BF58" i="1"/>
  <c r="BH32" i="1"/>
  <c r="BG32" i="1"/>
  <c r="BF32" i="1"/>
  <c r="BH43" i="1"/>
  <c r="BG43" i="1"/>
  <c r="BF43" i="1"/>
  <c r="BH148" i="1"/>
  <c r="BG148" i="1"/>
  <c r="BF148" i="1"/>
  <c r="BH178" i="1"/>
  <c r="BG178" i="1"/>
  <c r="BF178" i="1"/>
  <c r="BH163" i="1"/>
  <c r="BH73" i="1"/>
  <c r="BG73" i="1"/>
  <c r="BF73" i="1"/>
  <c r="BH103" i="1"/>
  <c r="BG103" i="1"/>
  <c r="BF103" i="1"/>
  <c r="BH88" i="1"/>
  <c r="BG88" i="1"/>
  <c r="BF88" i="1"/>
  <c r="BH118" i="1"/>
  <c r="BG118" i="1"/>
  <c r="BF118" i="1"/>
  <c r="BF17" i="1"/>
  <c r="BG17" i="1"/>
  <c r="BH17" i="1"/>
  <c r="BD43" i="1"/>
  <c r="BC43" i="1"/>
  <c r="BA43" i="1"/>
  <c r="AP43" i="1"/>
  <c r="AO43" i="1"/>
  <c r="AM43" i="1"/>
  <c r="AB43" i="1"/>
  <c r="AA43" i="1"/>
  <c r="Y43" i="1"/>
  <c r="BA133" i="1"/>
  <c r="BD133" i="1"/>
  <c r="BC133" i="1"/>
  <c r="AP133" i="1"/>
  <c r="AO133" i="1"/>
  <c r="AM133" i="1"/>
  <c r="AB133" i="1"/>
  <c r="AA133" i="1"/>
  <c r="Y133" i="1"/>
  <c r="BD58" i="1"/>
  <c r="BC58" i="1"/>
  <c r="BA58" i="1"/>
  <c r="AP58" i="1"/>
  <c r="AO58" i="1"/>
  <c r="AM58" i="1"/>
  <c r="AB58" i="1"/>
  <c r="AA58" i="1"/>
  <c r="Y58" i="1"/>
  <c r="BD32" i="1"/>
  <c r="BC32" i="1"/>
  <c r="BA32" i="1"/>
  <c r="AP32" i="1"/>
  <c r="AO32" i="1"/>
  <c r="AM32" i="1"/>
  <c r="AB32" i="1"/>
  <c r="AA32" i="1"/>
  <c r="Y32" i="1"/>
  <c r="BD148" i="1"/>
  <c r="BC148" i="1"/>
  <c r="BA148" i="1"/>
  <c r="AP148" i="1"/>
  <c r="AO148" i="1"/>
  <c r="AM148" i="1"/>
  <c r="AB148" i="1"/>
  <c r="AA148" i="1"/>
  <c r="Y148" i="1"/>
  <c r="BD178" i="1"/>
  <c r="BC178" i="1"/>
  <c r="BA178" i="1"/>
  <c r="AP178" i="1"/>
  <c r="AO178" i="1"/>
  <c r="AM178" i="1"/>
  <c r="AB178" i="1"/>
  <c r="AA178" i="1"/>
  <c r="Y178" i="1"/>
  <c r="BD163" i="1"/>
  <c r="BC163" i="1"/>
  <c r="BA163" i="1"/>
  <c r="AP163" i="1"/>
  <c r="AO163" i="1"/>
  <c r="AM163" i="1"/>
  <c r="AB163" i="1"/>
  <c r="AA163" i="1"/>
  <c r="Y163" i="1"/>
  <c r="BD73" i="1"/>
  <c r="BC73" i="1"/>
  <c r="BA73" i="1"/>
  <c r="AP73" i="1"/>
  <c r="AO73" i="1"/>
  <c r="AM73" i="1"/>
  <c r="AB73" i="1"/>
  <c r="AA73" i="1"/>
  <c r="Y73" i="1"/>
  <c r="BD103" i="1"/>
  <c r="BC103" i="1"/>
  <c r="BA103" i="1"/>
  <c r="AP103" i="1"/>
  <c r="AO103" i="1"/>
  <c r="AM103" i="1"/>
  <c r="AB103" i="1"/>
  <c r="AA103" i="1"/>
  <c r="Y103" i="1"/>
  <c r="BD88" i="1"/>
  <c r="BC88" i="1"/>
  <c r="BA88" i="1"/>
  <c r="AP88" i="1"/>
  <c r="AO88" i="1"/>
  <c r="AM88" i="1"/>
  <c r="AB88" i="1"/>
  <c r="AA88" i="1"/>
  <c r="Y88" i="1"/>
  <c r="BD118" i="1"/>
  <c r="BC118" i="1"/>
  <c r="BA118" i="1"/>
  <c r="AP118" i="1"/>
  <c r="AO118" i="1"/>
  <c r="AM118" i="1"/>
  <c r="AB118" i="1"/>
  <c r="AA118" i="1"/>
  <c r="Y118" i="1"/>
  <c r="BD17" i="1"/>
  <c r="BC17" i="1"/>
  <c r="BA17" i="1"/>
  <c r="AP17" i="1"/>
  <c r="AM17" i="1"/>
  <c r="AB17" i="1"/>
  <c r="AA17" i="1"/>
  <c r="Y17" i="1"/>
  <c r="N133" i="1"/>
  <c r="M133" i="1"/>
  <c r="K133" i="1"/>
  <c r="N58" i="1"/>
  <c r="M58" i="1"/>
  <c r="K58" i="1"/>
  <c r="K32" i="1"/>
  <c r="N32" i="1"/>
  <c r="M32" i="1"/>
  <c r="M43" i="1"/>
  <c r="N43" i="1"/>
  <c r="K43" i="1"/>
  <c r="N148" i="1"/>
  <c r="M148" i="1"/>
  <c r="K148" i="1"/>
  <c r="K178" i="1"/>
  <c r="N178" i="1"/>
  <c r="M178" i="1"/>
  <c r="N163" i="1"/>
  <c r="M163" i="1"/>
  <c r="K163" i="1"/>
  <c r="N73" i="1"/>
  <c r="M73" i="1"/>
  <c r="K73" i="1"/>
  <c r="N103" i="1"/>
  <c r="M103" i="1"/>
  <c r="K103" i="1"/>
  <c r="N88" i="1"/>
  <c r="M88" i="1"/>
  <c r="K88" i="1"/>
  <c r="N118" i="1"/>
  <c r="M118" i="1"/>
  <c r="K118" i="1"/>
  <c r="M17" i="1"/>
  <c r="N17" i="1"/>
  <c r="BG181" i="1"/>
  <c r="BG180" i="1"/>
  <c r="BH180" i="1"/>
  <c r="BH181" i="1"/>
  <c r="BF181" i="1"/>
  <c r="BF183" i="1"/>
  <c r="BF180" i="1"/>
  <c r="BG183" i="1"/>
  <c r="BJ31" i="1"/>
  <c r="BF182" i="1"/>
  <c r="BH182" i="1"/>
  <c r="BG182" i="1"/>
  <c r="BH183" i="1"/>
  <c r="BJ180" i="1"/>
  <c r="BJ183" i="1"/>
  <c r="BJ182" i="1"/>
  <c r="BJ181" i="1"/>
</calcChain>
</file>

<file path=xl/sharedStrings.xml><?xml version="1.0" encoding="utf-8"?>
<sst xmlns="http://schemas.openxmlformats.org/spreadsheetml/2006/main" count="362" uniqueCount="199">
  <si>
    <t>17DSH17 grand avg</t>
  </si>
  <si>
    <t>17DSH09 grand avg</t>
  </si>
  <si>
    <t>17DSH04 grand avg</t>
  </si>
  <si>
    <t>17DSH18 grand avg</t>
  </si>
  <si>
    <t>17DSH20 grand avg</t>
  </si>
  <si>
    <t>17DSH19 grand avg</t>
  </si>
  <si>
    <t>17DSH10 grand avg</t>
  </si>
  <si>
    <t>17DSH13 grand avg</t>
  </si>
  <si>
    <t>17DSH15 grand avg</t>
  </si>
  <si>
    <t>17DSH02 grand avg</t>
  </si>
  <si>
    <t>Sample</t>
  </si>
  <si>
    <r>
      <t>Fe</t>
    </r>
    <r>
      <rPr>
        <vertAlign val="superscript"/>
        <sz val="10"/>
        <color theme="1"/>
        <rFont val="Times New Roman"/>
        <family val="1"/>
      </rPr>
      <t>3+</t>
    </r>
    <r>
      <rPr>
        <sz val="10"/>
        <color theme="1"/>
        <rFont val="Times New Roman"/>
        <family val="1"/>
      </rPr>
      <t>/</t>
    </r>
    <r>
      <rPr>
        <sz val="10"/>
        <color theme="1"/>
        <rFont val="宋体"/>
        <family val="3"/>
        <charset val="134"/>
      </rPr>
      <t>∑</t>
    </r>
    <r>
      <rPr>
        <sz val="10"/>
        <color theme="1"/>
        <rFont val="Times New Roman"/>
        <family val="1"/>
      </rPr>
      <t>Fe</t>
    </r>
  </si>
  <si>
    <r>
      <t>ΔlogƒO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(B)</t>
    </r>
  </si>
  <si>
    <r>
      <t>ΔlogƒO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(W)</t>
    </r>
  </si>
  <si>
    <t>Published</t>
  </si>
  <si>
    <t>Std_chromit (n=6)</t>
  </si>
  <si>
    <r>
      <t>Cr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O</t>
    </r>
    <r>
      <rPr>
        <vertAlign val="subscript"/>
        <sz val="10"/>
        <color theme="1"/>
        <rFont val="Times New Roman"/>
        <family val="1"/>
      </rPr>
      <t>3</t>
    </r>
    <phoneticPr fontId="10" type="noConversion"/>
  </si>
  <si>
    <t>FeO</t>
    <phoneticPr fontId="10" type="noConversion"/>
  </si>
  <si>
    <t>MnO</t>
    <phoneticPr fontId="10" type="noConversion"/>
  </si>
  <si>
    <t>MgO</t>
    <phoneticPr fontId="10" type="noConversion"/>
  </si>
  <si>
    <t>NiO</t>
    <phoneticPr fontId="10" type="noConversion"/>
  </si>
  <si>
    <r>
      <t>TiO</t>
    </r>
    <r>
      <rPr>
        <vertAlign val="subscript"/>
        <sz val="10"/>
        <color theme="1"/>
        <rFont val="Times New Roman"/>
        <family val="1"/>
      </rPr>
      <t>2</t>
    </r>
    <phoneticPr fontId="10" type="noConversion"/>
  </si>
  <si>
    <r>
      <t>SiO</t>
    </r>
    <r>
      <rPr>
        <vertAlign val="subscript"/>
        <sz val="10"/>
        <color theme="1"/>
        <rFont val="Times New Roman"/>
        <family val="1"/>
      </rPr>
      <t>2</t>
    </r>
    <phoneticPr fontId="10" type="noConversion"/>
  </si>
  <si>
    <t>Total</t>
    <phoneticPr fontId="10" type="noConversion"/>
  </si>
  <si>
    <r>
      <t>1</t>
    </r>
    <r>
      <rPr>
        <sz val="10"/>
        <color theme="1"/>
        <rFont val="Verdana"/>
        <family val="2"/>
      </rPr>
      <t>σ</t>
    </r>
    <phoneticPr fontId="10" type="noConversion"/>
  </si>
  <si>
    <r>
      <t>Al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O</t>
    </r>
    <r>
      <rPr>
        <vertAlign val="subscript"/>
        <sz val="10"/>
        <color theme="1"/>
        <rFont val="Times New Roman"/>
        <family val="1"/>
      </rPr>
      <t>3</t>
    </r>
    <phoneticPr fontId="10" type="noConversion"/>
  </si>
  <si>
    <r>
      <t>Cr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O</t>
    </r>
    <r>
      <rPr>
        <vertAlign val="subscript"/>
        <sz val="10"/>
        <color theme="1"/>
        <rFont val="Times New Roman"/>
        <family val="1"/>
      </rPr>
      <t>3</t>
    </r>
    <phoneticPr fontId="10" type="noConversion"/>
  </si>
  <si>
    <r>
      <t>SiO</t>
    </r>
    <r>
      <rPr>
        <vertAlign val="subscript"/>
        <sz val="10"/>
        <color theme="1"/>
        <rFont val="Times New Roman"/>
        <family val="1"/>
      </rPr>
      <t>2</t>
    </r>
    <phoneticPr fontId="10" type="noConversion"/>
  </si>
  <si>
    <r>
      <t>TiO</t>
    </r>
    <r>
      <rPr>
        <vertAlign val="subscript"/>
        <sz val="10"/>
        <color theme="1"/>
        <rFont val="Times New Roman"/>
        <family val="1"/>
      </rPr>
      <t>2</t>
    </r>
    <phoneticPr fontId="10" type="noConversion"/>
  </si>
  <si>
    <t>KLB8311_3 (n=6)</t>
    <phoneticPr fontId="10" type="noConversion"/>
  </si>
  <si>
    <t>KLB8316_3 (n=6)</t>
    <phoneticPr fontId="10" type="noConversion"/>
  </si>
  <si>
    <t>KLB8315_3 (n=6)</t>
    <phoneticPr fontId="10" type="noConversion"/>
  </si>
  <si>
    <t>MO4334_14_3 (n=6)</t>
    <phoneticPr fontId="10" type="noConversion"/>
  </si>
  <si>
    <t>MBR8309_3 (n=6)</t>
    <phoneticPr fontId="10" type="noConversion"/>
  </si>
  <si>
    <t>KLB8305_3 (n=6)</t>
    <phoneticPr fontId="10" type="noConversion"/>
  </si>
  <si>
    <r>
      <t>Std_Mg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SiO</t>
    </r>
    <r>
      <rPr>
        <vertAlign val="subscript"/>
        <sz val="10"/>
        <color theme="1"/>
        <rFont val="Times New Roman"/>
        <family val="1"/>
      </rPr>
      <t>4</t>
    </r>
    <r>
      <rPr>
        <sz val="10"/>
        <color theme="1"/>
        <rFont val="Times New Roman"/>
        <family val="1"/>
      </rPr>
      <t xml:space="preserve"> (n=6)</t>
    </r>
    <phoneticPr fontId="10" type="noConversion"/>
  </si>
  <si>
    <r>
      <t>Std_Al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O</t>
    </r>
    <r>
      <rPr>
        <vertAlign val="subscript"/>
        <sz val="10"/>
        <color theme="1"/>
        <rFont val="Times New Roman"/>
        <family val="1"/>
      </rPr>
      <t>3</t>
    </r>
    <r>
      <rPr>
        <sz val="10"/>
        <color theme="1"/>
        <rFont val="Times New Roman"/>
        <family val="1"/>
      </rPr>
      <t xml:space="preserve"> (n=6)</t>
    </r>
    <phoneticPr fontId="10" type="noConversion"/>
  </si>
  <si>
    <r>
      <t>Std_Fe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O</t>
    </r>
    <r>
      <rPr>
        <vertAlign val="subscript"/>
        <sz val="10"/>
        <color theme="1"/>
        <rFont val="Times New Roman"/>
        <family val="1"/>
      </rPr>
      <t>3</t>
    </r>
    <r>
      <rPr>
        <sz val="10"/>
        <color theme="1"/>
        <rFont val="Times New Roman"/>
        <family val="1"/>
      </rPr>
      <t xml:space="preserve"> (n=6)</t>
    </r>
    <phoneticPr fontId="10" type="noConversion"/>
  </si>
  <si>
    <t xml:space="preserve">No. </t>
    <phoneticPr fontId="10" type="noConversion"/>
  </si>
  <si>
    <r>
      <t>ΔlogƒO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(B)</t>
    </r>
    <phoneticPr fontId="10" type="noConversion"/>
  </si>
  <si>
    <r>
      <t>Fe</t>
    </r>
    <r>
      <rPr>
        <vertAlign val="superscript"/>
        <sz val="10"/>
        <color theme="1"/>
        <rFont val="Times New Roman"/>
        <family val="1"/>
      </rPr>
      <t>3+</t>
    </r>
    <r>
      <rPr>
        <sz val="10"/>
        <color theme="1"/>
        <rFont val="Times New Roman"/>
        <family val="1"/>
      </rPr>
      <t>/</t>
    </r>
    <r>
      <rPr>
        <sz val="10"/>
        <color theme="1"/>
        <rFont val="宋体"/>
        <family val="3"/>
        <charset val="134"/>
      </rPr>
      <t>∑</t>
    </r>
    <r>
      <rPr>
        <sz val="10"/>
        <color theme="1"/>
        <rFont val="Times New Roman"/>
        <family val="1"/>
      </rPr>
      <t>Fe</t>
    </r>
    <phoneticPr fontId="10" type="noConversion"/>
  </si>
  <si>
    <t>17DSH14 grand avg</t>
    <phoneticPr fontId="10" type="noConversion"/>
  </si>
  <si>
    <t>17DSH06 grand avg</t>
    <phoneticPr fontId="10" type="noConversion"/>
  </si>
  <si>
    <r>
      <t>1</t>
    </r>
    <r>
      <rPr>
        <sz val="10"/>
        <color theme="1"/>
        <rFont val="Verdana"/>
        <family val="2"/>
      </rPr>
      <t>σ</t>
    </r>
    <phoneticPr fontId="10" type="noConversion"/>
  </si>
  <si>
    <t>1σ</t>
  </si>
  <si>
    <t>Total</t>
    <phoneticPr fontId="10" type="noConversion"/>
  </si>
  <si>
    <t>17DSH02_1 avg (n=5)</t>
    <phoneticPr fontId="10" type="noConversion"/>
  </si>
  <si>
    <t>17DSH02_2 avg (n=5)</t>
    <phoneticPr fontId="10" type="noConversion"/>
  </si>
  <si>
    <t>17DSH02_3 avg (n=5)</t>
    <phoneticPr fontId="10" type="noConversion"/>
  </si>
  <si>
    <t>17DSH02_4 avg (n=5)</t>
    <phoneticPr fontId="10" type="noConversion"/>
  </si>
  <si>
    <t>17DSH15_1 avg (n=5)</t>
    <phoneticPr fontId="10" type="noConversion"/>
  </si>
  <si>
    <t>17DSH15_2 avg (n=5)</t>
    <phoneticPr fontId="10" type="noConversion"/>
  </si>
  <si>
    <t>17DSH15_3 avg (n=3)</t>
    <phoneticPr fontId="10" type="noConversion"/>
  </si>
  <si>
    <t>17DSH15_4 avg (n=5)</t>
    <phoneticPr fontId="10" type="noConversion"/>
  </si>
  <si>
    <t>17DSH13_1 avg (n=5)</t>
    <phoneticPr fontId="10" type="noConversion"/>
  </si>
  <si>
    <t>17DSH13_2 avg (n=5)</t>
    <phoneticPr fontId="10" type="noConversion"/>
  </si>
  <si>
    <t>17DSH13_3 avg (n=5)</t>
    <phoneticPr fontId="10" type="noConversion"/>
  </si>
  <si>
    <t>17DSH13_4 avg (n=5)</t>
    <phoneticPr fontId="10" type="noConversion"/>
  </si>
  <si>
    <t>17DSH14_1 avg (n=5)</t>
    <phoneticPr fontId="10" type="noConversion"/>
  </si>
  <si>
    <t>17DSH14_2 avg (n=5)</t>
    <phoneticPr fontId="10" type="noConversion"/>
  </si>
  <si>
    <t>17DSH14_3 avg (n=5)</t>
    <phoneticPr fontId="10" type="noConversion"/>
  </si>
  <si>
    <t>17DSH14_4 avg (n=5)</t>
    <phoneticPr fontId="10" type="noConversion"/>
  </si>
  <si>
    <t>17DSH10_1 avg (n=5)</t>
    <phoneticPr fontId="10" type="noConversion"/>
  </si>
  <si>
    <t>17DSH10_2 avg (n=5)</t>
    <phoneticPr fontId="10" type="noConversion"/>
  </si>
  <si>
    <t>17DSH10_3 avg (n=5)</t>
    <phoneticPr fontId="10" type="noConversion"/>
  </si>
  <si>
    <t>17DSH10_4 avg (n=4)</t>
    <phoneticPr fontId="10" type="noConversion"/>
  </si>
  <si>
    <t>17DSH19_1 avg (n=5)</t>
    <phoneticPr fontId="10" type="noConversion"/>
  </si>
  <si>
    <t>17DSH19_2 avg (n=5)</t>
    <phoneticPr fontId="10" type="noConversion"/>
  </si>
  <si>
    <t>17DSH19_3 avg (n=5)</t>
    <phoneticPr fontId="10" type="noConversion"/>
  </si>
  <si>
    <t>17DSH19_4 avg (n=5)</t>
    <phoneticPr fontId="10" type="noConversion"/>
  </si>
  <si>
    <t>17DSH20_1 avg (n=5)</t>
    <phoneticPr fontId="10" type="noConversion"/>
  </si>
  <si>
    <t>17DSH20_2 avg (n=5)</t>
    <phoneticPr fontId="10" type="noConversion"/>
  </si>
  <si>
    <t>17DSH20_3 avg (n=5)</t>
    <phoneticPr fontId="10" type="noConversion"/>
  </si>
  <si>
    <t>17DSH20_4 avg (n=5)</t>
    <phoneticPr fontId="10" type="noConversion"/>
  </si>
  <si>
    <t>17DSH18_1 avg (n=4)</t>
    <phoneticPr fontId="10" type="noConversion"/>
  </si>
  <si>
    <t>17DSH18_2 avg (n=5)</t>
    <phoneticPr fontId="10" type="noConversion"/>
  </si>
  <si>
    <t>17DSH18_3 avg (n=5)</t>
    <phoneticPr fontId="10" type="noConversion"/>
  </si>
  <si>
    <t>17DSH18_4 avg (n=5)</t>
    <phoneticPr fontId="10" type="noConversion"/>
  </si>
  <si>
    <t>17DSH06_1 avg (n=5)</t>
    <phoneticPr fontId="10" type="noConversion"/>
  </si>
  <si>
    <t>17DSH06_4 avg (n=5)</t>
    <phoneticPr fontId="10" type="noConversion"/>
  </si>
  <si>
    <t>17DSH04_1 avg (n=5)</t>
    <phoneticPr fontId="10" type="noConversion"/>
  </si>
  <si>
    <t>17DSH04_2 avg (n=5)</t>
    <phoneticPr fontId="10" type="noConversion"/>
  </si>
  <si>
    <t>17DSH04_3 avg (n=4)</t>
    <phoneticPr fontId="10" type="noConversion"/>
  </si>
  <si>
    <t>17DSH04_4 avg (n=5)</t>
    <phoneticPr fontId="10" type="noConversion"/>
  </si>
  <si>
    <t>17DSH09_1 avg (n=5)</t>
    <phoneticPr fontId="10" type="noConversion"/>
  </si>
  <si>
    <t>17DSH09_2 avg (n=5)</t>
    <phoneticPr fontId="10" type="noConversion"/>
  </si>
  <si>
    <t>17DSH09_3 avg (n=5)</t>
    <phoneticPr fontId="10" type="noConversion"/>
  </si>
  <si>
    <t>17DSH09_4 avg (n=5)</t>
    <phoneticPr fontId="10" type="noConversion"/>
  </si>
  <si>
    <t>17DSH17_1 avg (n=5)</t>
    <phoneticPr fontId="10" type="noConversion"/>
  </si>
  <si>
    <t>17DSH17_2 avg (n=5)</t>
    <phoneticPr fontId="10" type="noConversion"/>
  </si>
  <si>
    <t>17DSH17_3 avg (n=5)</t>
    <phoneticPr fontId="10" type="noConversion"/>
  </si>
  <si>
    <t>17DSH17_4 avg (n=5)</t>
    <phoneticPr fontId="10" type="noConversion"/>
  </si>
  <si>
    <t>1σ</t>
    <phoneticPr fontId="10" type="noConversion"/>
  </si>
  <si>
    <t>MAX</t>
    <phoneticPr fontId="10" type="noConversion"/>
  </si>
  <si>
    <t>MIN</t>
    <phoneticPr fontId="10" type="noConversion"/>
  </si>
  <si>
    <t>harzburgite</t>
    <phoneticPr fontId="10" type="noConversion"/>
  </si>
  <si>
    <t>17DSH04 (lherzolite)</t>
    <phoneticPr fontId="10" type="noConversion"/>
  </si>
  <si>
    <t>17DSH06 (lherzolite)</t>
    <phoneticPr fontId="10" type="noConversion"/>
  </si>
  <si>
    <t>17DSH09 (lherzolite)</t>
    <phoneticPr fontId="10" type="noConversion"/>
  </si>
  <si>
    <t>17DSH10 (lherzolite)</t>
    <phoneticPr fontId="10" type="noConversion"/>
  </si>
  <si>
    <t>17DSH13 (lherzolite)</t>
    <phoneticPr fontId="10" type="noConversion"/>
  </si>
  <si>
    <t>17DSH14 (lherzolite)</t>
    <phoneticPr fontId="10" type="noConversion"/>
  </si>
  <si>
    <t>17DSH15 (lherzolite)</t>
    <phoneticPr fontId="10" type="noConversion"/>
  </si>
  <si>
    <t>17DSH17 (harzburgite)</t>
    <phoneticPr fontId="10" type="noConversion"/>
  </si>
  <si>
    <t>17DSH18 (harzburgite)</t>
    <phoneticPr fontId="10" type="noConversion"/>
  </si>
  <si>
    <t>17DSH19 (harzburgite)</t>
    <phoneticPr fontId="10" type="noConversion"/>
  </si>
  <si>
    <t>17DSH20 (harzburgite)</t>
    <phoneticPr fontId="10" type="noConversion"/>
  </si>
  <si>
    <t>References</t>
    <phoneticPr fontId="10" type="noConversion"/>
  </si>
  <si>
    <t>(1) Al-spinel primary std (XPP method metal/oxide*)</t>
  </si>
  <si>
    <t>(2) Cr-spinel primary std  PRZ (XPP method metal/oxide*)</t>
  </si>
  <si>
    <t>Cr-spinel primary std PRZ (Armstrong*)</t>
    <phoneticPr fontId="10" type="noConversion"/>
  </si>
  <si>
    <t>Cr-spinel primary std PRZ (Armstrong*)</t>
    <phoneticPr fontId="10" type="noConversion"/>
  </si>
  <si>
    <t>(4) Cr-spinel primary std (ZAF*)</t>
  </si>
  <si>
    <t>Average (1) to (4)</t>
    <phoneticPr fontId="10" type="noConversion"/>
  </si>
  <si>
    <r>
      <t>Fe</t>
    </r>
    <r>
      <rPr>
        <vertAlign val="superscript"/>
        <sz val="10"/>
        <color theme="1"/>
        <rFont val="Times New Roman"/>
        <family val="1"/>
      </rPr>
      <t>3+</t>
    </r>
    <r>
      <rPr>
        <sz val="10"/>
        <color theme="1"/>
        <rFont val="Times New Roman"/>
        <family val="1"/>
      </rPr>
      <t>/</t>
    </r>
    <r>
      <rPr>
        <sz val="10"/>
        <color theme="1"/>
        <rFont val="宋体"/>
        <family val="3"/>
        <charset val="134"/>
      </rPr>
      <t>∑</t>
    </r>
    <r>
      <rPr>
        <sz val="10"/>
        <color theme="1"/>
        <rFont val="Times New Roman"/>
        <family val="1"/>
      </rPr>
      <t>Fe</t>
    </r>
    <phoneticPr fontId="10" type="noConversion"/>
  </si>
  <si>
    <r>
      <rPr>
        <b/>
        <sz val="10"/>
        <color theme="1"/>
        <rFont val="Times New Roman"/>
        <family val="1"/>
      </rPr>
      <t>Table S3b</t>
    </r>
    <r>
      <rPr>
        <sz val="10"/>
        <color theme="1"/>
        <rFont val="Times New Roman"/>
        <family val="1"/>
      </rPr>
      <t xml:space="preserve"> Major-element composition (wt.%) of some EPMA-standards measured as unknowns</t>
    </r>
    <phoneticPr fontId="10" type="noConversion"/>
  </si>
  <si>
    <r>
      <t xml:space="preserve">Li, J., Kornprobst, J., Vielzeuf, D., &amp; Fabriès, J. (1995). An improved experimental calibration of the olivine-spinel geothermometer. </t>
    </r>
    <r>
      <rPr>
        <i/>
        <sz val="10"/>
        <color theme="1"/>
        <rFont val="Times New Roman"/>
        <family val="1"/>
      </rPr>
      <t>Chinese Journal of Geochemistry</t>
    </r>
    <r>
      <rPr>
        <sz val="10"/>
        <color theme="1"/>
        <rFont val="Times New Roman"/>
        <family val="1"/>
      </rPr>
      <t>, 14(1), 68–77.</t>
    </r>
    <phoneticPr fontId="10" type="noConversion"/>
  </si>
  <si>
    <t>*as built into the  JEOL 8530F Plus microprobe software.</t>
    <phoneticPr fontId="10" type="noConversion"/>
  </si>
  <si>
    <t>Average</t>
    <phoneticPr fontId="10" type="noConversion"/>
  </si>
  <si>
    <t>*as built into the  JEOL 8530F Plus microprobe software.</t>
    <phoneticPr fontId="10" type="noConversion"/>
  </si>
  <si>
    <r>
      <t>ΔlogƒO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(B): ƒO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 xml:space="preserve"> calculated using the oxygen barometer of </t>
    </r>
    <r>
      <rPr>
        <sz val="10"/>
        <color rgb="FF0000FF"/>
        <rFont val="Times New Roman"/>
        <family val="1"/>
      </rPr>
      <t>Ballhaus et al. (1991, 1994).</t>
    </r>
    <phoneticPr fontId="10" type="noConversion"/>
  </si>
  <si>
    <r>
      <t>ΔlogƒO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(W): ƒO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 xml:space="preserve"> calculated using the oxygen barometer of </t>
    </r>
    <r>
      <rPr>
        <sz val="10"/>
        <color rgb="FF0000FF"/>
        <rFont val="Times New Roman"/>
        <family val="1"/>
      </rPr>
      <t>Wood (1990).</t>
    </r>
    <phoneticPr fontId="10" type="noConversion"/>
  </si>
  <si>
    <r>
      <t>Ballhaus, C., Berry, R. F., &amp; Green, D. H. (1994). High pressure experimental calibration of the olivine–orthopyroxene–spinel oxygen geobarometer: implications for the oxidation state of the upper mantle—Erratum. </t>
    </r>
    <r>
      <rPr>
        <i/>
        <sz val="10"/>
        <color theme="1"/>
        <rFont val="Times New Roman"/>
        <family val="1"/>
      </rPr>
      <t>Contributions to Mineralogy and Petrology</t>
    </r>
    <r>
      <rPr>
        <sz val="10"/>
        <color theme="1"/>
        <rFont val="Times New Roman"/>
        <family val="1"/>
      </rPr>
      <t>, 107(1), 27–40.</t>
    </r>
    <phoneticPr fontId="10" type="noConversion"/>
  </si>
  <si>
    <r>
      <t>Droop, G. T. R. (1987). A general equation for estimating Fe3+ concentrations in ferromagnesian silicates and oxides from microprobe analyses, using stoichiometric criteria. </t>
    </r>
    <r>
      <rPr>
        <i/>
        <sz val="10"/>
        <color theme="1"/>
        <rFont val="Times New Roman"/>
        <family val="1"/>
      </rPr>
      <t>Mineralogical magazine</t>
    </r>
    <r>
      <rPr>
        <sz val="10"/>
        <color theme="1"/>
        <rFont val="Times New Roman"/>
        <family val="1"/>
      </rPr>
      <t>, 51(361), 431–435.</t>
    </r>
    <phoneticPr fontId="10" type="noConversion"/>
  </si>
  <si>
    <r>
      <t>Ballhaus, C., Berry, R. F., &amp; Green, D. H. (1991). High pressure experimental calibration of the olivine-orthopyroxene-spinel oxygen geobarometer: implications for the oxidation state of the upper mantle. </t>
    </r>
    <r>
      <rPr>
        <i/>
        <sz val="10"/>
        <color theme="1"/>
        <rFont val="Times New Roman"/>
        <family val="1"/>
      </rPr>
      <t>Contributions to Mineralogy and Petrology</t>
    </r>
    <r>
      <rPr>
        <sz val="10"/>
        <color theme="1"/>
        <rFont val="Times New Roman"/>
        <family val="1"/>
      </rPr>
      <t>, 107(1), 27–40.</t>
    </r>
    <phoneticPr fontId="10" type="noConversion"/>
  </si>
  <si>
    <r>
      <t>Wood, B. J. (1990). An experimental test of the spinel peridotite oxygen barometer. </t>
    </r>
    <r>
      <rPr>
        <i/>
        <sz val="10"/>
        <color theme="1"/>
        <rFont val="Times New Roman"/>
        <family val="1"/>
      </rPr>
      <t>Journal of Geophysical Research: Solid Earth</t>
    </r>
    <r>
      <rPr>
        <sz val="10"/>
        <color theme="1"/>
        <rFont val="Times New Roman"/>
        <family val="1"/>
      </rPr>
      <t>, 95(B10), 15845–15851.</t>
    </r>
    <phoneticPr fontId="10" type="noConversion"/>
  </si>
  <si>
    <r>
      <t>Fe</t>
    </r>
    <r>
      <rPr>
        <vertAlign val="superscript"/>
        <sz val="10"/>
        <rFont val="Times New Roman"/>
        <family val="1"/>
      </rPr>
      <t>3+</t>
    </r>
    <phoneticPr fontId="10" type="noConversion"/>
  </si>
  <si>
    <r>
      <t>Fe</t>
    </r>
    <r>
      <rPr>
        <vertAlign val="superscript"/>
        <sz val="10"/>
        <rFont val="Times New Roman"/>
        <family val="1"/>
      </rPr>
      <t>2+</t>
    </r>
    <phoneticPr fontId="10" type="noConversion"/>
  </si>
  <si>
    <t>lherzolite</t>
  </si>
  <si>
    <r>
      <t>Fe</t>
    </r>
    <r>
      <rPr>
        <vertAlign val="superscript"/>
        <sz val="10"/>
        <rFont val="Times New Roman"/>
        <family val="1"/>
      </rPr>
      <t>3+</t>
    </r>
    <r>
      <rPr>
        <sz val="10"/>
        <rFont val="Times New Roman"/>
        <family val="1"/>
      </rPr>
      <t>/</t>
    </r>
    <r>
      <rPr>
        <sz val="10"/>
        <rFont val="宋体"/>
        <family val="3"/>
        <charset val="134"/>
      </rPr>
      <t>∑</t>
    </r>
    <r>
      <rPr>
        <sz val="10"/>
        <rFont val="Times New Roman"/>
        <family val="1"/>
      </rPr>
      <t>Fe</t>
    </r>
    <phoneticPr fontId="10" type="noConversion"/>
  </si>
  <si>
    <t>17DSH02 (lherzolite)</t>
    <phoneticPr fontId="10" type="noConversion"/>
  </si>
  <si>
    <t>17DSH04 (lherzolite)</t>
    <phoneticPr fontId="10" type="noConversion"/>
  </si>
  <si>
    <t>17DSH09 (lherzolite)</t>
    <phoneticPr fontId="10" type="noConversion"/>
  </si>
  <si>
    <t>17DSH13 (lherzolite)</t>
    <phoneticPr fontId="10" type="noConversion"/>
  </si>
  <si>
    <t>17DSH14 (lherzolite)</t>
    <phoneticPr fontId="10" type="noConversion"/>
  </si>
  <si>
    <t>17DSH15 (lherzolite)</t>
    <phoneticPr fontId="10" type="noConversion"/>
  </si>
  <si>
    <t>17DSH17 (harzburgite)</t>
    <phoneticPr fontId="10" type="noConversion"/>
  </si>
  <si>
    <t>17DSH18 (harzburgite)</t>
    <phoneticPr fontId="10" type="noConversion"/>
  </si>
  <si>
    <t>17DSH19 (harzburgite)</t>
    <phoneticPr fontId="10" type="noConversion"/>
  </si>
  <si>
    <t>17DSH20 (harzburgite)</t>
    <phoneticPr fontId="10" type="noConversion"/>
  </si>
  <si>
    <t>17DSH02_1 avg (n=5)</t>
  </si>
  <si>
    <t>17DSH02_2 avg (n=5)</t>
  </si>
  <si>
    <t>17DSH02_3 avg (n=5)</t>
  </si>
  <si>
    <t>17DSH02_4 avg (n=5)</t>
  </si>
  <si>
    <t>17DSH04_1 avg (n=5)</t>
  </si>
  <si>
    <t>17DSH04_2 avg (n=5)</t>
  </si>
  <si>
    <t>17DSH04_3 avg (n=4)</t>
  </si>
  <si>
    <t>17DSH04_4 avg (n=5)</t>
  </si>
  <si>
    <t>17DSH06_1 avg (n=5)</t>
  </si>
  <si>
    <t>17DSH06_4 avg (n=5)</t>
  </si>
  <si>
    <t>17DSH06 grand avg</t>
  </si>
  <si>
    <t>17DSH09_1 avg (n=5)</t>
  </si>
  <si>
    <t>17DSH09_2 avg (n=5)</t>
  </si>
  <si>
    <t>17DSH09_3 avg (n=5)</t>
  </si>
  <si>
    <t>17DSH09_4 avg (n=5)</t>
  </si>
  <si>
    <t>17DSH10_1 avg (n=5)</t>
  </si>
  <si>
    <t>17DSH10_2 avg (n=5)</t>
  </si>
  <si>
    <t>17DSH10_3 avg (n=5)</t>
  </si>
  <si>
    <t>17DSH10_4 avg (n=4)</t>
  </si>
  <si>
    <t>17DSH13_1 avg (n=5)</t>
  </si>
  <si>
    <t>17DSH13_2 avg (n=5)</t>
  </si>
  <si>
    <t>17DSH13_3 avg (n=5)</t>
  </si>
  <si>
    <t>17DSH13_4 avg (n=5)</t>
  </si>
  <si>
    <t>17DSH14_1 avg (n=5)</t>
  </si>
  <si>
    <t>17DSH14_2 avg (n=5)</t>
  </si>
  <si>
    <t>17DSH14_3 avg (n=5)</t>
  </si>
  <si>
    <t>17DSH14_4 avg (n=5)</t>
  </si>
  <si>
    <t>17DSH14 grand avg</t>
  </si>
  <si>
    <t>17DSH15_1 avg (n=5)</t>
  </si>
  <si>
    <t>17DSH15_2 avg (n=5)</t>
  </si>
  <si>
    <t>17DSH15_3 avg (n=3)</t>
  </si>
  <si>
    <t>17DSH15_4 avg (n=5)</t>
  </si>
  <si>
    <t>17DSH17_1 avg (n=5)</t>
  </si>
  <si>
    <t>17DSH17_2 avg (n=5)</t>
  </si>
  <si>
    <t>17DSH17_3 avg (n=5)</t>
  </si>
  <si>
    <t>17DSH17_4 avg (n=5)</t>
  </si>
  <si>
    <t>17DSH18_1 avg (n=4)</t>
  </si>
  <si>
    <t>17DSH18_2 avg (n=5)</t>
  </si>
  <si>
    <t>17DSH18_3 avg (n=5)</t>
  </si>
  <si>
    <t>17DSH18_4 avg (n=5)</t>
  </si>
  <si>
    <t>17DSH19_1 avg (n=5)</t>
  </si>
  <si>
    <t>17DSH19_2 avg (n=5)</t>
  </si>
  <si>
    <t>17DSH19_3 avg (n=5)</t>
  </si>
  <si>
    <t>17DSH19_4 avg (n=5)</t>
  </si>
  <si>
    <t>17DSH20_1 avg (n=5)</t>
  </si>
  <si>
    <t>17DSH20_2 avg (n=5)</t>
  </si>
  <si>
    <t>17DSH20_3 avg (n=5)</t>
  </si>
  <si>
    <t>17DSH20_4 avg (n=5)</t>
  </si>
  <si>
    <r>
      <rPr>
        <b/>
        <sz val="10"/>
        <color theme="1"/>
        <rFont val="Times New Roman"/>
        <family val="1"/>
      </rPr>
      <t>Table S3d</t>
    </r>
    <r>
      <rPr>
        <sz val="10"/>
        <color theme="1"/>
        <rFont val="Times New Roman"/>
        <family val="1"/>
      </rPr>
      <t xml:space="preserve"> Corrected Fe</t>
    </r>
    <r>
      <rPr>
        <vertAlign val="superscript"/>
        <sz val="10"/>
        <color theme="1"/>
        <rFont val="Times New Roman"/>
        <family val="1"/>
      </rPr>
      <t>3+</t>
    </r>
    <r>
      <rPr>
        <sz val="10"/>
        <color theme="1"/>
        <rFont val="Times New Roman"/>
        <family val="1"/>
      </rPr>
      <t>/</t>
    </r>
    <r>
      <rPr>
        <sz val="10"/>
        <color theme="1"/>
        <rFont val="宋体"/>
        <family val="3"/>
        <charset val="134"/>
      </rPr>
      <t>∑</t>
    </r>
    <r>
      <rPr>
        <sz val="10"/>
        <color theme="1"/>
        <rFont val="Times New Roman"/>
        <family val="1"/>
      </rPr>
      <t>Fe of spinel using Mössbauer-characterized secondary spinel standards</t>
    </r>
    <phoneticPr fontId="10" type="noConversion"/>
  </si>
  <si>
    <r>
      <t xml:space="preserve">(3) Cr-spinel primary std PRZ (Armstrong*); </t>
    </r>
    <r>
      <rPr>
        <b/>
        <sz val="10"/>
        <color rgb="FFFF0000"/>
        <rFont val="Times New Roman"/>
        <family val="1"/>
      </rPr>
      <t>Preferred in this study</t>
    </r>
    <phoneticPr fontId="10" type="noConversion"/>
  </si>
  <si>
    <r>
      <t>Uncorrected Fe</t>
    </r>
    <r>
      <rPr>
        <vertAlign val="superscript"/>
        <sz val="10"/>
        <color theme="1"/>
        <rFont val="Times New Roman"/>
        <family val="1"/>
      </rPr>
      <t>2+</t>
    </r>
    <r>
      <rPr>
        <sz val="10"/>
        <color theme="1"/>
        <rFont val="Times New Roman"/>
        <family val="1"/>
      </rPr>
      <t xml:space="preserve"> and Fe</t>
    </r>
    <r>
      <rPr>
        <vertAlign val="superscript"/>
        <sz val="10"/>
        <color theme="1"/>
        <rFont val="Times New Roman"/>
        <family val="1"/>
      </rPr>
      <t>3+</t>
    </r>
    <r>
      <rPr>
        <sz val="10"/>
        <color theme="1"/>
        <rFont val="Times New Roman"/>
        <family val="1"/>
      </rPr>
      <t xml:space="preserve"> in spinel were calculated from EPMA data based on perfect crystal stoichiometry using the method of </t>
    </r>
    <r>
      <rPr>
        <sz val="10"/>
        <color rgb="FF0000FF"/>
        <rFont val="Times New Roman"/>
        <family val="1"/>
      </rPr>
      <t>Droop (1987).</t>
    </r>
    <phoneticPr fontId="10" type="noConversion"/>
  </si>
  <si>
    <r>
      <rPr>
        <i/>
        <sz val="10"/>
        <rFont val="Times New Roman"/>
        <family val="1"/>
      </rPr>
      <t>T</t>
    </r>
    <r>
      <rPr>
        <i/>
        <vertAlign val="subscript"/>
        <sz val="10"/>
        <rFont val="Times New Roman"/>
        <family val="1"/>
      </rPr>
      <t>Ol-Sp</t>
    </r>
    <r>
      <rPr>
        <sz val="10"/>
        <rFont val="Times New Roman"/>
        <family val="1"/>
      </rPr>
      <t xml:space="preserve"> (°C)</t>
    </r>
    <phoneticPr fontId="10" type="noConversion"/>
  </si>
  <si>
    <r>
      <t>Oxygen fugacities relative to the FMQ (fayalite-magnetite-quartz) buffer were calculated using the temperature (</t>
    </r>
    <r>
      <rPr>
        <i/>
        <sz val="10"/>
        <color theme="1"/>
        <rFont val="Times New Roman"/>
        <family val="1"/>
      </rPr>
      <t>T</t>
    </r>
    <r>
      <rPr>
        <i/>
        <vertAlign val="subscript"/>
        <sz val="10"/>
        <color theme="1"/>
        <rFont val="Times New Roman"/>
        <family val="1"/>
      </rPr>
      <t>Ol-Sp</t>
    </r>
    <r>
      <rPr>
        <sz val="10"/>
        <color theme="1"/>
        <rFont val="Times New Roman"/>
        <family val="1"/>
      </rPr>
      <t xml:space="preserve">) derived from olivine-spinel thermometer of </t>
    </r>
    <r>
      <rPr>
        <sz val="10"/>
        <color rgb="FF0000FF"/>
        <rFont val="Times New Roman"/>
        <family val="1"/>
      </rPr>
      <t>Li et al. (1995)</t>
    </r>
    <r>
      <rPr>
        <sz val="10"/>
        <color theme="1"/>
        <rFont val="Times New Roman"/>
        <family val="1"/>
      </rPr>
      <t xml:space="preserve"> and assuming a pressure of 1.5 GPa.</t>
    </r>
    <phoneticPr fontId="10" type="noConversion"/>
  </si>
  <si>
    <r>
      <rPr>
        <b/>
        <sz val="10"/>
        <color theme="1"/>
        <rFont val="Times New Roman"/>
        <family val="1"/>
      </rPr>
      <t>Table S3a</t>
    </r>
    <r>
      <rPr>
        <sz val="10"/>
        <color theme="1"/>
        <rFont val="Times New Roman"/>
        <family val="1"/>
      </rPr>
      <t xml:space="preserve"> Comparison of measured versus publishing major-element composition (wt.%) of Mössbauer-characterized spinel secondary standards</t>
    </r>
  </si>
  <si>
    <t>17DSH02 (lherzolite)</t>
  </si>
  <si>
    <r>
      <rPr>
        <b/>
        <sz val="10"/>
        <color theme="1"/>
        <rFont val="Times New Roman"/>
        <family val="1"/>
      </rPr>
      <t>Table S3c</t>
    </r>
    <r>
      <rPr>
        <sz val="10"/>
        <color theme="1"/>
        <rFont val="Times New Roman"/>
        <family val="1"/>
      </rPr>
      <t xml:space="preserve"> Comparison of spinel compositions obtained by </t>
    </r>
    <r>
      <rPr>
        <sz val="10"/>
        <color rgb="FF0000FF"/>
        <rFont val="Times New Roman"/>
        <family val="1"/>
      </rPr>
      <t>Lin et al. (2023)</t>
    </r>
    <r>
      <rPr>
        <sz val="10"/>
        <color theme="1"/>
        <rFont val="Times New Roman"/>
        <family val="1"/>
      </rPr>
      <t xml:space="preserve"> and at GUF using different measurement routines and matrix correction procedures, along with resultant Fe</t>
    </r>
    <r>
      <rPr>
        <vertAlign val="superscript"/>
        <sz val="10"/>
        <color theme="1"/>
        <rFont val="Times New Roman"/>
        <family val="1"/>
      </rPr>
      <t>3+</t>
    </r>
    <r>
      <rPr>
        <sz val="10"/>
        <color theme="1"/>
        <rFont val="Times New Roman"/>
        <family val="1"/>
      </rPr>
      <t>/</t>
    </r>
    <r>
      <rPr>
        <sz val="10"/>
        <color theme="1"/>
        <rFont val="宋体"/>
        <family val="3"/>
        <charset val="134"/>
      </rPr>
      <t>∑</t>
    </r>
    <r>
      <rPr>
        <sz val="10"/>
        <color theme="1"/>
        <rFont val="Times New Roman"/>
        <family val="1"/>
      </rPr>
      <t xml:space="preserve">Fe calculated by stoichiometry, </t>
    </r>
    <r>
      <rPr>
        <i/>
        <sz val="10"/>
        <color theme="1"/>
        <rFont val="Times New Roman"/>
        <family val="1"/>
      </rPr>
      <t>T</t>
    </r>
    <r>
      <rPr>
        <i/>
        <vertAlign val="subscript"/>
        <sz val="10"/>
        <color theme="1"/>
        <rFont val="Times New Roman"/>
        <family val="1"/>
      </rPr>
      <t>Ol-Sp</t>
    </r>
    <r>
      <rPr>
        <sz val="10"/>
        <color theme="1"/>
        <rFont val="Times New Roman"/>
        <family val="1"/>
      </rPr>
      <t xml:space="preserve"> (°C) and ƒO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/>
    </r>
    <phoneticPr fontId="10" type="noConversion"/>
  </si>
  <si>
    <t>Lin et al. (2023)</t>
    <phoneticPr fontId="10" type="noConversion"/>
  </si>
  <si>
    <r>
      <t>Lin, A. B., Aulbach, S., Zheng, J. P., Cai, R., Liu, J., Xiong, Q., &amp; Pan, S. K. (2023). Lithospheric mantle provinces and crust-mantle decoupling beneath northeastern China: Insights from peridotite xenoliths. </t>
    </r>
    <r>
      <rPr>
        <i/>
        <sz val="10"/>
        <color theme="1"/>
        <rFont val="Times New Roman"/>
        <family val="1"/>
      </rPr>
      <t>Geological Society of America Bulletin</t>
    </r>
    <r>
      <rPr>
        <sz val="10"/>
        <color theme="1"/>
        <rFont val="Times New Roman"/>
        <family val="1"/>
      </rPr>
      <t>, 135(3–4), 990–1008.</t>
    </r>
    <phoneticPr fontId="10" type="noConversion"/>
  </si>
  <si>
    <r>
      <t>Difference of Fe</t>
    </r>
    <r>
      <rPr>
        <vertAlign val="superscript"/>
        <sz val="10"/>
        <rFont val="Times New Roman"/>
        <family val="1"/>
      </rPr>
      <t>3+</t>
    </r>
    <r>
      <rPr>
        <sz val="10"/>
        <rFont val="Times New Roman"/>
        <family val="1"/>
      </rPr>
      <t>/</t>
    </r>
    <r>
      <rPr>
        <sz val="10"/>
        <rFont val="宋体"/>
        <family val="3"/>
        <charset val="134"/>
      </rPr>
      <t>∑</t>
    </r>
    <r>
      <rPr>
        <sz val="10"/>
        <rFont val="Times New Roman"/>
        <family val="1"/>
      </rPr>
      <t>Fe ratios between this study and Lin et al. (2023)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</si>
</sst>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6" formatCode="0.000_ "/>
    <numFmt numFmtId="177" formatCode="0.00_ "/>
    <numFmt numFmtId="178" formatCode="0_);[Red]\(0\)"/>
    <numFmt numFmtId="179" formatCode="0_ "/>
    <numFmt numFmtId="180" formatCode="0.000_);[Red]\(0.000\)"/>
    <numFmt numFmtId="181" formatCode="0.0000_);[Red]\(0.0000\)"/>
    <numFmt numFmtId="182" formatCode="0.00_);[Red]\(0.00\)"/>
  </numFmts>
  <fonts count="21" x14ac:knownFonts="1">
    <font>
      <sz val="11"/>
      <color theme="1"/>
      <name val="等线"/>
      <family val="2"/>
      <scheme val="minor"/>
    </font>
    <font>
      <sz val="10"/>
      <color theme="1"/>
      <name val="Times New Roman"/>
      <family val="1"/>
    </font>
    <font>
      <b/>
      <sz val="10"/>
      <name val="Times New Roman"/>
      <family val="1"/>
    </font>
    <font>
      <sz val="12"/>
      <color theme="1"/>
      <name val="等线"/>
      <family val="2"/>
      <scheme val="minor"/>
    </font>
    <font>
      <sz val="10"/>
      <name val="Times New Roman"/>
      <family val="1"/>
    </font>
    <font>
      <strike/>
      <sz val="10"/>
      <color theme="1"/>
      <name val="Times New Roman"/>
      <family val="1"/>
    </font>
    <font>
      <b/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sz val="10"/>
      <color theme="1"/>
      <name val="宋体"/>
      <family val="3"/>
      <charset val="134"/>
    </font>
    <font>
      <vertAlign val="subscript"/>
      <sz val="10"/>
      <color theme="1"/>
      <name val="Times New Roman"/>
      <family val="1"/>
    </font>
    <font>
      <sz val="9"/>
      <name val="等线"/>
      <family val="3"/>
      <charset val="134"/>
      <scheme val="minor"/>
    </font>
    <font>
      <sz val="10"/>
      <color theme="1"/>
      <name val="Verdana"/>
      <family val="2"/>
    </font>
    <font>
      <sz val="10"/>
      <color rgb="FF0000FF"/>
      <name val="Times New Roman"/>
      <family val="1"/>
    </font>
    <font>
      <b/>
      <sz val="10"/>
      <color rgb="FFFF0000"/>
      <name val="Times New Roman"/>
      <family val="1"/>
    </font>
    <font>
      <vertAlign val="superscript"/>
      <sz val="10"/>
      <name val="Times New Roman"/>
      <family val="1"/>
    </font>
    <font>
      <sz val="10"/>
      <name val="宋体"/>
      <family val="3"/>
      <charset val="134"/>
    </font>
    <font>
      <strike/>
      <sz val="10"/>
      <name val="Times New Roman"/>
      <family val="1"/>
    </font>
    <font>
      <i/>
      <sz val="10"/>
      <color theme="1"/>
      <name val="Times New Roman"/>
      <family val="1"/>
    </font>
    <font>
      <i/>
      <vertAlign val="subscript"/>
      <sz val="10"/>
      <color theme="1"/>
      <name val="Times New Roman"/>
      <family val="1"/>
    </font>
    <font>
      <i/>
      <sz val="10"/>
      <name val="Times New Roman"/>
      <family val="1"/>
    </font>
    <font>
      <i/>
      <vertAlign val="subscript"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87">
    <xf numFmtId="0" fontId="0" fillId="0" borderId="0" xfId="0"/>
    <xf numFmtId="0" fontId="1" fillId="0" borderId="0" xfId="0" applyFont="1"/>
    <xf numFmtId="0" fontId="4" fillId="2" borderId="0" xfId="0" applyFont="1" applyFill="1"/>
    <xf numFmtId="0" fontId="2" fillId="2" borderId="0" xfId="0" applyFont="1" applyFill="1"/>
    <xf numFmtId="0" fontId="1" fillId="0" borderId="0" xfId="0" applyFont="1" applyFill="1"/>
    <xf numFmtId="2" fontId="1" fillId="0" borderId="0" xfId="0" applyNumberFormat="1" applyFont="1" applyFill="1"/>
    <xf numFmtId="0" fontId="6" fillId="0" borderId="0" xfId="0" applyFont="1" applyFill="1"/>
    <xf numFmtId="0" fontId="5" fillId="0" borderId="0" xfId="0" applyFont="1" applyFill="1"/>
    <xf numFmtId="2" fontId="1" fillId="0" borderId="0" xfId="0" applyNumberFormat="1" applyFont="1"/>
    <xf numFmtId="0" fontId="13" fillId="0" borderId="0" xfId="0" applyFont="1" applyFill="1"/>
    <xf numFmtId="176" fontId="1" fillId="0" borderId="0" xfId="0" applyNumberFormat="1" applyFont="1"/>
    <xf numFmtId="176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/>
    <xf numFmtId="2" fontId="1" fillId="0" borderId="2" xfId="0" applyNumberFormat="1" applyFont="1" applyFill="1" applyBorder="1"/>
    <xf numFmtId="0" fontId="1" fillId="0" borderId="2" xfId="0" applyFont="1" applyBorder="1"/>
    <xf numFmtId="2" fontId="1" fillId="0" borderId="2" xfId="0" applyNumberFormat="1" applyFont="1" applyBorder="1"/>
    <xf numFmtId="177" fontId="1" fillId="0" borderId="0" xfId="0" applyNumberFormat="1" applyFont="1"/>
    <xf numFmtId="177" fontId="1" fillId="0" borderId="1" xfId="0" applyNumberFormat="1" applyFont="1" applyFill="1" applyBorder="1" applyAlignment="1">
      <alignment horizontal="left" vertical="center"/>
    </xf>
    <xf numFmtId="177" fontId="4" fillId="2" borderId="0" xfId="0" applyNumberFormat="1" applyFont="1" applyFill="1"/>
    <xf numFmtId="177" fontId="1" fillId="0" borderId="0" xfId="0" applyNumberFormat="1" applyFont="1" applyFill="1"/>
    <xf numFmtId="176" fontId="1" fillId="0" borderId="0" xfId="0" applyNumberFormat="1" applyFont="1" applyFill="1"/>
    <xf numFmtId="177" fontId="1" fillId="0" borderId="2" xfId="0" applyNumberFormat="1" applyFont="1" applyBorder="1"/>
    <xf numFmtId="0" fontId="12" fillId="0" borderId="0" xfId="0" applyFont="1" applyFill="1"/>
    <xf numFmtId="0" fontId="13" fillId="0" borderId="0" xfId="0" applyFont="1"/>
    <xf numFmtId="0" fontId="6" fillId="3" borderId="0" xfId="0" applyFont="1" applyFill="1"/>
    <xf numFmtId="0" fontId="1" fillId="3" borderId="0" xfId="0" applyFont="1" applyFill="1"/>
    <xf numFmtId="176" fontId="1" fillId="3" borderId="1" xfId="0" applyNumberFormat="1" applyFont="1" applyFill="1" applyBorder="1" applyAlignment="1">
      <alignment horizontal="center" vertical="center"/>
    </xf>
    <xf numFmtId="177" fontId="1" fillId="3" borderId="1" xfId="0" applyNumberFormat="1" applyFont="1" applyFill="1" applyBorder="1" applyAlignment="1">
      <alignment horizontal="left" vertical="center"/>
    </xf>
    <xf numFmtId="176" fontId="6" fillId="0" borderId="0" xfId="0" applyNumberFormat="1" applyFont="1" applyFill="1"/>
    <xf numFmtId="177" fontId="6" fillId="0" borderId="0" xfId="0" applyNumberFormat="1" applyFont="1" applyFill="1"/>
    <xf numFmtId="176" fontId="6" fillId="0" borderId="2" xfId="0" applyNumberFormat="1" applyFont="1" applyFill="1" applyBorder="1"/>
    <xf numFmtId="177" fontId="6" fillId="0" borderId="2" xfId="0" applyNumberFormat="1" applyFont="1" applyFill="1" applyBorder="1"/>
    <xf numFmtId="176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Border="1"/>
    <xf numFmtId="2" fontId="1" fillId="0" borderId="0" xfId="0" applyNumberFormat="1" applyFont="1" applyFill="1" applyBorder="1"/>
    <xf numFmtId="177" fontId="1" fillId="0" borderId="0" xfId="0" applyNumberFormat="1" applyFont="1" applyBorder="1"/>
    <xf numFmtId="176" fontId="6" fillId="0" borderId="0" xfId="0" applyNumberFormat="1" applyFont="1" applyFill="1" applyBorder="1"/>
    <xf numFmtId="177" fontId="6" fillId="0" borderId="0" xfId="0" applyNumberFormat="1" applyFont="1" applyFill="1" applyBorder="1"/>
    <xf numFmtId="0" fontId="6" fillId="0" borderId="0" xfId="0" applyFont="1" applyFill="1" applyBorder="1"/>
    <xf numFmtId="176" fontId="1" fillId="0" borderId="0" xfId="0" applyNumberFormat="1" applyFont="1" applyBorder="1"/>
    <xf numFmtId="177" fontId="1" fillId="4" borderId="0" xfId="0" applyNumberFormat="1" applyFont="1" applyFill="1"/>
    <xf numFmtId="0" fontId="1" fillId="4" borderId="0" xfId="0" applyFont="1" applyFill="1"/>
    <xf numFmtId="176" fontId="1" fillId="4" borderId="0" xfId="0" applyNumberFormat="1" applyFont="1" applyFill="1"/>
    <xf numFmtId="0" fontId="6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/>
    </xf>
    <xf numFmtId="0" fontId="4" fillId="0" borderId="0" xfId="0" applyFont="1" applyFill="1"/>
    <xf numFmtId="0" fontId="2" fillId="0" borderId="0" xfId="0" applyFont="1" applyFill="1"/>
    <xf numFmtId="178" fontId="4" fillId="2" borderId="0" xfId="0" applyNumberFormat="1" applyFont="1" applyFill="1"/>
    <xf numFmtId="178" fontId="1" fillId="0" borderId="0" xfId="0" applyNumberFormat="1" applyFont="1" applyFill="1"/>
    <xf numFmtId="178" fontId="4" fillId="0" borderId="0" xfId="0" applyNumberFormat="1" applyFont="1"/>
    <xf numFmtId="178" fontId="4" fillId="0" borderId="0" xfId="0" applyNumberFormat="1" applyFont="1" applyFill="1"/>
    <xf numFmtId="178" fontId="16" fillId="0" borderId="0" xfId="0" applyNumberFormat="1" applyFont="1" applyFill="1"/>
    <xf numFmtId="178" fontId="4" fillId="0" borderId="0" xfId="0" applyNumberFormat="1" applyFont="1" applyFill="1" applyBorder="1"/>
    <xf numFmtId="179" fontId="1" fillId="0" borderId="0" xfId="0" applyNumberFormat="1" applyFont="1"/>
    <xf numFmtId="179" fontId="1" fillId="0" borderId="2" xfId="0" applyNumberFormat="1" applyFont="1" applyBorder="1"/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Fill="1" applyBorder="1" applyAlignment="1">
      <alignment vertical="center"/>
    </xf>
    <xf numFmtId="178" fontId="4" fillId="0" borderId="1" xfId="0" applyNumberFormat="1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horizontal="left"/>
    </xf>
    <xf numFmtId="0" fontId="1" fillId="4" borderId="0" xfId="0" applyFont="1" applyFill="1"/>
    <xf numFmtId="176" fontId="1" fillId="4" borderId="0" xfId="0" applyNumberFormat="1" applyFont="1" applyFill="1"/>
    <xf numFmtId="177" fontId="1" fillId="4" borderId="0" xfId="0" applyNumberFormat="1" applyFont="1" applyFill="1"/>
    <xf numFmtId="180" fontId="4" fillId="0" borderId="1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vertical="center"/>
    </xf>
    <xf numFmtId="180" fontId="4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1" fillId="0" borderId="2" xfId="0" applyFont="1" applyFill="1" applyBorder="1" applyAlignment="1">
      <alignment vertical="center"/>
    </xf>
    <xf numFmtId="181" fontId="4" fillId="0" borderId="2" xfId="0" applyNumberFormat="1" applyFont="1" applyFill="1" applyBorder="1" applyAlignment="1">
      <alignment vertical="center"/>
    </xf>
    <xf numFmtId="180" fontId="4" fillId="0" borderId="2" xfId="0" applyNumberFormat="1" applyFont="1" applyFill="1" applyBorder="1" applyAlignment="1">
      <alignment vertical="center"/>
    </xf>
    <xf numFmtId="181" fontId="4" fillId="0" borderId="0" xfId="0" applyNumberFormat="1" applyFont="1" applyFill="1" applyBorder="1" applyAlignment="1">
      <alignment vertical="center"/>
    </xf>
    <xf numFmtId="180" fontId="2" fillId="0" borderId="0" xfId="0" applyNumberFormat="1" applyFont="1" applyFill="1" applyAlignment="1">
      <alignment vertical="center"/>
    </xf>
    <xf numFmtId="180" fontId="4" fillId="0" borderId="0" xfId="0" applyNumberFormat="1" applyFont="1" applyFill="1" applyBorder="1" applyAlignment="1">
      <alignment vertical="center"/>
    </xf>
    <xf numFmtId="181" fontId="4" fillId="0" borderId="1" xfId="0" applyNumberFormat="1" applyFont="1" applyFill="1" applyBorder="1" applyAlignment="1">
      <alignment horizontal="center" vertical="center"/>
    </xf>
    <xf numFmtId="182" fontId="1" fillId="0" borderId="0" xfId="0" applyNumberFormat="1" applyFont="1"/>
    <xf numFmtId="182" fontId="1" fillId="0" borderId="1" xfId="0" applyNumberFormat="1" applyFont="1" applyFill="1" applyBorder="1" applyAlignment="1">
      <alignment vertical="center"/>
    </xf>
    <xf numFmtId="182" fontId="4" fillId="2" borderId="0" xfId="0" applyNumberFormat="1" applyFont="1" applyFill="1"/>
    <xf numFmtId="182" fontId="1" fillId="0" borderId="0" xfId="0" applyNumberFormat="1" applyFont="1" applyFill="1"/>
    <xf numFmtId="182" fontId="5" fillId="0" borderId="0" xfId="0" applyNumberFormat="1" applyFont="1" applyFill="1"/>
    <xf numFmtId="182" fontId="1" fillId="0" borderId="0" xfId="0" applyNumberFormat="1" applyFont="1" applyFill="1" applyBorder="1"/>
    <xf numFmtId="182" fontId="1" fillId="0" borderId="2" xfId="0" applyNumberFormat="1" applyFont="1" applyFill="1" applyBorder="1"/>
    <xf numFmtId="176" fontId="4" fillId="0" borderId="0" xfId="0" applyNumberFormat="1" applyFont="1" applyFill="1" applyBorder="1" applyAlignment="1">
      <alignment horizontal="center" vertical="center" wrapText="1"/>
    </xf>
  </cellXfs>
  <cellStyles count="2">
    <cellStyle name="Normal 3" xfId="1"/>
    <cellStyle name="常规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abSelected="1" zoomScaleNormal="100" workbookViewId="0"/>
  </sheetViews>
  <sheetFormatPr defaultColWidth="8.875" defaultRowHeight="12.75" x14ac:dyDescent="0.2"/>
  <cols>
    <col min="1" max="1" width="16.875" style="1" customWidth="1"/>
    <col min="2" max="2" width="8.875" style="1"/>
    <col min="3" max="4" width="9.125" style="1" bestFit="1" customWidth="1"/>
    <col min="5" max="5" width="9.375" style="1" bestFit="1" customWidth="1"/>
    <col min="6" max="10" width="9.125" style="1" bestFit="1" customWidth="1"/>
    <col min="11" max="16384" width="8.875" style="1"/>
  </cols>
  <sheetData>
    <row r="1" spans="1:12" x14ac:dyDescent="0.2">
      <c r="A1" s="1" t="s">
        <v>193</v>
      </c>
    </row>
    <row r="2" spans="1:12" ht="14.25" x14ac:dyDescent="0.2">
      <c r="A2" s="56" t="s">
        <v>38</v>
      </c>
      <c r="B2" s="56" t="s">
        <v>25</v>
      </c>
      <c r="C2" s="56" t="s">
        <v>16</v>
      </c>
      <c r="D2" s="56" t="s">
        <v>17</v>
      </c>
      <c r="E2" s="56" t="s">
        <v>18</v>
      </c>
      <c r="F2" s="56" t="s">
        <v>19</v>
      </c>
      <c r="G2" s="56" t="s">
        <v>20</v>
      </c>
      <c r="H2" s="56" t="s">
        <v>21</v>
      </c>
      <c r="I2" s="56" t="s">
        <v>22</v>
      </c>
      <c r="J2" s="56" t="s">
        <v>23</v>
      </c>
    </row>
    <row r="3" spans="1:12" x14ac:dyDescent="0.2">
      <c r="A3" s="3" t="s">
        <v>111</v>
      </c>
      <c r="B3" s="2"/>
      <c r="C3" s="2"/>
      <c r="D3" s="2"/>
      <c r="E3" s="2"/>
      <c r="F3" s="2"/>
      <c r="G3" s="2"/>
      <c r="H3" s="2"/>
      <c r="I3" s="2"/>
      <c r="J3" s="2"/>
      <c r="L3" s="23"/>
    </row>
    <row r="4" spans="1:12" x14ac:dyDescent="0.2">
      <c r="A4" s="1" t="s">
        <v>29</v>
      </c>
      <c r="B4" s="8">
        <v>25.195000000000004</v>
      </c>
      <c r="C4" s="8">
        <v>43.173333333333325</v>
      </c>
      <c r="D4" s="8">
        <v>13.904999999999999</v>
      </c>
      <c r="E4" s="8">
        <v>0.14028333333333334</v>
      </c>
      <c r="F4" s="8">
        <v>15.708333333333334</v>
      </c>
      <c r="G4" s="8">
        <v>0.18741666666666668</v>
      </c>
      <c r="H4" s="8">
        <v>0.11116666666666665</v>
      </c>
      <c r="I4" s="8">
        <v>3.8483333333333342E-2</v>
      </c>
      <c r="J4" s="8">
        <v>98.459099999999992</v>
      </c>
    </row>
    <row r="5" spans="1:12" x14ac:dyDescent="0.2">
      <c r="A5" s="1" t="s">
        <v>24</v>
      </c>
      <c r="B5" s="8">
        <v>0.14829025591723918</v>
      </c>
      <c r="C5" s="8">
        <v>0.19592515577808506</v>
      </c>
      <c r="D5" s="8">
        <v>7.0922492905988621E-2</v>
      </c>
      <c r="E5" s="8">
        <v>1.0061891803565903E-2</v>
      </c>
      <c r="F5" s="8">
        <v>2.6394443859772382E-2</v>
      </c>
      <c r="G5" s="8">
        <v>2.0886111813036561E-2</v>
      </c>
      <c r="H5" s="8">
        <v>8.4866169152770579E-3</v>
      </c>
      <c r="I5" s="8">
        <v>2.5872121417979373E-3</v>
      </c>
      <c r="J5" s="8">
        <v>0.18908378037261853</v>
      </c>
    </row>
    <row r="6" spans="1:12" ht="5.25" customHeight="1" x14ac:dyDescent="0.2"/>
    <row r="7" spans="1:12" x14ac:dyDescent="0.2">
      <c r="A7" s="1" t="s">
        <v>14</v>
      </c>
      <c r="B7" s="4">
        <v>25.85</v>
      </c>
      <c r="C7" s="4">
        <v>42.98</v>
      </c>
      <c r="D7" s="4">
        <v>14.6</v>
      </c>
      <c r="E7" s="4">
        <v>0.16</v>
      </c>
      <c r="F7" s="4">
        <v>16</v>
      </c>
      <c r="G7" s="4">
        <v>0.14000000000000001</v>
      </c>
      <c r="H7" s="4">
        <v>0.05</v>
      </c>
      <c r="I7" s="4">
        <v>0.08</v>
      </c>
      <c r="J7" s="8"/>
    </row>
    <row r="9" spans="1:12" x14ac:dyDescent="0.2">
      <c r="A9" s="1" t="s">
        <v>30</v>
      </c>
      <c r="B9" s="8">
        <v>33.199999999999996</v>
      </c>
      <c r="C9" s="8">
        <v>33.733333333333334</v>
      </c>
      <c r="D9" s="8">
        <v>14.381666666666668</v>
      </c>
      <c r="E9" s="8">
        <v>0.14043333333333333</v>
      </c>
      <c r="F9" s="8">
        <v>17</v>
      </c>
      <c r="G9" s="8">
        <v>0.24255000000000002</v>
      </c>
      <c r="H9" s="8">
        <v>0.39656666666666668</v>
      </c>
      <c r="I9" s="8">
        <v>5.1383333333333336E-2</v>
      </c>
      <c r="J9" s="8">
        <v>99.145983333333334</v>
      </c>
    </row>
    <row r="10" spans="1:12" x14ac:dyDescent="0.2">
      <c r="A10" s="1" t="s">
        <v>24</v>
      </c>
      <c r="B10" s="8">
        <v>0.13190905958272783</v>
      </c>
      <c r="C10" s="8">
        <v>6.8019605016984744E-2</v>
      </c>
      <c r="D10" s="8">
        <v>0.15289429899988644</v>
      </c>
      <c r="E10" s="8">
        <v>8.7037156816308428E-3</v>
      </c>
      <c r="F10" s="8">
        <v>4.8989794855663675E-2</v>
      </c>
      <c r="G10" s="8">
        <v>1.266550433263516E-2</v>
      </c>
      <c r="H10" s="8">
        <v>8.5228320801636649E-3</v>
      </c>
      <c r="I10" s="8">
        <v>4.0774583586674013E-3</v>
      </c>
      <c r="J10" s="8">
        <v>0.23773201228834637</v>
      </c>
    </row>
    <row r="11" spans="1:12" ht="5.25" customHeight="1" x14ac:dyDescent="0.2"/>
    <row r="12" spans="1:12" x14ac:dyDescent="0.2">
      <c r="A12" s="1" t="s">
        <v>14</v>
      </c>
      <c r="B12" s="4">
        <v>33.68</v>
      </c>
      <c r="C12" s="4">
        <v>32.6</v>
      </c>
      <c r="D12" s="4">
        <v>14.97</v>
      </c>
      <c r="E12" s="4">
        <v>0.22</v>
      </c>
      <c r="F12" s="4">
        <v>16.940000000000001</v>
      </c>
      <c r="G12" s="4">
        <v>0.28000000000000003</v>
      </c>
      <c r="H12" s="4">
        <v>0.54</v>
      </c>
      <c r="I12" s="4">
        <v>0.11</v>
      </c>
      <c r="J12" s="8"/>
    </row>
    <row r="14" spans="1:12" x14ac:dyDescent="0.2">
      <c r="A14" s="1" t="s">
        <v>31</v>
      </c>
      <c r="B14" s="8">
        <v>58.668333333333329</v>
      </c>
      <c r="C14" s="8">
        <v>8.6916666666666682</v>
      </c>
      <c r="D14" s="8">
        <v>10.225</v>
      </c>
      <c r="E14" s="8">
        <v>9.3283333333333343E-2</v>
      </c>
      <c r="F14" s="8">
        <v>20.9</v>
      </c>
      <c r="G14" s="8">
        <v>0.38081666666666664</v>
      </c>
      <c r="H14" s="8">
        <v>0.11051666666666667</v>
      </c>
      <c r="I14" s="8">
        <v>4.0750000000000001E-2</v>
      </c>
      <c r="J14" s="8">
        <v>99.110433333333333</v>
      </c>
    </row>
    <row r="15" spans="1:12" x14ac:dyDescent="0.2">
      <c r="A15" s="1" t="s">
        <v>24</v>
      </c>
      <c r="B15" s="8">
        <v>0.1327277916137633</v>
      </c>
      <c r="C15" s="8">
        <v>3.6009258068816767E-2</v>
      </c>
      <c r="D15" s="8">
        <v>3.728270376461456E-2</v>
      </c>
      <c r="E15" s="8">
        <v>7.6198206453083062E-3</v>
      </c>
      <c r="F15" s="8">
        <v>2.6832815729997964E-2</v>
      </c>
      <c r="G15" s="8">
        <v>1.4070027244702361E-2</v>
      </c>
      <c r="H15" s="8">
        <v>7.24110949141543E-3</v>
      </c>
      <c r="I15" s="8">
        <v>5.6280547261020825E-3</v>
      </c>
      <c r="J15" s="8">
        <v>0.14127944884754462</v>
      </c>
    </row>
    <row r="16" spans="1:12" ht="5.25" customHeight="1" x14ac:dyDescent="0.2"/>
    <row r="17" spans="1:10" x14ac:dyDescent="0.2">
      <c r="A17" s="1" t="s">
        <v>14</v>
      </c>
      <c r="B17" s="4">
        <v>58.61</v>
      </c>
      <c r="C17" s="4">
        <v>8.9700000000000006</v>
      </c>
      <c r="D17" s="4">
        <v>10.34</v>
      </c>
      <c r="E17" s="4">
        <v>0.09</v>
      </c>
      <c r="F17" s="4">
        <v>20.72</v>
      </c>
      <c r="G17" s="4">
        <v>0.38</v>
      </c>
      <c r="H17" s="4">
        <v>0.11</v>
      </c>
      <c r="I17" s="4">
        <v>0.04</v>
      </c>
      <c r="J17" s="8"/>
    </row>
    <row r="19" spans="1:10" x14ac:dyDescent="0.2">
      <c r="A19" s="1" t="s">
        <v>32</v>
      </c>
      <c r="B19" s="8">
        <v>63.194999999999993</v>
      </c>
      <c r="C19" s="8">
        <v>4.1416666666666666</v>
      </c>
      <c r="D19" s="8">
        <v>10.425000000000001</v>
      </c>
      <c r="E19" s="8">
        <v>7.4749999999999997E-2</v>
      </c>
      <c r="F19" s="8">
        <v>21.048333333333332</v>
      </c>
      <c r="G19" s="8">
        <v>0.50339999999999996</v>
      </c>
      <c r="H19" s="8">
        <v>0.16346666666666668</v>
      </c>
      <c r="I19" s="8">
        <v>5.3583333333333337E-2</v>
      </c>
      <c r="J19" s="8">
        <v>99.605233333333331</v>
      </c>
    </row>
    <row r="20" spans="1:10" x14ac:dyDescent="0.2">
      <c r="A20" s="1" t="s">
        <v>24</v>
      </c>
      <c r="B20" s="8">
        <v>0.30415456596934282</v>
      </c>
      <c r="C20" s="8">
        <v>2.4013884872437309E-2</v>
      </c>
      <c r="D20" s="8">
        <v>7.5299402388066747E-2</v>
      </c>
      <c r="E20" s="8">
        <v>1.1107069820614409E-2</v>
      </c>
      <c r="F20" s="8">
        <v>0.13317907743585899</v>
      </c>
      <c r="G20" s="8">
        <v>1.6476650144977886E-2</v>
      </c>
      <c r="H20" s="8">
        <v>1.1692675770184803E-2</v>
      </c>
      <c r="I20" s="8">
        <v>7.4074062037036122E-3</v>
      </c>
      <c r="J20" s="8">
        <v>0.44369247307867049</v>
      </c>
    </row>
    <row r="21" spans="1:10" ht="5.25" customHeight="1" x14ac:dyDescent="0.2"/>
    <row r="22" spans="1:10" x14ac:dyDescent="0.2">
      <c r="A22" s="1" t="s">
        <v>14</v>
      </c>
      <c r="B22" s="4">
        <v>64.36</v>
      </c>
      <c r="C22" s="4">
        <v>3.76</v>
      </c>
      <c r="D22" s="4">
        <v>10.71</v>
      </c>
      <c r="E22" s="4">
        <v>0.11</v>
      </c>
      <c r="F22" s="4">
        <v>20.39</v>
      </c>
      <c r="G22" s="4">
        <v>0.49</v>
      </c>
      <c r="H22" s="4">
        <v>0.22</v>
      </c>
      <c r="I22" s="4">
        <v>0.11</v>
      </c>
      <c r="J22" s="8"/>
    </row>
    <row r="24" spans="1:10" x14ac:dyDescent="0.2">
      <c r="A24" s="1" t="s">
        <v>33</v>
      </c>
      <c r="B24" s="8">
        <v>53.870000000000005</v>
      </c>
      <c r="C24" s="8">
        <v>12.558333333333332</v>
      </c>
      <c r="D24" s="8">
        <v>11.806666666666667</v>
      </c>
      <c r="E24" s="8">
        <v>8.5216666666666663E-2</v>
      </c>
      <c r="F24" s="8">
        <v>20.411666666666669</v>
      </c>
      <c r="G24" s="8">
        <v>0.39440000000000003</v>
      </c>
      <c r="H24" s="8">
        <v>0.18581666666666666</v>
      </c>
      <c r="I24" s="8">
        <v>4.8583333333333339E-2</v>
      </c>
      <c r="J24" s="8">
        <v>99.360733333333329</v>
      </c>
    </row>
    <row r="25" spans="1:10" x14ac:dyDescent="0.2">
      <c r="A25" s="1" t="s">
        <v>24</v>
      </c>
      <c r="B25" s="8">
        <v>0.24795160818192047</v>
      </c>
      <c r="C25" s="8">
        <v>9.1305348510734213E-2</v>
      </c>
      <c r="D25" s="8">
        <v>5.9888785817268538E-2</v>
      </c>
      <c r="E25" s="8">
        <v>1.264174302328077E-2</v>
      </c>
      <c r="F25" s="8">
        <v>0.13496913227351945</v>
      </c>
      <c r="G25" s="8">
        <v>1.7593748889875627E-2</v>
      </c>
      <c r="H25" s="8">
        <v>4.6188588056647342E-2</v>
      </c>
      <c r="I25" s="8">
        <v>4.4932912955501407E-3</v>
      </c>
      <c r="J25" s="8">
        <v>0.4119825368467292</v>
      </c>
    </row>
    <row r="26" spans="1:10" ht="5.25" customHeight="1" x14ac:dyDescent="0.2"/>
    <row r="27" spans="1:10" x14ac:dyDescent="0.2">
      <c r="A27" s="1" t="s">
        <v>14</v>
      </c>
      <c r="B27" s="4">
        <v>52.43</v>
      </c>
      <c r="C27" s="4">
        <v>13.1</v>
      </c>
      <c r="D27" s="4">
        <v>11.79</v>
      </c>
      <c r="E27" s="4">
        <v>0.1</v>
      </c>
      <c r="F27" s="4">
        <v>20.52</v>
      </c>
      <c r="G27" s="4">
        <v>0.3</v>
      </c>
      <c r="H27" s="4">
        <v>0.14000000000000001</v>
      </c>
      <c r="I27" s="4">
        <v>0.08</v>
      </c>
      <c r="J27" s="8"/>
    </row>
    <row r="29" spans="1:10" x14ac:dyDescent="0.2">
      <c r="A29" s="1" t="s">
        <v>34</v>
      </c>
      <c r="B29" s="8">
        <v>57.85</v>
      </c>
      <c r="C29" s="8">
        <v>9.4266666666666676</v>
      </c>
      <c r="D29" s="8">
        <v>10.801666666666668</v>
      </c>
      <c r="E29" s="8">
        <v>0.10071666666666666</v>
      </c>
      <c r="F29" s="8">
        <v>20.698333333333334</v>
      </c>
      <c r="G29" s="8">
        <v>0.40146666666666669</v>
      </c>
      <c r="H29" s="8">
        <v>0.10886666666666665</v>
      </c>
      <c r="I29" s="8">
        <v>3.7700000000000004E-2</v>
      </c>
      <c r="J29" s="8">
        <v>99.4255</v>
      </c>
    </row>
    <row r="30" spans="1:10" x14ac:dyDescent="0.2">
      <c r="A30" s="1" t="s">
        <v>24</v>
      </c>
      <c r="B30" s="8">
        <v>0.16049922118191168</v>
      </c>
      <c r="C30" s="8">
        <v>7.2846871358121373E-2</v>
      </c>
      <c r="D30" s="8">
        <v>8.2077199432403936E-2</v>
      </c>
      <c r="E30" s="8">
        <v>1.013655102422252E-2</v>
      </c>
      <c r="F30" s="8">
        <v>2.9944392908634761E-2</v>
      </c>
      <c r="G30" s="8">
        <v>2.7402968209058416E-2</v>
      </c>
      <c r="H30" s="8">
        <v>7.7677967704276804E-3</v>
      </c>
      <c r="I30" s="8">
        <v>4.793328697262479E-3</v>
      </c>
      <c r="J30" s="8">
        <v>0.29155370688777432</v>
      </c>
    </row>
    <row r="31" spans="1:10" ht="5.25" customHeight="1" x14ac:dyDescent="0.2"/>
    <row r="32" spans="1:10" x14ac:dyDescent="0.2">
      <c r="A32" s="14" t="s">
        <v>14</v>
      </c>
      <c r="B32" s="12">
        <v>57.04</v>
      </c>
      <c r="C32" s="12">
        <v>9.8000000000000007</v>
      </c>
      <c r="D32" s="12">
        <v>10.75</v>
      </c>
      <c r="E32" s="12">
        <v>0.1</v>
      </c>
      <c r="F32" s="12">
        <v>21.41</v>
      </c>
      <c r="G32" s="12">
        <v>0.44</v>
      </c>
      <c r="H32" s="12">
        <v>0.08</v>
      </c>
      <c r="I32" s="12">
        <v>0.04</v>
      </c>
      <c r="J32" s="15"/>
    </row>
    <row r="33" spans="1:1" x14ac:dyDescent="0.2">
      <c r="A33" s="4" t="s">
        <v>117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zoomScaleNormal="100" workbookViewId="0"/>
  </sheetViews>
  <sheetFormatPr defaultColWidth="8.875" defaultRowHeight="12.75" x14ac:dyDescent="0.2"/>
  <cols>
    <col min="1" max="1" width="17.5" style="1" customWidth="1"/>
    <col min="2" max="2" width="8.875" style="1" bestFit="1" customWidth="1"/>
    <col min="3" max="3" width="8.875" style="1"/>
    <col min="4" max="5" width="9.125" style="1" bestFit="1" customWidth="1"/>
    <col min="6" max="6" width="9.375" style="1" bestFit="1" customWidth="1"/>
    <col min="7" max="11" width="9.125" style="1" bestFit="1" customWidth="1"/>
    <col min="12" max="16384" width="8.875" style="1"/>
  </cols>
  <sheetData>
    <row r="1" spans="1:10" x14ac:dyDescent="0.2">
      <c r="A1" s="1" t="s">
        <v>115</v>
      </c>
    </row>
    <row r="2" spans="1:10" s="57" customFormat="1" ht="14.25" x14ac:dyDescent="0.2">
      <c r="A2" s="56" t="s">
        <v>38</v>
      </c>
      <c r="B2" s="56" t="s">
        <v>25</v>
      </c>
      <c r="C2" s="56" t="s">
        <v>26</v>
      </c>
      <c r="D2" s="56" t="s">
        <v>17</v>
      </c>
      <c r="E2" s="56" t="s">
        <v>18</v>
      </c>
      <c r="F2" s="56" t="s">
        <v>19</v>
      </c>
      <c r="G2" s="56" t="s">
        <v>20</v>
      </c>
      <c r="H2" s="56" t="s">
        <v>28</v>
      </c>
      <c r="I2" s="56" t="s">
        <v>27</v>
      </c>
      <c r="J2" s="56" t="s">
        <v>45</v>
      </c>
    </row>
    <row r="3" spans="1:10" x14ac:dyDescent="0.2">
      <c r="A3" s="3" t="s">
        <v>110</v>
      </c>
      <c r="B3" s="2"/>
      <c r="C3" s="2"/>
      <c r="D3" s="2"/>
      <c r="E3" s="2"/>
      <c r="F3" s="2"/>
      <c r="G3" s="2"/>
      <c r="H3" s="2"/>
      <c r="I3" s="2"/>
      <c r="J3" s="2"/>
    </row>
    <row r="4" spans="1:10" ht="14.25" x14ac:dyDescent="0.25">
      <c r="A4" s="1" t="s">
        <v>35</v>
      </c>
      <c r="B4" s="8">
        <v>2.0399999999999998E-2</v>
      </c>
      <c r="C4" s="8">
        <v>2.5250000000000005E-2</v>
      </c>
      <c r="D4" s="8">
        <v>8.879999999999999</v>
      </c>
      <c r="E4" s="8">
        <v>0.1394</v>
      </c>
      <c r="F4" s="8">
        <v>50.706666666666671</v>
      </c>
      <c r="G4" s="8">
        <v>0.38891666666666663</v>
      </c>
      <c r="H4" s="8">
        <v>1.4366666666666666E-2</v>
      </c>
      <c r="I4" s="8">
        <v>40.721666666666664</v>
      </c>
      <c r="J4" s="8">
        <v>100.89663333333334</v>
      </c>
    </row>
    <row r="5" spans="1:10" x14ac:dyDescent="0.2">
      <c r="A5" s="1" t="s">
        <v>24</v>
      </c>
      <c r="B5" s="8">
        <v>7.2097156670703792E-3</v>
      </c>
      <c r="C5" s="8">
        <v>9.3617840180170702E-3</v>
      </c>
      <c r="D5" s="8">
        <v>7.8740078740118236E-2</v>
      </c>
      <c r="E5" s="8">
        <v>1.072156704964344E-2</v>
      </c>
      <c r="F5" s="8">
        <v>0.21425841095897818</v>
      </c>
      <c r="G5" s="8">
        <v>1.6270884016139589E-2</v>
      </c>
      <c r="H5" s="8">
        <v>4.234461791853451E-3</v>
      </c>
      <c r="I5" s="8">
        <v>0.21812076165891939</v>
      </c>
      <c r="J5" s="8">
        <v>0.51034264829295484</v>
      </c>
    </row>
    <row r="6" spans="1:10" ht="5.25" customHeight="1" x14ac:dyDescent="0.2"/>
    <row r="7" spans="1:10" ht="14.25" x14ac:dyDescent="0.25">
      <c r="A7" s="1" t="s">
        <v>36</v>
      </c>
      <c r="B7" s="8">
        <v>101.42333333333333</v>
      </c>
      <c r="C7" s="8">
        <v>2.7333333333333328E-3</v>
      </c>
      <c r="D7" s="8">
        <v>2.6333333333333334E-3</v>
      </c>
      <c r="E7" s="8">
        <v>1.9166666666666666E-3</v>
      </c>
      <c r="F7" s="8">
        <v>0</v>
      </c>
      <c r="G7" s="8">
        <v>3.0500000000000002E-3</v>
      </c>
      <c r="H7" s="8">
        <v>8.7833333333333322E-3</v>
      </c>
      <c r="I7" s="8">
        <v>1.1833333333333333E-2</v>
      </c>
      <c r="J7" s="8">
        <v>101.45418333333333</v>
      </c>
    </row>
    <row r="8" spans="1:10" x14ac:dyDescent="0.2">
      <c r="A8" s="1" t="s">
        <v>24</v>
      </c>
      <c r="B8" s="8">
        <v>0.38359701076346669</v>
      </c>
      <c r="C8" s="8">
        <v>4.1596474209560919E-3</v>
      </c>
      <c r="D8" s="8">
        <v>6.4503229893290367E-3</v>
      </c>
      <c r="E8" s="8">
        <v>4.5017404041844383E-3</v>
      </c>
      <c r="F8" s="8">
        <v>0</v>
      </c>
      <c r="G8" s="8">
        <v>6.0800493419050482E-3</v>
      </c>
      <c r="H8" s="8">
        <v>7.9702990324495796E-3</v>
      </c>
      <c r="I8" s="8">
        <v>5.6641563066944659E-3</v>
      </c>
      <c r="J8" s="8">
        <v>0.3779090547561233</v>
      </c>
    </row>
    <row r="9" spans="1:10" ht="5.25" customHeight="1" x14ac:dyDescent="0.2"/>
    <row r="10" spans="1:10" ht="14.25" x14ac:dyDescent="0.25">
      <c r="A10" s="1" t="s">
        <v>37</v>
      </c>
      <c r="B10" s="8">
        <v>3.0166666666666662E-3</v>
      </c>
      <c r="C10" s="8">
        <v>2.9666666666666665E-3</v>
      </c>
      <c r="D10" s="8">
        <v>90.31</v>
      </c>
      <c r="E10" s="8">
        <v>3.6833333333333332E-3</v>
      </c>
      <c r="F10" s="8">
        <v>2.9283333333333338E-2</v>
      </c>
      <c r="G10" s="8">
        <v>5.9666666666666661E-3</v>
      </c>
      <c r="H10" s="8">
        <v>1.4999999999999999E-2</v>
      </c>
      <c r="I10" s="8">
        <v>9.8833333333333342E-3</v>
      </c>
      <c r="J10" s="8">
        <v>90.379883333333325</v>
      </c>
    </row>
    <row r="11" spans="1:10" x14ac:dyDescent="0.2">
      <c r="A11" s="1" t="s">
        <v>24</v>
      </c>
      <c r="B11" s="8">
        <v>5.4883209332788349E-3</v>
      </c>
      <c r="C11" s="8">
        <v>2.9248361777485365E-3</v>
      </c>
      <c r="D11" s="8">
        <v>0.19979989989987335</v>
      </c>
      <c r="E11" s="8">
        <v>2.9633877010385719E-3</v>
      </c>
      <c r="F11" s="8">
        <v>4.2144592377512278E-3</v>
      </c>
      <c r="G11" s="8">
        <v>1.1418698116101795E-2</v>
      </c>
      <c r="H11" s="8">
        <v>7.9769668421023326E-3</v>
      </c>
      <c r="I11" s="8">
        <v>5.7925526900207518E-3</v>
      </c>
      <c r="J11" s="8">
        <v>0.19580015747354718</v>
      </c>
    </row>
    <row r="12" spans="1:10" ht="5.25" customHeight="1" x14ac:dyDescent="0.2"/>
    <row r="13" spans="1:10" x14ac:dyDescent="0.2">
      <c r="A13" s="1" t="s">
        <v>15</v>
      </c>
      <c r="B13" s="8">
        <v>23.778333333333332</v>
      </c>
      <c r="C13" s="8">
        <v>45.936666666666667</v>
      </c>
      <c r="D13" s="8">
        <v>12.64</v>
      </c>
      <c r="E13" s="8">
        <v>0.14865</v>
      </c>
      <c r="F13" s="8">
        <v>16.626666666666669</v>
      </c>
      <c r="G13" s="8">
        <v>0.14028333333333334</v>
      </c>
      <c r="H13" s="8">
        <v>0.13070000000000001</v>
      </c>
      <c r="I13" s="8">
        <v>2.4533333333333334E-2</v>
      </c>
      <c r="J13" s="8">
        <v>99.425933333333319</v>
      </c>
    </row>
    <row r="14" spans="1:10" x14ac:dyDescent="0.2">
      <c r="A14" s="14" t="s">
        <v>24</v>
      </c>
      <c r="B14" s="15">
        <v>9.1742392963485284E-2</v>
      </c>
      <c r="C14" s="15">
        <v>0.21125024654818128</v>
      </c>
      <c r="D14" s="15">
        <v>5.4037024344425415E-2</v>
      </c>
      <c r="E14" s="15">
        <v>1.3312362675348056E-2</v>
      </c>
      <c r="F14" s="15">
        <v>6.0882400303098091E-2</v>
      </c>
      <c r="G14" s="15">
        <v>3.0928137135409033E-2</v>
      </c>
      <c r="H14" s="15">
        <v>6.6431920038487547E-3</v>
      </c>
      <c r="I14" s="15">
        <v>6.0038876294170075E-3</v>
      </c>
      <c r="J14" s="15">
        <v>0.11043861039811502</v>
      </c>
    </row>
    <row r="15" spans="1:10" x14ac:dyDescent="0.2">
      <c r="A15" s="4" t="s">
        <v>117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210"/>
  <sheetViews>
    <sheetView zoomScaleNormal="100" workbookViewId="0">
      <pane xSplit="1" topLeftCell="B1" activePane="topRight" state="frozen"/>
      <selection pane="topRight"/>
    </sheetView>
  </sheetViews>
  <sheetFormatPr defaultColWidth="8.875" defaultRowHeight="12.75" x14ac:dyDescent="0.2"/>
  <cols>
    <col min="1" max="1" width="16.625" style="1" customWidth="1"/>
    <col min="2" max="9" width="4.625" style="1" customWidth="1"/>
    <col min="10" max="10" width="5.5" style="79" customWidth="1"/>
    <col min="11" max="11" width="7.625" style="1" customWidth="1"/>
    <col min="12" max="12" width="7.625" style="50" customWidth="1"/>
    <col min="13" max="13" width="8.125" style="16" customWidth="1"/>
    <col min="14" max="14" width="10.375" style="16" bestFit="1" customWidth="1"/>
    <col min="15" max="15" width="2.375" style="1" customWidth="1"/>
    <col min="16" max="23" width="4.625" style="1" customWidth="1"/>
    <col min="24" max="24" width="5.5" style="79" customWidth="1"/>
    <col min="25" max="25" width="7.625" style="1" customWidth="1"/>
    <col min="26" max="26" width="7.625" style="50" customWidth="1"/>
    <col min="27" max="27" width="8.125" style="16" customWidth="1"/>
    <col min="28" max="28" width="10.375" style="16" bestFit="1" customWidth="1"/>
    <col min="29" max="29" width="2.375" style="1" customWidth="1"/>
    <col min="30" max="37" width="4.625" style="1" customWidth="1"/>
    <col min="38" max="38" width="5.5" style="79" customWidth="1"/>
    <col min="39" max="39" width="7.625" style="1" customWidth="1"/>
    <col min="40" max="40" width="7.625" style="50" customWidth="1"/>
    <col min="41" max="41" width="8.125" style="16" customWidth="1"/>
    <col min="42" max="42" width="10.375" style="16" bestFit="1" customWidth="1"/>
    <col min="43" max="43" width="2.375" style="1" customWidth="1"/>
    <col min="44" max="51" width="4.625" style="1" customWidth="1"/>
    <col min="52" max="52" width="5.5" style="79" customWidth="1"/>
    <col min="53" max="53" width="7.625" style="1" customWidth="1"/>
    <col min="54" max="54" width="7.625" style="50" customWidth="1"/>
    <col min="55" max="55" width="8.125" style="16" customWidth="1"/>
    <col min="56" max="56" width="9.125" style="16" customWidth="1"/>
    <col min="57" max="57" width="2.5" style="1" customWidth="1"/>
    <col min="58" max="58" width="7.625" style="1" customWidth="1"/>
    <col min="59" max="59" width="8.125" style="1" customWidth="1"/>
    <col min="60" max="60" width="8.625" style="1" customWidth="1"/>
    <col min="61" max="61" width="6.625" style="1" customWidth="1"/>
    <col min="62" max="62" width="18.5" style="1" customWidth="1"/>
    <col min="63" max="16384" width="8.875" style="1"/>
  </cols>
  <sheetData>
    <row r="1" spans="1:62" ht="16.5" x14ac:dyDescent="0.25">
      <c r="A1" s="1" t="s">
        <v>195</v>
      </c>
    </row>
    <row r="2" spans="1:62" s="60" customFormat="1" ht="15.75" customHeight="1" x14ac:dyDescent="0.2">
      <c r="A2" s="58" t="s">
        <v>10</v>
      </c>
      <c r="B2" s="58" t="s">
        <v>25</v>
      </c>
      <c r="C2" s="58" t="s">
        <v>16</v>
      </c>
      <c r="D2" s="58" t="s">
        <v>17</v>
      </c>
      <c r="E2" s="58" t="s">
        <v>18</v>
      </c>
      <c r="F2" s="58" t="s">
        <v>19</v>
      </c>
      <c r="G2" s="58" t="s">
        <v>20</v>
      </c>
      <c r="H2" s="58" t="s">
        <v>21</v>
      </c>
      <c r="I2" s="58" t="s">
        <v>22</v>
      </c>
      <c r="J2" s="80" t="s">
        <v>45</v>
      </c>
      <c r="K2" s="11" t="s">
        <v>40</v>
      </c>
      <c r="L2" s="59" t="s">
        <v>191</v>
      </c>
      <c r="M2" s="17" t="s">
        <v>39</v>
      </c>
      <c r="N2" s="17" t="s">
        <v>13</v>
      </c>
      <c r="O2" s="58"/>
      <c r="P2" s="58" t="s">
        <v>25</v>
      </c>
      <c r="Q2" s="58" t="s">
        <v>16</v>
      </c>
      <c r="R2" s="58" t="s">
        <v>17</v>
      </c>
      <c r="S2" s="58" t="s">
        <v>18</v>
      </c>
      <c r="T2" s="58" t="s">
        <v>19</v>
      </c>
      <c r="U2" s="58" t="s">
        <v>20</v>
      </c>
      <c r="V2" s="58" t="s">
        <v>21</v>
      </c>
      <c r="W2" s="58" t="s">
        <v>22</v>
      </c>
      <c r="X2" s="80" t="s">
        <v>45</v>
      </c>
      <c r="Y2" s="11" t="s">
        <v>114</v>
      </c>
      <c r="Z2" s="59" t="s">
        <v>191</v>
      </c>
      <c r="AA2" s="17" t="s">
        <v>12</v>
      </c>
      <c r="AB2" s="17" t="s">
        <v>13</v>
      </c>
      <c r="AC2" s="58"/>
      <c r="AD2" s="58" t="s">
        <v>25</v>
      </c>
      <c r="AE2" s="58" t="s">
        <v>16</v>
      </c>
      <c r="AF2" s="58" t="s">
        <v>17</v>
      </c>
      <c r="AG2" s="58" t="s">
        <v>18</v>
      </c>
      <c r="AH2" s="58" t="s">
        <v>19</v>
      </c>
      <c r="AI2" s="58" t="s">
        <v>20</v>
      </c>
      <c r="AJ2" s="58" t="s">
        <v>21</v>
      </c>
      <c r="AK2" s="58" t="s">
        <v>22</v>
      </c>
      <c r="AL2" s="80" t="s">
        <v>45</v>
      </c>
      <c r="AM2" s="11" t="s">
        <v>11</v>
      </c>
      <c r="AN2" s="59" t="s">
        <v>191</v>
      </c>
      <c r="AO2" s="17" t="s">
        <v>12</v>
      </c>
      <c r="AP2" s="17" t="s">
        <v>13</v>
      </c>
      <c r="AQ2" s="58"/>
      <c r="AR2" s="58" t="s">
        <v>25</v>
      </c>
      <c r="AS2" s="58" t="s">
        <v>16</v>
      </c>
      <c r="AT2" s="58" t="s">
        <v>17</v>
      </c>
      <c r="AU2" s="58" t="s">
        <v>18</v>
      </c>
      <c r="AV2" s="58" t="s">
        <v>19</v>
      </c>
      <c r="AW2" s="58" t="s">
        <v>20</v>
      </c>
      <c r="AX2" s="58" t="s">
        <v>21</v>
      </c>
      <c r="AY2" s="58" t="s">
        <v>22</v>
      </c>
      <c r="AZ2" s="80" t="s">
        <v>45</v>
      </c>
      <c r="BA2" s="11" t="s">
        <v>11</v>
      </c>
      <c r="BB2" s="59" t="s">
        <v>191</v>
      </c>
      <c r="BC2" s="17" t="s">
        <v>12</v>
      </c>
      <c r="BD2" s="17" t="s">
        <v>13</v>
      </c>
      <c r="BF2" s="26" t="s">
        <v>11</v>
      </c>
      <c r="BG2" s="27" t="s">
        <v>12</v>
      </c>
      <c r="BH2" s="27" t="s">
        <v>13</v>
      </c>
      <c r="BJ2" s="86" t="s">
        <v>198</v>
      </c>
    </row>
    <row r="3" spans="1:62" x14ac:dyDescent="0.2">
      <c r="B3" s="3" t="s">
        <v>108</v>
      </c>
      <c r="C3" s="2"/>
      <c r="D3" s="2"/>
      <c r="E3" s="2"/>
      <c r="F3" s="2"/>
      <c r="G3" s="2"/>
      <c r="H3" s="2"/>
      <c r="I3" s="2"/>
      <c r="J3" s="81"/>
      <c r="K3" s="2"/>
      <c r="L3" s="48"/>
      <c r="M3" s="18"/>
      <c r="N3" s="18"/>
      <c r="P3" s="3" t="s">
        <v>109</v>
      </c>
      <c r="Q3" s="2"/>
      <c r="R3" s="2"/>
      <c r="S3" s="2"/>
      <c r="T3" s="2"/>
      <c r="U3" s="2"/>
      <c r="V3" s="2"/>
      <c r="W3" s="2"/>
      <c r="X3" s="81"/>
      <c r="Y3" s="2"/>
      <c r="Z3" s="48"/>
      <c r="AA3" s="18"/>
      <c r="AB3" s="18"/>
      <c r="AD3" s="3" t="s">
        <v>189</v>
      </c>
      <c r="AE3" s="2"/>
      <c r="AF3" s="3"/>
      <c r="AG3" s="2"/>
      <c r="AH3" s="2"/>
      <c r="AI3" s="2"/>
      <c r="AJ3" s="2"/>
      <c r="AK3" s="2"/>
      <c r="AL3" s="81"/>
      <c r="AM3" s="2"/>
      <c r="AN3" s="48"/>
      <c r="AO3" s="18"/>
      <c r="AP3" s="18"/>
      <c r="AR3" s="3" t="s">
        <v>112</v>
      </c>
      <c r="AS3" s="2"/>
      <c r="AT3" s="2"/>
      <c r="AU3" s="2"/>
      <c r="AV3" s="2"/>
      <c r="AW3" s="2"/>
      <c r="AX3" s="2"/>
      <c r="AY3" s="2"/>
      <c r="AZ3" s="81"/>
      <c r="BA3" s="2"/>
      <c r="BB3" s="48"/>
      <c r="BC3" s="18"/>
      <c r="BD3" s="18"/>
      <c r="BF3" s="24"/>
      <c r="BG3" s="45" t="s">
        <v>113</v>
      </c>
      <c r="BH3" s="25"/>
      <c r="BJ3" s="86"/>
    </row>
    <row r="4" spans="1:62" s="4" customFormat="1" x14ac:dyDescent="0.2">
      <c r="A4" s="6" t="s">
        <v>194</v>
      </c>
      <c r="J4" s="82"/>
      <c r="L4" s="51"/>
      <c r="M4" s="23"/>
      <c r="N4" s="19"/>
      <c r="X4" s="82"/>
      <c r="Z4" s="51"/>
      <c r="AA4" s="19"/>
      <c r="AB4" s="19"/>
      <c r="AL4" s="82"/>
      <c r="AN4" s="51"/>
      <c r="AO4" s="19"/>
      <c r="AP4" s="19"/>
      <c r="AZ4" s="82"/>
      <c r="BB4" s="51"/>
      <c r="BC4" s="19"/>
      <c r="BD4" s="19"/>
      <c r="BJ4" s="86"/>
    </row>
    <row r="5" spans="1:62" s="4" customFormat="1" x14ac:dyDescent="0.2">
      <c r="A5" s="22" t="s">
        <v>196</v>
      </c>
      <c r="B5" s="4">
        <v>60.2</v>
      </c>
      <c r="C5" s="4">
        <v>7.71</v>
      </c>
      <c r="D5" s="4">
        <v>10.58</v>
      </c>
      <c r="E5" s="4">
        <v>0.09</v>
      </c>
      <c r="F5" s="4">
        <v>20.59</v>
      </c>
      <c r="G5" s="4">
        <v>0.37</v>
      </c>
      <c r="H5" s="4">
        <v>0.14000000000000001</v>
      </c>
      <c r="J5" s="82"/>
      <c r="K5" s="10">
        <v>8.9150514404279665E-2</v>
      </c>
      <c r="L5" s="51">
        <v>1089.0054676869408</v>
      </c>
      <c r="M5" s="16">
        <v>-2.2194274351164567</v>
      </c>
      <c r="N5" s="16">
        <v>-2.0554316255125542</v>
      </c>
      <c r="P5" s="4">
        <v>60.2</v>
      </c>
      <c r="Q5" s="4">
        <v>7.71</v>
      </c>
      <c r="R5" s="4">
        <v>10.58</v>
      </c>
      <c r="S5" s="4">
        <v>0.09</v>
      </c>
      <c r="T5" s="4">
        <v>20.59</v>
      </c>
      <c r="U5" s="4">
        <v>0.37</v>
      </c>
      <c r="V5" s="4">
        <v>0.14000000000000001</v>
      </c>
      <c r="X5" s="82"/>
      <c r="Y5" s="10">
        <v>8.9150514404279665E-2</v>
      </c>
      <c r="Z5" s="51">
        <v>1089.0054676869408</v>
      </c>
      <c r="AA5" s="16">
        <v>-2.2194274351164567</v>
      </c>
      <c r="AB5" s="16">
        <v>-2.0554316255125542</v>
      </c>
      <c r="AD5" s="4">
        <v>60.2</v>
      </c>
      <c r="AE5" s="4">
        <v>7.71</v>
      </c>
      <c r="AF5" s="4">
        <v>10.58</v>
      </c>
      <c r="AG5" s="4">
        <v>0.09</v>
      </c>
      <c r="AH5" s="4">
        <v>20.59</v>
      </c>
      <c r="AI5" s="4">
        <v>0.37</v>
      </c>
      <c r="AJ5" s="4">
        <v>0.14000000000000001</v>
      </c>
      <c r="AL5" s="82"/>
      <c r="AM5" s="10">
        <v>8.9150514404279665E-2</v>
      </c>
      <c r="AN5" s="51">
        <v>1089.0054676869408</v>
      </c>
      <c r="AO5" s="16">
        <v>-2.2194274351164567</v>
      </c>
      <c r="AP5" s="16">
        <v>-2.0554316255125542</v>
      </c>
      <c r="AR5" s="4">
        <v>60.2</v>
      </c>
      <c r="AS5" s="4">
        <v>7.71</v>
      </c>
      <c r="AT5" s="4">
        <v>10.58</v>
      </c>
      <c r="AU5" s="4">
        <v>0.09</v>
      </c>
      <c r="AV5" s="4">
        <v>20.59</v>
      </c>
      <c r="AW5" s="4">
        <v>0.37</v>
      </c>
      <c r="AX5" s="4">
        <v>0.14000000000000001</v>
      </c>
      <c r="AZ5" s="82"/>
      <c r="BA5" s="10">
        <v>8.9150514404279665E-2</v>
      </c>
      <c r="BB5" s="51">
        <v>1089.0054676869408</v>
      </c>
      <c r="BC5" s="16">
        <v>-2.2194274351164567</v>
      </c>
      <c r="BD5" s="16">
        <v>-2.0554316255125542</v>
      </c>
      <c r="BF5" s="10">
        <f>BA5</f>
        <v>8.9150514404279665E-2</v>
      </c>
      <c r="BG5" s="16">
        <f t="shared" ref="BG5:BH5" si="0">BC5</f>
        <v>-2.2194274351164567</v>
      </c>
      <c r="BH5" s="16">
        <f t="shared" si="0"/>
        <v>-2.0554316255125542</v>
      </c>
    </row>
    <row r="6" spans="1:62" s="4" customFormat="1" ht="6.75" customHeight="1" x14ac:dyDescent="0.2">
      <c r="J6" s="82"/>
      <c r="K6" s="10"/>
      <c r="L6" s="51"/>
      <c r="M6" s="16"/>
      <c r="N6" s="16"/>
      <c r="X6" s="82"/>
      <c r="Y6" s="10"/>
      <c r="Z6" s="51"/>
      <c r="AA6" s="16"/>
      <c r="AB6" s="16"/>
      <c r="AL6" s="82"/>
      <c r="AM6" s="10"/>
      <c r="AN6" s="51"/>
      <c r="AO6" s="16"/>
      <c r="AP6" s="16"/>
      <c r="AZ6" s="82"/>
      <c r="BA6" s="10"/>
      <c r="BB6" s="51"/>
      <c r="BC6" s="16"/>
      <c r="BD6" s="16"/>
    </row>
    <row r="7" spans="1:62" s="4" customFormat="1" x14ac:dyDescent="0.2">
      <c r="A7" s="4" t="s">
        <v>46</v>
      </c>
      <c r="B7" s="5">
        <v>58.9</v>
      </c>
      <c r="C7" s="5">
        <v>8.52</v>
      </c>
      <c r="D7" s="5">
        <v>10.648</v>
      </c>
      <c r="E7" s="5">
        <v>9.0400000000000008E-2</v>
      </c>
      <c r="F7" s="5">
        <v>20.646000000000001</v>
      </c>
      <c r="G7" s="5">
        <v>0.37476000000000004</v>
      </c>
      <c r="H7" s="5">
        <v>0.12223999999999999</v>
      </c>
      <c r="I7" s="5">
        <v>3.6380000000000003E-2</v>
      </c>
      <c r="J7" s="82">
        <v>99.337819999999994</v>
      </c>
      <c r="K7" s="10">
        <v>0.12933337335842129</v>
      </c>
      <c r="L7" s="51">
        <v>1166.9135682155238</v>
      </c>
      <c r="M7" s="16">
        <v>-1.6858987548871938</v>
      </c>
      <c r="N7" s="16">
        <v>-1.5583786095439693</v>
      </c>
      <c r="P7" s="5">
        <v>60.77</v>
      </c>
      <c r="Q7" s="5">
        <v>8.5760000000000005</v>
      </c>
      <c r="R7" s="5">
        <v>10.494</v>
      </c>
      <c r="S7" s="5">
        <v>9.0460000000000013E-2</v>
      </c>
      <c r="T7" s="5">
        <v>21.318000000000001</v>
      </c>
      <c r="U7" s="5">
        <v>0.37496000000000002</v>
      </c>
      <c r="V7" s="5">
        <v>0.12239999999999999</v>
      </c>
      <c r="W7" s="5">
        <v>3.6400000000000002E-2</v>
      </c>
      <c r="X7" s="82">
        <v>101.78214</v>
      </c>
      <c r="Y7" s="10">
        <v>0.11215164105029596</v>
      </c>
      <c r="Z7" s="51">
        <v>1191.7653361081275</v>
      </c>
      <c r="AA7" s="16">
        <v>-2.027842774641047</v>
      </c>
      <c r="AB7" s="16">
        <v>-1.895495784647748</v>
      </c>
      <c r="AD7" s="5">
        <v>59.95</v>
      </c>
      <c r="AE7" s="5">
        <v>8.5119999999999987</v>
      </c>
      <c r="AF7" s="5">
        <v>10.456</v>
      </c>
      <c r="AG7" s="5">
        <v>8.9599999999999999E-2</v>
      </c>
      <c r="AH7" s="5">
        <v>20.995999999999999</v>
      </c>
      <c r="AI7" s="5">
        <v>0.36749999999999999</v>
      </c>
      <c r="AJ7" s="5">
        <v>0.12050000000000001</v>
      </c>
      <c r="AK7" s="5">
        <v>3.5920000000000001E-2</v>
      </c>
      <c r="AL7" s="82">
        <v>100.5275</v>
      </c>
      <c r="AM7" s="10">
        <v>0.11208649751137199</v>
      </c>
      <c r="AN7" s="51">
        <v>1177.9176882501215</v>
      </c>
      <c r="AO7" s="16">
        <v>-1.9964945358890631</v>
      </c>
      <c r="AP7" s="16">
        <v>-1.8622058366915528</v>
      </c>
      <c r="AR7" s="5">
        <v>60.123400000000004</v>
      </c>
      <c r="AS7" s="5">
        <v>8.4236000000000004</v>
      </c>
      <c r="AT7" s="5">
        <v>10.2804</v>
      </c>
      <c r="AU7" s="5">
        <v>8.7999999999999995E-2</v>
      </c>
      <c r="AV7" s="5">
        <v>21.1492</v>
      </c>
      <c r="AW7" s="5">
        <v>0.36080000000000007</v>
      </c>
      <c r="AX7" s="5">
        <v>0.11840000000000002</v>
      </c>
      <c r="AY7" s="5">
        <v>3.6199999999999996E-2</v>
      </c>
      <c r="AZ7" s="82">
        <v>100.58</v>
      </c>
      <c r="BA7" s="10">
        <v>0.11478792046682418</v>
      </c>
      <c r="BB7" s="51">
        <v>1211.6820226940649</v>
      </c>
      <c r="BC7" s="16">
        <v>-2.0273873213158859</v>
      </c>
      <c r="BD7" s="16">
        <v>-1.8979436836995216</v>
      </c>
    </row>
    <row r="8" spans="1:62" s="4" customFormat="1" x14ac:dyDescent="0.2">
      <c r="A8" s="1" t="s">
        <v>43</v>
      </c>
      <c r="B8" s="5">
        <v>1.0195342073711899</v>
      </c>
      <c r="C8" s="5">
        <v>1.4928161306738243</v>
      </c>
      <c r="D8" s="5">
        <v>3.5637059362411107E-2</v>
      </c>
      <c r="E8" s="5">
        <v>1.5471748446765802E-2</v>
      </c>
      <c r="F8" s="5">
        <v>0.4709883225728646</v>
      </c>
      <c r="G8" s="5">
        <v>5.5417668662620441E-2</v>
      </c>
      <c r="H8" s="5">
        <v>2.7518775408800461E-2</v>
      </c>
      <c r="I8" s="5">
        <v>5.3700093109788939E-3</v>
      </c>
      <c r="J8" s="82">
        <v>0.49848547320859915</v>
      </c>
      <c r="K8" s="10"/>
      <c r="L8" s="51"/>
      <c r="M8" s="16"/>
      <c r="N8" s="16"/>
      <c r="P8" s="5">
        <v>1.0455381389504637</v>
      </c>
      <c r="Q8" s="5">
        <v>1.500643195433212</v>
      </c>
      <c r="R8" s="5">
        <v>3.2093613071762346E-2</v>
      </c>
      <c r="S8" s="5">
        <v>1.5513639160429075E-2</v>
      </c>
      <c r="T8" s="5">
        <v>0.48874328639890363</v>
      </c>
      <c r="U8" s="5">
        <v>5.5417668662620441E-2</v>
      </c>
      <c r="V8" s="5">
        <v>2.7559662552360871E-2</v>
      </c>
      <c r="W8" s="5">
        <v>5.3399438199291964E-3</v>
      </c>
      <c r="X8" s="82">
        <v>0.5091143908789072</v>
      </c>
      <c r="Y8" s="10"/>
      <c r="Z8" s="51"/>
      <c r="AA8" s="16"/>
      <c r="AB8" s="16"/>
      <c r="AD8" s="5">
        <v>1.0090837428082948</v>
      </c>
      <c r="AE8" s="5">
        <v>1.4917003720586852</v>
      </c>
      <c r="AF8" s="5">
        <v>3.3615472627943455E-2</v>
      </c>
      <c r="AG8" s="5">
        <v>1.5370100845472637E-2</v>
      </c>
      <c r="AH8" s="5">
        <v>0.47098832257286333</v>
      </c>
      <c r="AI8" s="5">
        <v>5.4312337456603854E-2</v>
      </c>
      <c r="AJ8" s="5">
        <v>2.7097140070494519E-2</v>
      </c>
      <c r="AK8" s="5">
        <v>5.2585169011804067E-3</v>
      </c>
      <c r="AL8" s="82">
        <v>0.51011448714970098</v>
      </c>
      <c r="AM8" s="10"/>
      <c r="AN8" s="51"/>
      <c r="AO8" s="16"/>
      <c r="AP8" s="16"/>
      <c r="AR8" s="5">
        <v>1.0384037268808302</v>
      </c>
      <c r="AS8" s="5">
        <v>1.4785236893604357</v>
      </c>
      <c r="AT8" s="5">
        <v>3.4195028878478431E-2</v>
      </c>
      <c r="AU8" s="5">
        <v>1.4949916387726102E-2</v>
      </c>
      <c r="AV8" s="5">
        <v>0.47874074403585021</v>
      </c>
      <c r="AW8" s="5">
        <v>5.3415353598005366E-2</v>
      </c>
      <c r="AX8" s="5">
        <v>2.6632686683847585E-2</v>
      </c>
      <c r="AY8" s="5">
        <v>5.2630789467763058E-3</v>
      </c>
      <c r="AZ8" s="82">
        <v>0.5551387214021356</v>
      </c>
      <c r="BA8" s="10"/>
      <c r="BB8" s="51"/>
      <c r="BC8" s="16"/>
      <c r="BD8" s="16"/>
    </row>
    <row r="9" spans="1:62" s="4" customFormat="1" x14ac:dyDescent="0.2">
      <c r="A9" s="4" t="s">
        <v>47</v>
      </c>
      <c r="B9" s="5">
        <v>59.218000000000004</v>
      </c>
      <c r="C9" s="5">
        <v>7.7180000000000009</v>
      </c>
      <c r="D9" s="5">
        <v>10.571999999999999</v>
      </c>
      <c r="E9" s="5">
        <v>9.3199999999999991E-2</v>
      </c>
      <c r="F9" s="5">
        <v>20.866</v>
      </c>
      <c r="G9" s="5">
        <v>0.41337999999999997</v>
      </c>
      <c r="H9" s="5">
        <v>0.13340000000000002</v>
      </c>
      <c r="I9" s="5">
        <v>4.0640000000000003E-2</v>
      </c>
      <c r="J9" s="82">
        <v>99.054699999999997</v>
      </c>
      <c r="K9" s="10">
        <v>0.16058883536210397</v>
      </c>
      <c r="L9" s="51">
        <v>1232.1230486820964</v>
      </c>
      <c r="M9" s="16">
        <v>-1.3907122016825628</v>
      </c>
      <c r="N9" s="16">
        <v>-1.2820143297283968</v>
      </c>
      <c r="P9" s="5">
        <v>61.088000000000001</v>
      </c>
      <c r="Q9" s="5">
        <v>7.7700000000000005</v>
      </c>
      <c r="R9" s="5">
        <v>10.420000000000002</v>
      </c>
      <c r="S9" s="5">
        <v>9.3300000000000008E-2</v>
      </c>
      <c r="T9" s="5">
        <v>21.54</v>
      </c>
      <c r="U9" s="5">
        <v>0.41353999999999996</v>
      </c>
      <c r="V9" s="5">
        <v>0.13357999999999998</v>
      </c>
      <c r="W9" s="5">
        <v>4.0719999999999999E-2</v>
      </c>
      <c r="X9" s="82">
        <v>101.49907999999999</v>
      </c>
      <c r="Y9" s="10">
        <v>0.14418186368378313</v>
      </c>
      <c r="Z9" s="51">
        <v>1260.2457309994006</v>
      </c>
      <c r="AA9" s="16">
        <v>-1.6740615174772786</v>
      </c>
      <c r="AB9" s="16">
        <v>-1.5616743380082712</v>
      </c>
      <c r="AD9" s="5">
        <v>60.254000000000005</v>
      </c>
      <c r="AE9" s="5">
        <v>7.6999999999999984</v>
      </c>
      <c r="AF9" s="5">
        <v>10.378</v>
      </c>
      <c r="AG9" s="5">
        <v>9.2280000000000001E-2</v>
      </c>
      <c r="AH9" s="5">
        <v>21.292000000000002</v>
      </c>
      <c r="AI9" s="5">
        <v>0.40510000000000002</v>
      </c>
      <c r="AJ9" s="5">
        <v>0.13130000000000003</v>
      </c>
      <c r="AK9" s="5">
        <v>4.0080000000000005E-2</v>
      </c>
      <c r="AL9" s="82">
        <v>100.29267999999999</v>
      </c>
      <c r="AM9" s="10">
        <v>0.1533191787260291</v>
      </c>
      <c r="AN9" s="51">
        <v>1268.7313203772428</v>
      </c>
      <c r="AO9" s="16">
        <v>-1.565195538971035</v>
      </c>
      <c r="AP9" s="16">
        <v>-1.4572662033177393</v>
      </c>
      <c r="AR9" s="5">
        <v>60.402000000000001</v>
      </c>
      <c r="AS9" s="5">
        <v>7.6273999999999997</v>
      </c>
      <c r="AT9" s="5">
        <v>10.204600000000001</v>
      </c>
      <c r="AU9" s="5">
        <v>9.0399999999999994E-2</v>
      </c>
      <c r="AV9" s="5">
        <v>21.365600000000001</v>
      </c>
      <c r="AW9" s="5">
        <v>0.3982</v>
      </c>
      <c r="AX9" s="5">
        <v>0.12920000000000001</v>
      </c>
      <c r="AY9" s="5">
        <v>4.0600000000000004E-2</v>
      </c>
      <c r="AZ9" s="82">
        <v>100.258</v>
      </c>
      <c r="BA9" s="10">
        <v>0.14820385454548349</v>
      </c>
      <c r="BB9" s="51">
        <v>1285.932690189527</v>
      </c>
      <c r="BC9" s="16">
        <v>-1.6706488765795198</v>
      </c>
      <c r="BD9" s="16">
        <v>-1.5626394090305062</v>
      </c>
    </row>
    <row r="10" spans="1:62" s="4" customFormat="1" x14ac:dyDescent="0.2">
      <c r="A10" s="4" t="s">
        <v>44</v>
      </c>
      <c r="B10" s="5">
        <v>0.45279134267342214</v>
      </c>
      <c r="C10" s="5">
        <v>4.8166378315169324E-2</v>
      </c>
      <c r="D10" s="5">
        <v>8.8994381845147796E-2</v>
      </c>
      <c r="E10" s="5">
        <v>9.75422985171049E-3</v>
      </c>
      <c r="F10" s="5">
        <v>7.6354436675283854E-2</v>
      </c>
      <c r="G10" s="5">
        <v>3.465251794603099E-2</v>
      </c>
      <c r="H10" s="5">
        <v>3.7356391688705749E-3</v>
      </c>
      <c r="I10" s="5">
        <v>4.963164313217929E-3</v>
      </c>
      <c r="J10" s="82">
        <v>0.57788938820504454</v>
      </c>
      <c r="K10" s="10"/>
      <c r="L10" s="51"/>
      <c r="M10" s="16"/>
      <c r="N10" s="16"/>
      <c r="P10" s="5">
        <v>0.444544710912188</v>
      </c>
      <c r="Q10" s="5">
        <v>4.9497474683058262E-2</v>
      </c>
      <c r="R10" s="5">
        <v>8.6023252670426195E-2</v>
      </c>
      <c r="S10" s="5">
        <v>9.7542298517104917E-3</v>
      </c>
      <c r="T10" s="5">
        <v>7.9056941504210276E-2</v>
      </c>
      <c r="U10" s="5">
        <v>3.4632686872375355E-2</v>
      </c>
      <c r="V10" s="5">
        <v>3.7278680234149892E-3</v>
      </c>
      <c r="W10" s="5">
        <v>4.9716194544635042E-3</v>
      </c>
      <c r="X10" s="82">
        <v>0.57219833711747148</v>
      </c>
      <c r="Y10" s="10"/>
      <c r="Z10" s="51"/>
      <c r="AA10" s="16"/>
      <c r="AB10" s="16"/>
      <c r="AD10" s="5">
        <v>0.43084800103981002</v>
      </c>
      <c r="AE10" s="5">
        <v>4.6904157598233999E-2</v>
      </c>
      <c r="AF10" s="5">
        <v>8.8430763877736976E-2</v>
      </c>
      <c r="AG10" s="5">
        <v>9.5930704156698444E-3</v>
      </c>
      <c r="AH10" s="5">
        <v>0.1660421633200426</v>
      </c>
      <c r="AI10" s="5">
        <v>3.4258502594246593E-2</v>
      </c>
      <c r="AJ10" s="5">
        <v>4.1599278839902975E-3</v>
      </c>
      <c r="AK10" s="5">
        <v>4.8925453498153693E-3</v>
      </c>
      <c r="AL10" s="82">
        <v>0.48770683509665586</v>
      </c>
      <c r="AM10" s="10"/>
      <c r="AN10" s="51"/>
      <c r="AO10" s="16"/>
      <c r="AP10" s="16"/>
      <c r="AR10" s="5">
        <v>0.48838099881137731</v>
      </c>
      <c r="AS10" s="5">
        <v>4.8706262431026187E-2</v>
      </c>
      <c r="AT10" s="5">
        <v>8.5169243274787976E-2</v>
      </c>
      <c r="AU10" s="5">
        <v>9.5026312145636786E-3</v>
      </c>
      <c r="AV10" s="5">
        <v>8.2442707379125124E-2</v>
      </c>
      <c r="AW10" s="5">
        <v>3.3101359488697739E-2</v>
      </c>
      <c r="AX10" s="5">
        <v>3.7682887362833579E-3</v>
      </c>
      <c r="AY10" s="5">
        <v>5.0299105359837152E-3</v>
      </c>
      <c r="AZ10" s="82">
        <v>0.6169902754501071</v>
      </c>
      <c r="BA10" s="10"/>
      <c r="BB10" s="51"/>
      <c r="BC10" s="16"/>
      <c r="BD10" s="16"/>
    </row>
    <row r="11" spans="1:62" s="4" customFormat="1" x14ac:dyDescent="0.2">
      <c r="A11" s="4" t="s">
        <v>48</v>
      </c>
      <c r="B11" s="5">
        <v>59.543999999999997</v>
      </c>
      <c r="C11" s="5">
        <v>7.7619999999999987</v>
      </c>
      <c r="D11" s="5">
        <v>10.628</v>
      </c>
      <c r="E11" s="5">
        <v>0.10074000000000001</v>
      </c>
      <c r="F11" s="5">
        <v>20.972000000000001</v>
      </c>
      <c r="G11" s="5">
        <v>0.41898000000000002</v>
      </c>
      <c r="H11" s="5">
        <v>0.12245999999999999</v>
      </c>
      <c r="I11" s="5">
        <v>4.3119999999999999E-2</v>
      </c>
      <c r="J11" s="82">
        <v>99.591360000000023</v>
      </c>
      <c r="K11" s="10">
        <v>0.16107360610899213</v>
      </c>
      <c r="L11" s="51">
        <v>1232.7889798183583</v>
      </c>
      <c r="M11" s="16">
        <v>-1.3868446606021847</v>
      </c>
      <c r="N11" s="16">
        <v>-1.2781334343454134</v>
      </c>
      <c r="P11" s="5">
        <v>61.429999999999993</v>
      </c>
      <c r="Q11" s="5">
        <v>7.8120000000000003</v>
      </c>
      <c r="R11" s="5">
        <v>10.478</v>
      </c>
      <c r="S11" s="5">
        <v>0.1008</v>
      </c>
      <c r="T11" s="5">
        <v>21.648</v>
      </c>
      <c r="U11" s="5">
        <v>0.41920000000000002</v>
      </c>
      <c r="V11" s="5">
        <v>0.12264</v>
      </c>
      <c r="W11" s="5">
        <v>4.3220000000000001E-2</v>
      </c>
      <c r="X11" s="82">
        <v>102.05377999999999</v>
      </c>
      <c r="Y11" s="10">
        <v>0.14442870814258935</v>
      </c>
      <c r="Z11" s="51">
        <v>1259.912293081044</v>
      </c>
      <c r="AA11" s="16">
        <v>-1.6707960448429693</v>
      </c>
      <c r="AB11" s="16">
        <v>-1.5581504474467884</v>
      </c>
      <c r="AD11" s="5">
        <v>60.667499999999997</v>
      </c>
      <c r="AE11" s="5">
        <v>7.7475000000000005</v>
      </c>
      <c r="AF11" s="5">
        <v>10.4375</v>
      </c>
      <c r="AG11" s="5">
        <v>9.7350000000000006E-2</v>
      </c>
      <c r="AH11" s="5">
        <v>21.36</v>
      </c>
      <c r="AI11" s="5">
        <v>0.41577500000000001</v>
      </c>
      <c r="AJ11" s="5">
        <v>0.122125</v>
      </c>
      <c r="AK11" s="5">
        <v>4.1250000000000002E-2</v>
      </c>
      <c r="AL11" s="82">
        <v>100.88894999999999</v>
      </c>
      <c r="AM11" s="10">
        <v>0.14580299646015416</v>
      </c>
      <c r="AN11" s="51">
        <v>1249.8278535963796</v>
      </c>
      <c r="AO11" s="16">
        <v>-1.6299391236777043</v>
      </c>
      <c r="AP11" s="16">
        <v>-1.5162477956816112</v>
      </c>
      <c r="AR11" s="5">
        <v>60.790399999999998</v>
      </c>
      <c r="AS11" s="5">
        <v>7.6711999999999989</v>
      </c>
      <c r="AT11" s="5">
        <v>10.2608</v>
      </c>
      <c r="AU11" s="5">
        <v>9.8000000000000004E-2</v>
      </c>
      <c r="AV11" s="5">
        <v>21.479399999999998</v>
      </c>
      <c r="AW11" s="5">
        <v>0.40359999999999996</v>
      </c>
      <c r="AX11" s="5">
        <v>0.11839999999999999</v>
      </c>
      <c r="AY11" s="5">
        <v>4.2799999999999998E-2</v>
      </c>
      <c r="AZ11" s="82">
        <v>100.8646</v>
      </c>
      <c r="BA11" s="10">
        <v>0.14685502150527427</v>
      </c>
      <c r="BB11" s="51">
        <v>1282.737895649052</v>
      </c>
      <c r="BC11" s="16">
        <v>-1.6838761239503053</v>
      </c>
      <c r="BD11" s="16">
        <v>-1.5745510866027059</v>
      </c>
    </row>
    <row r="12" spans="1:62" s="4" customFormat="1" x14ac:dyDescent="0.2">
      <c r="A12" s="4" t="s">
        <v>44</v>
      </c>
      <c r="B12" s="5">
        <v>0.32020306057250686</v>
      </c>
      <c r="C12" s="5">
        <v>5.8480766068853669E-2</v>
      </c>
      <c r="D12" s="5">
        <v>8.258329128825051E-2</v>
      </c>
      <c r="E12" s="5">
        <v>1.0798286901170944E-2</v>
      </c>
      <c r="F12" s="5">
        <v>0.11777096416349873</v>
      </c>
      <c r="G12" s="5">
        <v>2.1616590850548113E-2</v>
      </c>
      <c r="H12" s="5">
        <v>6.2416344013407196E-3</v>
      </c>
      <c r="I12" s="5">
        <v>4.7861257818824603E-3</v>
      </c>
      <c r="J12" s="82">
        <v>0.37766203542320548</v>
      </c>
      <c r="K12" s="10"/>
      <c r="L12" s="51"/>
      <c r="M12" s="16"/>
      <c r="N12" s="16"/>
      <c r="P12" s="5">
        <v>0.32457664734234959</v>
      </c>
      <c r="Q12" s="5">
        <v>5.8480766068854002E-2</v>
      </c>
      <c r="R12" s="5">
        <v>8.2583291288249941E-2</v>
      </c>
      <c r="S12" s="5">
        <v>1.0839049773850102E-2</v>
      </c>
      <c r="T12" s="5">
        <v>0.12132600710482457</v>
      </c>
      <c r="U12" s="5">
        <v>2.1654214370417601E-2</v>
      </c>
      <c r="V12" s="5">
        <v>6.2588337571787243E-3</v>
      </c>
      <c r="W12" s="5">
        <v>4.786125781882462E-3</v>
      </c>
      <c r="X12" s="82">
        <v>0.38267233634011283</v>
      </c>
      <c r="Y12" s="10"/>
      <c r="Z12" s="51"/>
      <c r="AA12" s="16"/>
      <c r="AB12" s="16"/>
      <c r="AD12" s="5">
        <v>0.30826125283596523</v>
      </c>
      <c r="AE12" s="5">
        <v>6.6520673478250178E-2</v>
      </c>
      <c r="AF12" s="5">
        <v>9.1787798753428768E-2</v>
      </c>
      <c r="AG12" s="5">
        <v>1.0602672619045949E-2</v>
      </c>
      <c r="AH12" s="5">
        <v>8.8694231304333779E-2</v>
      </c>
      <c r="AI12" s="5">
        <v>2.0841525056162914E-2</v>
      </c>
      <c r="AJ12" s="5">
        <v>6.1548761157313274E-3</v>
      </c>
      <c r="AK12" s="5">
        <v>4.1653331199317054E-3</v>
      </c>
      <c r="AL12" s="82">
        <v>0.30670542327560235</v>
      </c>
      <c r="AM12" s="10"/>
      <c r="AN12" s="51"/>
      <c r="AO12" s="16"/>
      <c r="AP12" s="16"/>
      <c r="AR12" s="5">
        <v>0.35063200082137236</v>
      </c>
      <c r="AS12" s="5">
        <v>5.9221617674629565E-2</v>
      </c>
      <c r="AT12" s="5">
        <v>7.9741457222702261E-2</v>
      </c>
      <c r="AU12" s="5">
        <v>1.0511898020814316E-2</v>
      </c>
      <c r="AV12" s="5">
        <v>0.12429521310171275</v>
      </c>
      <c r="AW12" s="5">
        <v>2.0911719202399395E-2</v>
      </c>
      <c r="AX12" s="5">
        <v>6.0663003552412376E-3</v>
      </c>
      <c r="AY12" s="5">
        <v>4.6043457732885358E-3</v>
      </c>
      <c r="AZ12" s="82">
        <v>0.41772335342903749</v>
      </c>
      <c r="BA12" s="10"/>
      <c r="BB12" s="51"/>
      <c r="BC12" s="16"/>
      <c r="BD12" s="16"/>
    </row>
    <row r="13" spans="1:62" s="4" customFormat="1" x14ac:dyDescent="0.2">
      <c r="A13" s="4" t="s">
        <v>49</v>
      </c>
      <c r="B13" s="5">
        <v>59</v>
      </c>
      <c r="C13" s="5">
        <v>7.7120000000000006</v>
      </c>
      <c r="D13" s="5">
        <v>10.622</v>
      </c>
      <c r="E13" s="5">
        <v>9.6960000000000005E-2</v>
      </c>
      <c r="F13" s="5">
        <v>20.786000000000001</v>
      </c>
      <c r="G13" s="5">
        <v>0.39758000000000004</v>
      </c>
      <c r="H13" s="5">
        <v>0.12597999999999998</v>
      </c>
      <c r="I13" s="5">
        <v>3.7659999999999999E-2</v>
      </c>
      <c r="J13" s="82">
        <v>98.778240000000011</v>
      </c>
      <c r="K13" s="10">
        <v>0.16441006701517291</v>
      </c>
      <c r="L13" s="51">
        <v>1228.490279175388</v>
      </c>
      <c r="M13" s="16">
        <v>-1.3337901926978111</v>
      </c>
      <c r="N13" s="16">
        <v>-1.2247023250315827</v>
      </c>
      <c r="P13" s="5">
        <v>60.872</v>
      </c>
      <c r="Q13" s="5">
        <v>7.7640000000000002</v>
      </c>
      <c r="R13" s="5">
        <v>10.472</v>
      </c>
      <c r="S13" s="5">
        <v>9.7019999999999995E-2</v>
      </c>
      <c r="T13" s="5">
        <v>21.458000000000006</v>
      </c>
      <c r="U13" s="5">
        <v>0.39778000000000002</v>
      </c>
      <c r="V13" s="5">
        <v>0.12615999999999999</v>
      </c>
      <c r="W13" s="5">
        <v>3.7740000000000003E-2</v>
      </c>
      <c r="X13" s="82">
        <v>101.22460000000001</v>
      </c>
      <c r="Y13" s="10">
        <v>0.14791914798031899</v>
      </c>
      <c r="Z13" s="51">
        <v>1255.6985657751407</v>
      </c>
      <c r="AA13" s="16">
        <v>-1.6121811106595412</v>
      </c>
      <c r="AB13" s="16">
        <v>-1.4991016961837467</v>
      </c>
      <c r="AD13" s="5">
        <v>60.037999999999997</v>
      </c>
      <c r="AE13" s="5">
        <v>7.7060000000000004</v>
      </c>
      <c r="AF13" s="5">
        <v>10.431999999999999</v>
      </c>
      <c r="AG13" s="5">
        <v>9.6080000000000013E-2</v>
      </c>
      <c r="AH13" s="5">
        <v>21.13</v>
      </c>
      <c r="AI13" s="5">
        <v>0.38982</v>
      </c>
      <c r="AJ13" s="5">
        <v>0.1242</v>
      </c>
      <c r="AK13" s="5">
        <v>3.7179999999999998E-2</v>
      </c>
      <c r="AL13" s="82">
        <v>99.953239999999994</v>
      </c>
      <c r="AM13" s="10">
        <v>0.14763358075517083</v>
      </c>
      <c r="AN13" s="51">
        <v>1239.8662035218813</v>
      </c>
      <c r="AO13" s="16">
        <v>-1.5821392939728254</v>
      </c>
      <c r="AP13" s="16">
        <v>-1.4666541825365416</v>
      </c>
      <c r="AR13" s="5">
        <v>60.168199999999999</v>
      </c>
      <c r="AS13" s="5">
        <v>7.6240000000000006</v>
      </c>
      <c r="AT13" s="5">
        <v>10.255199999999999</v>
      </c>
      <c r="AU13" s="5">
        <v>9.4399999999999998E-2</v>
      </c>
      <c r="AV13" s="5">
        <v>21.281400000000001</v>
      </c>
      <c r="AW13" s="5">
        <v>0.38300000000000001</v>
      </c>
      <c r="AX13" s="5">
        <v>0.1222</v>
      </c>
      <c r="AY13" s="5">
        <v>3.7400000000000003E-2</v>
      </c>
      <c r="AZ13" s="82">
        <v>99.965800000000002</v>
      </c>
      <c r="BA13" s="10">
        <v>0.1524480277598525</v>
      </c>
      <c r="BB13" s="51">
        <v>1282.2393547054116</v>
      </c>
      <c r="BC13" s="16">
        <v>-1.6050974151876412</v>
      </c>
      <c r="BD13" s="16">
        <v>-1.4967435890294682</v>
      </c>
    </row>
    <row r="14" spans="1:62" s="4" customFormat="1" x14ac:dyDescent="0.2">
      <c r="A14" s="4" t="s">
        <v>44</v>
      </c>
      <c r="B14" s="5">
        <v>0.26570660511172739</v>
      </c>
      <c r="C14" s="5">
        <v>2.5884358211089618E-2</v>
      </c>
      <c r="D14" s="5">
        <v>0.10894952959971847</v>
      </c>
      <c r="E14" s="5">
        <v>1.0945912479094645E-2</v>
      </c>
      <c r="F14" s="5">
        <v>2.5099800796022226E-2</v>
      </c>
      <c r="G14" s="5">
        <v>1.2485471556973727E-2</v>
      </c>
      <c r="H14" s="5">
        <v>4.6697965694449707E-3</v>
      </c>
      <c r="I14" s="5">
        <v>2.694067556688213E-3</v>
      </c>
      <c r="J14" s="82">
        <v>0.28438942139256917</v>
      </c>
      <c r="K14" s="10"/>
      <c r="L14" s="51"/>
      <c r="M14" s="16"/>
      <c r="N14" s="16"/>
      <c r="P14" s="5">
        <v>0.26845856291055459</v>
      </c>
      <c r="Q14" s="5">
        <v>2.7018512172212444E-2</v>
      </c>
      <c r="R14" s="5">
        <v>0.10894952959971847</v>
      </c>
      <c r="S14" s="5">
        <v>1.0992815835808536E-2</v>
      </c>
      <c r="T14" s="5">
        <v>2.8635642126552223E-2</v>
      </c>
      <c r="U14" s="5">
        <v>1.2485471556973739E-2</v>
      </c>
      <c r="V14" s="5">
        <v>4.6870033070182471E-3</v>
      </c>
      <c r="W14" s="5">
        <v>2.6884940022250375E-3</v>
      </c>
      <c r="X14" s="82">
        <v>0.28626571572578979</v>
      </c>
      <c r="Y14" s="10"/>
      <c r="Z14" s="51"/>
      <c r="AA14" s="16"/>
      <c r="AB14" s="16"/>
      <c r="AD14" s="5">
        <v>0.26883080180663654</v>
      </c>
      <c r="AE14" s="5">
        <v>2.4083189157584631E-2</v>
      </c>
      <c r="AF14" s="5">
        <v>0.10894952959971903</v>
      </c>
      <c r="AG14" s="5">
        <v>1.0862642404129768E-2</v>
      </c>
      <c r="AH14" s="5">
        <v>2.549509756796408E-2</v>
      </c>
      <c r="AI14" s="5">
        <v>1.2217896709335877E-2</v>
      </c>
      <c r="AJ14" s="5">
        <v>4.6351914739307188E-3</v>
      </c>
      <c r="AK14" s="5">
        <v>2.6508489206290143E-3</v>
      </c>
      <c r="AL14" s="82">
        <v>0.28899362103686693</v>
      </c>
      <c r="AM14" s="10"/>
      <c r="AN14" s="51"/>
      <c r="AO14" s="16"/>
      <c r="AP14" s="16"/>
      <c r="AR14" s="5">
        <v>0.29018821478481788</v>
      </c>
      <c r="AS14" s="5">
        <v>2.4779023386727713E-2</v>
      </c>
      <c r="AT14" s="5">
        <v>0.10743230426645395</v>
      </c>
      <c r="AU14" s="5">
        <v>1.0644247272588229E-2</v>
      </c>
      <c r="AV14" s="5">
        <v>2.7491816964326142E-2</v>
      </c>
      <c r="AW14" s="5">
        <v>1.1768602295939831E-2</v>
      </c>
      <c r="AX14" s="5">
        <v>4.4944410108488453E-3</v>
      </c>
      <c r="AY14" s="5">
        <v>2.6076809620810587E-3</v>
      </c>
      <c r="AZ14" s="82">
        <v>0.31344329630732343</v>
      </c>
      <c r="BA14" s="10"/>
      <c r="BB14" s="51"/>
      <c r="BC14" s="16"/>
      <c r="BD14" s="16"/>
    </row>
    <row r="15" spans="1:62" s="4" customFormat="1" ht="6.75" customHeight="1" x14ac:dyDescent="0.2">
      <c r="J15" s="82"/>
      <c r="K15" s="10"/>
      <c r="L15" s="51"/>
      <c r="M15" s="16"/>
      <c r="N15" s="16"/>
      <c r="X15" s="82"/>
      <c r="Y15" s="10"/>
      <c r="Z15" s="49"/>
      <c r="AA15" s="16"/>
      <c r="AB15" s="16"/>
      <c r="AL15" s="82"/>
      <c r="AM15" s="10"/>
      <c r="AN15" s="49"/>
      <c r="AO15" s="16"/>
      <c r="AP15" s="16"/>
      <c r="AZ15" s="82"/>
      <c r="BA15" s="10"/>
      <c r="BC15" s="16"/>
      <c r="BD15" s="16"/>
    </row>
    <row r="16" spans="1:62" s="4" customFormat="1" x14ac:dyDescent="0.2">
      <c r="A16" s="4" t="s">
        <v>9</v>
      </c>
      <c r="B16" s="5">
        <v>59.165500000000002</v>
      </c>
      <c r="C16" s="5">
        <v>7.9279999999999999</v>
      </c>
      <c r="D16" s="5">
        <v>10.6175</v>
      </c>
      <c r="E16" s="5">
        <v>9.5324999999999993E-2</v>
      </c>
      <c r="F16" s="5">
        <v>20.817500000000003</v>
      </c>
      <c r="G16" s="5">
        <v>0.401175</v>
      </c>
      <c r="H16" s="5">
        <v>0.12601999999999999</v>
      </c>
      <c r="I16" s="5">
        <v>3.9449999999999999E-2</v>
      </c>
      <c r="J16" s="82">
        <v>99.190529999999995</v>
      </c>
      <c r="K16" s="10">
        <v>0.15382954896468704</v>
      </c>
      <c r="L16" s="51">
        <v>1214.0717751783036</v>
      </c>
      <c r="M16" s="16">
        <v>-1.4409474719724638</v>
      </c>
      <c r="N16" s="16">
        <v>-1.3272343713011043</v>
      </c>
      <c r="P16" s="5">
        <v>61.04</v>
      </c>
      <c r="Q16" s="5">
        <v>7.9805000000000001</v>
      </c>
      <c r="R16" s="5">
        <v>10.466000000000001</v>
      </c>
      <c r="S16" s="5">
        <v>9.5395000000000008E-2</v>
      </c>
      <c r="T16" s="5">
        <v>21.491000000000003</v>
      </c>
      <c r="U16" s="5">
        <v>0.40137</v>
      </c>
      <c r="V16" s="5">
        <v>0.12619499999999997</v>
      </c>
      <c r="W16" s="5">
        <v>3.952E-2</v>
      </c>
      <c r="X16" s="82">
        <v>101.63990000000001</v>
      </c>
      <c r="Y16" s="10">
        <v>0.13714952375155171</v>
      </c>
      <c r="Z16" s="51">
        <v>1240.8497429628869</v>
      </c>
      <c r="AA16" s="16">
        <v>-1.7352541500702103</v>
      </c>
      <c r="AB16" s="16">
        <v>-1.6174279302683079</v>
      </c>
      <c r="AD16" s="5">
        <v>60.227374999999995</v>
      </c>
      <c r="AE16" s="5">
        <v>7.9163750000000004</v>
      </c>
      <c r="AF16" s="5">
        <v>10.425875</v>
      </c>
      <c r="AG16" s="5">
        <v>9.3827500000000008E-2</v>
      </c>
      <c r="AH16" s="5">
        <v>21.194499999999998</v>
      </c>
      <c r="AI16" s="5">
        <v>0.39454875</v>
      </c>
      <c r="AJ16" s="5">
        <v>0.12453125000000001</v>
      </c>
      <c r="AK16" s="5">
        <v>3.8607500000000003E-2</v>
      </c>
      <c r="AL16" s="82">
        <v>100.4155925</v>
      </c>
      <c r="AM16" s="10">
        <v>0.13967784825705698</v>
      </c>
      <c r="AN16" s="51">
        <v>1232.71512856761</v>
      </c>
      <c r="AO16" s="16">
        <v>-1.680333960589355</v>
      </c>
      <c r="AP16" s="16">
        <v>-1.56221607459117</v>
      </c>
      <c r="AR16" s="5">
        <v>60.370999999999995</v>
      </c>
      <c r="AS16" s="5">
        <v>7.8365499999999999</v>
      </c>
      <c r="AT16" s="5">
        <v>10.250249999999999</v>
      </c>
      <c r="AU16" s="5">
        <v>9.2700000000000005E-2</v>
      </c>
      <c r="AV16" s="5">
        <v>21.318899999999999</v>
      </c>
      <c r="AW16" s="5">
        <v>0.38640000000000002</v>
      </c>
      <c r="AX16" s="5">
        <v>0.12205000000000001</v>
      </c>
      <c r="AY16" s="5">
        <v>3.9249999999999993E-2</v>
      </c>
      <c r="AZ16" s="82">
        <v>100.41709999999999</v>
      </c>
      <c r="BA16" s="10">
        <v>0.14054929905627406</v>
      </c>
      <c r="BB16" s="51">
        <v>1264.4628370711489</v>
      </c>
      <c r="BC16" s="16">
        <v>-1.7355843836999409</v>
      </c>
      <c r="BD16" s="16">
        <v>-1.6215733446300415</v>
      </c>
      <c r="BF16" s="28">
        <f>AVERAGE(K16, Y16, AM16, BA16)</f>
        <v>0.14280155500739244</v>
      </c>
      <c r="BG16" s="29">
        <f>AVERAGE(M16, AA16, AO16, BC16)</f>
        <v>-1.6480299915829923</v>
      </c>
      <c r="BH16" s="29">
        <f>AVERAGE(N16, AB16, AP16, BD16)</f>
        <v>-1.5321129301976559</v>
      </c>
      <c r="BJ16" s="32">
        <f>BF16-BF5</f>
        <v>5.3651040603112779E-2</v>
      </c>
    </row>
    <row r="17" spans="1:62" s="4" customFormat="1" x14ac:dyDescent="0.2">
      <c r="A17" s="4" t="s">
        <v>92</v>
      </c>
      <c r="B17" s="5">
        <v>0.28513096406154537</v>
      </c>
      <c r="C17" s="5">
        <v>0.39529566993159237</v>
      </c>
      <c r="D17" s="5">
        <v>3.2305830227169305E-2</v>
      </c>
      <c r="E17" s="5">
        <v>4.5006184760171229E-3</v>
      </c>
      <c r="F17" s="5">
        <v>0.13738874286733491</v>
      </c>
      <c r="G17" s="5">
        <v>1.9804513795260562E-2</v>
      </c>
      <c r="H17" s="5">
        <v>5.2098624422019842E-3</v>
      </c>
      <c r="I17" s="5">
        <v>3.028420930672176E-3</v>
      </c>
      <c r="J17" s="82">
        <v>0.35156406054468853</v>
      </c>
      <c r="K17" s="16">
        <f>STDEVA(K7, K9, K11, K13)</f>
        <v>1.6433425042210938E-2</v>
      </c>
      <c r="L17" s="54">
        <f>STDEVA(L7, L9, L11, L13)</f>
        <v>32.165790361530071</v>
      </c>
      <c r="M17" s="16">
        <f t="shared" ref="M17:N17" si="1">STDEVA(M7, M9, M11, M13)</f>
        <v>0.15984855895868455</v>
      </c>
      <c r="N17" s="16">
        <f t="shared" si="1"/>
        <v>0.15066769364506788</v>
      </c>
      <c r="P17" s="5">
        <v>0.2918492761683632</v>
      </c>
      <c r="Q17" s="5">
        <v>0.39757389250301645</v>
      </c>
      <c r="R17" s="5">
        <v>3.2041639575193501E-2</v>
      </c>
      <c r="S17" s="5">
        <v>4.4943631361962673E-3</v>
      </c>
      <c r="T17" s="5">
        <v>0.1391258423155082</v>
      </c>
      <c r="U17" s="5">
        <v>1.9802306262992019E-2</v>
      </c>
      <c r="V17" s="5">
        <v>5.2147067670835108E-3</v>
      </c>
      <c r="W17" s="5">
        <v>3.0568393262758614E-3</v>
      </c>
      <c r="X17" s="82">
        <v>0.35769318062644362</v>
      </c>
      <c r="Y17" s="16">
        <f>STDEVA(Y7, Y9, Y11, Y13)</f>
        <v>1.6766211484165589E-2</v>
      </c>
      <c r="Z17" s="54">
        <f>STDEVA(Z7, Z9, Z11, Z13)</f>
        <v>33.490761754821946</v>
      </c>
      <c r="AA17" s="16">
        <f t="shared" ref="AA17:AB17" si="2">STDEVA(AA7, AA9, AA11, AA13)</f>
        <v>0.18988894180821719</v>
      </c>
      <c r="AB17" s="16">
        <f t="shared" si="2"/>
        <v>0.18022703655672356</v>
      </c>
      <c r="AD17" s="5">
        <v>0.32000973292489981</v>
      </c>
      <c r="AE17" s="5">
        <v>0.39764460158119369</v>
      </c>
      <c r="AF17" s="5">
        <v>3.3527041324876564E-2</v>
      </c>
      <c r="AG17" s="5">
        <v>3.5472183938028636E-3</v>
      </c>
      <c r="AH17" s="5">
        <v>0.16376711106527747</v>
      </c>
      <c r="AI17" s="5">
        <v>2.0943404043198586E-2</v>
      </c>
      <c r="AJ17" s="5">
        <v>4.7597870663157581E-3</v>
      </c>
      <c r="AK17" s="5">
        <v>2.477328870645426E-3</v>
      </c>
      <c r="AL17" s="82">
        <v>0.39389843372583722</v>
      </c>
      <c r="AM17" s="16">
        <f>STDEVA(AM7, AM9, AM11, AM13)</f>
        <v>1.8692024787003741E-2</v>
      </c>
      <c r="AN17" s="54">
        <f>STDEVA(AN7, AN9, AN11, AN13)</f>
        <v>39.312399129957903</v>
      </c>
      <c r="AO17" s="16">
        <f>STDEVA(AO7, AO9, AO11, AO13)</f>
        <v>0.20388632612754495</v>
      </c>
      <c r="AP17" s="16">
        <f t="shared" ref="AP17" si="3">STDEVA(AP7, AP9, AP11, AP13)</f>
        <v>0.19281914513724421</v>
      </c>
      <c r="AR17" s="5">
        <v>0.30511798810733159</v>
      </c>
      <c r="AS17" s="5">
        <v>0.39195643890616244</v>
      </c>
      <c r="AT17" s="5">
        <v>3.2294220329133712E-2</v>
      </c>
      <c r="AU17" s="5">
        <v>4.4105933085394943E-3</v>
      </c>
      <c r="AV17" s="5">
        <v>0.139218629021645</v>
      </c>
      <c r="AW17" s="5">
        <v>1.9165942015286694E-2</v>
      </c>
      <c r="AX17" s="5">
        <v>5.0921508225896077E-3</v>
      </c>
      <c r="AY17" s="5">
        <v>3.0083217912982652E-3</v>
      </c>
      <c r="AZ17" s="82">
        <v>0.3897765000612512</v>
      </c>
      <c r="BA17" s="16">
        <f>STDEVA(BA7, BA9, BA11, BA13)</f>
        <v>1.7354925757282844E-2</v>
      </c>
      <c r="BB17" s="54">
        <f>STDEVA(BB7, BB9, BB11, BB13)</f>
        <v>36.014501463187138</v>
      </c>
      <c r="BC17" s="16">
        <f t="shared" ref="BC17:BD17" si="4">STDEVA(BC7, BC9, BC11, BC13)</f>
        <v>0.19023429952828119</v>
      </c>
      <c r="BD17" s="16">
        <f t="shared" si="4"/>
        <v>0.17993318164122302</v>
      </c>
      <c r="BF17" s="28">
        <f>STDEVA(K16, Y16, AM16, BA16)</f>
        <v>7.4920470894268097E-3</v>
      </c>
      <c r="BG17" s="29">
        <f>STDEVA(M16, AA16, AO16, BC16)</f>
        <v>0.14047602612139995</v>
      </c>
      <c r="BH17" s="29">
        <f>STDEVA(N16, AB16, AP16, BD16)</f>
        <v>0.13923988674870197</v>
      </c>
    </row>
    <row r="18" spans="1:62" s="4" customFormat="1" x14ac:dyDescent="0.2">
      <c r="A18" s="9"/>
      <c r="J18" s="82"/>
      <c r="K18" s="20"/>
      <c r="L18" s="51"/>
      <c r="M18" s="19"/>
      <c r="N18" s="19"/>
      <c r="X18" s="82"/>
      <c r="Y18" s="20"/>
      <c r="Z18" s="51"/>
      <c r="AA18" s="19"/>
      <c r="AB18" s="19"/>
      <c r="AL18" s="82"/>
      <c r="AM18" s="20"/>
      <c r="AN18" s="51"/>
      <c r="AO18" s="19"/>
      <c r="AP18" s="19"/>
      <c r="AZ18" s="82"/>
      <c r="BA18" s="20"/>
      <c r="BB18" s="51"/>
      <c r="BC18" s="19"/>
      <c r="BD18" s="19"/>
    </row>
    <row r="19" spans="1:62" s="4" customFormat="1" x14ac:dyDescent="0.2">
      <c r="A19" s="6" t="s">
        <v>96</v>
      </c>
      <c r="C19" s="5"/>
      <c r="D19" s="5"/>
      <c r="E19" s="5"/>
      <c r="F19" s="5"/>
      <c r="G19" s="5"/>
      <c r="H19" s="5"/>
      <c r="I19" s="5"/>
      <c r="J19" s="82"/>
      <c r="K19" s="10"/>
      <c r="L19" s="51"/>
      <c r="M19" s="16"/>
      <c r="N19" s="16"/>
      <c r="Q19" s="5"/>
      <c r="R19" s="5"/>
      <c r="S19" s="5"/>
      <c r="T19" s="5"/>
      <c r="U19" s="5"/>
      <c r="V19" s="5"/>
      <c r="W19" s="5"/>
      <c r="X19" s="82"/>
      <c r="Y19" s="10"/>
      <c r="Z19" s="51"/>
      <c r="AA19" s="16"/>
      <c r="AB19" s="16"/>
      <c r="AE19" s="5"/>
      <c r="AF19" s="5"/>
      <c r="AG19" s="5"/>
      <c r="AH19" s="5"/>
      <c r="AI19" s="5"/>
      <c r="AJ19" s="5"/>
      <c r="AK19" s="5"/>
      <c r="AL19" s="82"/>
      <c r="AM19" s="10"/>
      <c r="AN19" s="51"/>
      <c r="AO19" s="16"/>
      <c r="AP19" s="16"/>
      <c r="AS19" s="5"/>
      <c r="AT19" s="5"/>
      <c r="AU19" s="5"/>
      <c r="AV19" s="5"/>
      <c r="AW19" s="5"/>
      <c r="AX19" s="5"/>
      <c r="AY19" s="5"/>
      <c r="AZ19" s="82"/>
      <c r="BA19" s="10"/>
      <c r="BB19" s="51"/>
      <c r="BC19" s="16"/>
      <c r="BD19" s="16"/>
    </row>
    <row r="20" spans="1:62" s="4" customFormat="1" x14ac:dyDescent="0.2">
      <c r="A20" s="22" t="s">
        <v>196</v>
      </c>
      <c r="B20" s="4">
        <v>58.61</v>
      </c>
      <c r="C20" s="4">
        <v>9.3699999999999992</v>
      </c>
      <c r="D20" s="4">
        <v>10.85</v>
      </c>
      <c r="E20" s="4">
        <v>0.08</v>
      </c>
      <c r="F20" s="4">
        <v>20.309999999999999</v>
      </c>
      <c r="G20" s="4">
        <v>0.43</v>
      </c>
      <c r="H20" s="4">
        <v>0.04</v>
      </c>
      <c r="J20" s="82"/>
      <c r="K20" s="10">
        <v>0.10745888843149223</v>
      </c>
      <c r="L20" s="51">
        <v>1026.3572110482173</v>
      </c>
      <c r="M20" s="16">
        <v>-1.7033664053632762</v>
      </c>
      <c r="N20" s="16">
        <v>-1.3463413529894943</v>
      </c>
      <c r="P20" s="4">
        <v>58.61</v>
      </c>
      <c r="Q20" s="4">
        <v>9.3699999999999992</v>
      </c>
      <c r="R20" s="4">
        <v>10.85</v>
      </c>
      <c r="S20" s="4">
        <v>0.08</v>
      </c>
      <c r="T20" s="4">
        <v>20.309999999999999</v>
      </c>
      <c r="U20" s="4">
        <v>0.43</v>
      </c>
      <c r="V20" s="4">
        <v>0.04</v>
      </c>
      <c r="X20" s="82"/>
      <c r="Y20" s="10">
        <v>0.10745888843149223</v>
      </c>
      <c r="Z20" s="51">
        <v>1026.3572110482173</v>
      </c>
      <c r="AA20" s="16">
        <v>-1.7033664053632762</v>
      </c>
      <c r="AB20" s="16">
        <v>-1.3463413529894943</v>
      </c>
      <c r="AD20" s="4">
        <v>58.61</v>
      </c>
      <c r="AE20" s="4">
        <v>9.3699999999999992</v>
      </c>
      <c r="AF20" s="4">
        <v>10.85</v>
      </c>
      <c r="AG20" s="4">
        <v>0.08</v>
      </c>
      <c r="AH20" s="4">
        <v>20.309999999999999</v>
      </c>
      <c r="AI20" s="4">
        <v>0.43</v>
      </c>
      <c r="AJ20" s="4">
        <v>0.04</v>
      </c>
      <c r="AL20" s="82"/>
      <c r="AM20" s="10">
        <v>0.10745888843149223</v>
      </c>
      <c r="AN20" s="51">
        <v>1026.3572110482173</v>
      </c>
      <c r="AO20" s="16">
        <v>-1.7033664053632762</v>
      </c>
      <c r="AP20" s="16">
        <v>-1.3463413529894943</v>
      </c>
      <c r="AR20" s="4">
        <v>58.61</v>
      </c>
      <c r="AS20" s="4">
        <v>9.3699999999999992</v>
      </c>
      <c r="AT20" s="4">
        <v>10.85</v>
      </c>
      <c r="AU20" s="4">
        <v>0.08</v>
      </c>
      <c r="AV20" s="4">
        <v>20.309999999999999</v>
      </c>
      <c r="AW20" s="4">
        <v>0.43</v>
      </c>
      <c r="AX20" s="4">
        <v>0.04</v>
      </c>
      <c r="AZ20" s="82"/>
      <c r="BA20" s="10">
        <v>0.10745888843149223</v>
      </c>
      <c r="BB20" s="51">
        <v>1026.3572110482173</v>
      </c>
      <c r="BC20" s="16">
        <v>-1.7033664053632762</v>
      </c>
      <c r="BD20" s="16">
        <v>-1.3463413529894943</v>
      </c>
      <c r="BF20" s="10">
        <f>BA20</f>
        <v>0.10745888843149223</v>
      </c>
      <c r="BG20" s="16">
        <f t="shared" ref="BG20" si="5">BC20</f>
        <v>-1.7033664053632762</v>
      </c>
      <c r="BH20" s="16">
        <f t="shared" ref="BH20" si="6">BD20</f>
        <v>-1.3463413529894943</v>
      </c>
    </row>
    <row r="21" spans="1:62" s="4" customFormat="1" ht="6.75" customHeight="1" x14ac:dyDescent="0.2">
      <c r="J21" s="82"/>
      <c r="K21" s="10"/>
      <c r="L21" s="51"/>
      <c r="M21" s="16"/>
      <c r="N21" s="16"/>
      <c r="X21" s="82"/>
      <c r="Y21" s="10"/>
      <c r="Z21" s="51"/>
      <c r="AA21" s="16"/>
      <c r="AB21" s="16"/>
      <c r="AL21" s="82"/>
      <c r="AM21" s="10"/>
      <c r="AN21" s="51"/>
      <c r="AO21" s="16"/>
      <c r="AP21" s="16"/>
      <c r="AZ21" s="82"/>
      <c r="BA21" s="10"/>
      <c r="BB21" s="51"/>
      <c r="BC21" s="16"/>
      <c r="BD21" s="16"/>
    </row>
    <row r="22" spans="1:62" s="4" customFormat="1" x14ac:dyDescent="0.2">
      <c r="A22" s="4" t="s">
        <v>80</v>
      </c>
      <c r="B22" s="5">
        <v>58.429999999999993</v>
      </c>
      <c r="C22" s="5">
        <v>9.4139999999999997</v>
      </c>
      <c r="D22" s="5">
        <v>10.702</v>
      </c>
      <c r="E22" s="5">
        <v>9.4460000000000002E-2</v>
      </c>
      <c r="F22" s="5">
        <v>20.533999999999999</v>
      </c>
      <c r="G22" s="5">
        <v>0.40098</v>
      </c>
      <c r="H22" s="5">
        <v>6.1460000000000001E-2</v>
      </c>
      <c r="I22" s="5">
        <v>1.6300000000000002E-2</v>
      </c>
      <c r="J22" s="82">
        <v>99.653280000000009</v>
      </c>
      <c r="K22" s="10">
        <v>0.12554417984622726</v>
      </c>
      <c r="L22" s="51">
        <v>1078.0239142970504</v>
      </c>
      <c r="M22" s="16">
        <v>-1.5379699771680413</v>
      </c>
      <c r="N22" s="16">
        <v>-1.199114672157978</v>
      </c>
      <c r="P22" s="5">
        <v>60.286000000000001</v>
      </c>
      <c r="Q22" s="5">
        <v>9.4760000000000009</v>
      </c>
      <c r="R22" s="5">
        <v>10.545999999999999</v>
      </c>
      <c r="S22" s="5">
        <v>9.4539999999999985E-2</v>
      </c>
      <c r="T22" s="5">
        <v>21.198</v>
      </c>
      <c r="U22" s="5">
        <v>0.40120000000000006</v>
      </c>
      <c r="V22" s="5">
        <v>6.1560000000000004E-2</v>
      </c>
      <c r="W22" s="5">
        <v>1.6319999999999998E-2</v>
      </c>
      <c r="X22" s="82">
        <v>102.07956</v>
      </c>
      <c r="Y22" s="10">
        <v>0.10784137652857849</v>
      </c>
      <c r="Z22" s="51">
        <v>1097.94678226216</v>
      </c>
      <c r="AA22" s="16">
        <v>-1.8917253286902149</v>
      </c>
      <c r="AB22" s="16">
        <v>-1.5465249240889758</v>
      </c>
      <c r="AD22" s="5">
        <v>59.491999999999997</v>
      </c>
      <c r="AE22" s="5">
        <v>9.4060000000000006</v>
      </c>
      <c r="AF22" s="5">
        <v>10.506</v>
      </c>
      <c r="AG22" s="5">
        <v>9.3640000000000001E-2</v>
      </c>
      <c r="AH22" s="5">
        <v>20.883999999999997</v>
      </c>
      <c r="AI22" s="5">
        <v>0.39328000000000002</v>
      </c>
      <c r="AJ22" s="5">
        <v>6.0600000000000001E-2</v>
      </c>
      <c r="AK22" s="5">
        <v>1.6099999999999996E-2</v>
      </c>
      <c r="AL22" s="82">
        <v>100.85155999999999</v>
      </c>
      <c r="AM22" s="10">
        <v>0.10739949604112482</v>
      </c>
      <c r="AN22" s="51">
        <v>1086.1686376861726</v>
      </c>
      <c r="AO22" s="16">
        <v>-1.8682189336245003</v>
      </c>
      <c r="AP22" s="16">
        <v>-1.521294686892114</v>
      </c>
      <c r="AR22" s="5">
        <v>59.680799999999998</v>
      </c>
      <c r="AS22" s="5">
        <v>9.3092000000000006</v>
      </c>
      <c r="AT22" s="5">
        <v>10.3338</v>
      </c>
      <c r="AU22" s="5">
        <v>9.1800000000000007E-2</v>
      </c>
      <c r="AV22" s="5">
        <v>21.035399999999999</v>
      </c>
      <c r="AW22" s="5">
        <v>0.38639999999999997</v>
      </c>
      <c r="AX22" s="5">
        <v>5.96E-2</v>
      </c>
      <c r="AY22" s="5">
        <v>1.6400000000000001E-2</v>
      </c>
      <c r="AZ22" s="82">
        <v>100.91340000000001</v>
      </c>
      <c r="BA22" s="10">
        <v>0.10938282046056709</v>
      </c>
      <c r="BB22" s="51">
        <v>1113.0262587125812</v>
      </c>
      <c r="BC22" s="16">
        <v>-1.903083434448037</v>
      </c>
      <c r="BD22" s="16">
        <v>-1.5596764723875669</v>
      </c>
    </row>
    <row r="23" spans="1:62" s="4" customFormat="1" x14ac:dyDescent="0.2">
      <c r="A23" s="4" t="s">
        <v>44</v>
      </c>
      <c r="B23" s="5">
        <v>0.36076308015094949</v>
      </c>
      <c r="C23" s="5">
        <v>3.646916505762126E-2</v>
      </c>
      <c r="D23" s="5">
        <v>0.31075713990188575</v>
      </c>
      <c r="E23" s="5">
        <v>2.2453128957898059E-2</v>
      </c>
      <c r="F23" s="5">
        <v>0.21173096136370781</v>
      </c>
      <c r="G23" s="5">
        <v>1.8286798516963014E-2</v>
      </c>
      <c r="H23" s="5">
        <v>9.4145100775344936E-3</v>
      </c>
      <c r="I23" s="5">
        <v>4.438468204234422E-3</v>
      </c>
      <c r="J23" s="82">
        <v>0.15279915575682992</v>
      </c>
      <c r="K23" s="10"/>
      <c r="L23" s="51"/>
      <c r="M23" s="16"/>
      <c r="N23" s="16"/>
      <c r="P23" s="5">
        <v>0.37085037414029953</v>
      </c>
      <c r="Q23" s="5">
        <v>3.84707681233427E-2</v>
      </c>
      <c r="R23" s="5">
        <v>0.30656157619636587</v>
      </c>
      <c r="S23" s="5">
        <v>2.2446113249291137E-2</v>
      </c>
      <c r="T23" s="5">
        <v>0.21545301111843321</v>
      </c>
      <c r="U23" s="5">
        <v>1.8324710093204744E-2</v>
      </c>
      <c r="V23" s="5">
        <v>9.4145100775345873E-3</v>
      </c>
      <c r="W23" s="5">
        <v>4.4053376715071559E-3</v>
      </c>
      <c r="X23" s="82">
        <v>0.15577401259516752</v>
      </c>
      <c r="Y23" s="10"/>
      <c r="Z23" s="51"/>
      <c r="AA23" s="16"/>
      <c r="AB23" s="16"/>
      <c r="AD23" s="5">
        <v>0.35954137453149909</v>
      </c>
      <c r="AE23" s="5">
        <v>3.8470768123342401E-2</v>
      </c>
      <c r="AF23" s="5">
        <v>0.30656157619636543</v>
      </c>
      <c r="AG23" s="5">
        <v>2.2261693556421141E-2</v>
      </c>
      <c r="AH23" s="5">
        <v>0.21173096136370856</v>
      </c>
      <c r="AI23" s="5">
        <v>1.7948175394730235E-2</v>
      </c>
      <c r="AJ23" s="5">
        <v>9.2687647504939834E-3</v>
      </c>
      <c r="AK23" s="5">
        <v>4.3749285708454847E-3</v>
      </c>
      <c r="AL23" s="82">
        <v>0.14891092303790368</v>
      </c>
      <c r="AM23" s="10"/>
      <c r="AN23" s="51"/>
      <c r="AO23" s="16"/>
      <c r="AP23" s="16"/>
      <c r="AR23" s="5">
        <v>0.36045901292657351</v>
      </c>
      <c r="AS23" s="5">
        <v>3.8153636786025555E-2</v>
      </c>
      <c r="AT23" s="5">
        <v>0.30193327077352711</v>
      </c>
      <c r="AU23" s="5">
        <v>2.1822007240398386E-2</v>
      </c>
      <c r="AV23" s="5">
        <v>0.21619042531990154</v>
      </c>
      <c r="AW23" s="5">
        <v>1.7643695757975419E-2</v>
      </c>
      <c r="AX23" s="5">
        <v>8.9610267268879495E-3</v>
      </c>
      <c r="AY23" s="5">
        <v>4.7222875812470318E-3</v>
      </c>
      <c r="AZ23" s="82">
        <v>0.16659771907202164</v>
      </c>
      <c r="BA23" s="10"/>
      <c r="BB23" s="51"/>
      <c r="BC23" s="16"/>
      <c r="BD23" s="16"/>
    </row>
    <row r="24" spans="1:62" s="4" customFormat="1" x14ac:dyDescent="0.2">
      <c r="A24" s="4" t="s">
        <v>81</v>
      </c>
      <c r="B24" s="5">
        <v>58.631999999999991</v>
      </c>
      <c r="C24" s="5">
        <v>9.3600000000000012</v>
      </c>
      <c r="D24" s="5">
        <v>10.894</v>
      </c>
      <c r="E24" s="5">
        <v>9.9419999999999994E-2</v>
      </c>
      <c r="F24" s="5">
        <v>20.339999999999996</v>
      </c>
      <c r="G24" s="5">
        <v>0.39257999999999998</v>
      </c>
      <c r="H24" s="5">
        <v>6.6979999999999998E-2</v>
      </c>
      <c r="I24" s="5">
        <v>1.2839999999999999E-2</v>
      </c>
      <c r="J24" s="82">
        <v>99.797839999999994</v>
      </c>
      <c r="K24" s="10">
        <v>0.10648203482375782</v>
      </c>
      <c r="L24" s="51">
        <v>1022.3669267622744</v>
      </c>
      <c r="M24" s="16">
        <v>-1.7059201703967068</v>
      </c>
      <c r="N24" s="16">
        <v>-1.3514396169761032</v>
      </c>
      <c r="P24" s="5">
        <v>60.483999999999995</v>
      </c>
      <c r="Q24" s="5">
        <v>9.4220000000000006</v>
      </c>
      <c r="R24" s="5">
        <v>10.736000000000001</v>
      </c>
      <c r="S24" s="5">
        <v>9.9519999999999983E-2</v>
      </c>
      <c r="T24" s="5">
        <v>20.994</v>
      </c>
      <c r="U24" s="5">
        <v>0.39276</v>
      </c>
      <c r="V24" s="5">
        <v>6.7059999999999995E-2</v>
      </c>
      <c r="W24" s="5">
        <v>1.286E-2</v>
      </c>
      <c r="X24" s="82">
        <v>102.20813999999999</v>
      </c>
      <c r="Y24" s="10">
        <v>8.7780408597168486E-2</v>
      </c>
      <c r="Z24" s="51">
        <v>1039.4214875881312</v>
      </c>
      <c r="AA24" s="16">
        <v>-2.1281223196006644</v>
      </c>
      <c r="AB24" s="16">
        <v>-1.7658694073094541</v>
      </c>
      <c r="AD24" s="5">
        <v>59.694000000000003</v>
      </c>
      <c r="AE24" s="5">
        <v>9.3520000000000003</v>
      </c>
      <c r="AF24" s="5">
        <v>10.696000000000002</v>
      </c>
      <c r="AG24" s="5">
        <v>9.8560000000000009E-2</v>
      </c>
      <c r="AH24" s="5">
        <v>20.686</v>
      </c>
      <c r="AI24" s="5">
        <v>0.38502000000000003</v>
      </c>
      <c r="AJ24" s="5">
        <v>6.608E-2</v>
      </c>
      <c r="AK24" s="5">
        <v>1.268E-2</v>
      </c>
      <c r="AL24" s="82">
        <v>100.99028000000001</v>
      </c>
      <c r="AM24" s="10">
        <v>8.7765589325704607E-2</v>
      </c>
      <c r="AN24" s="51">
        <v>1029.2597318301914</v>
      </c>
      <c r="AO24" s="16">
        <v>-2.0989277070028489</v>
      </c>
      <c r="AP24" s="16">
        <v>-1.7354971302474063</v>
      </c>
      <c r="AR24" s="5">
        <v>59.891599999999997</v>
      </c>
      <c r="AS24" s="5">
        <v>9.2585999999999995</v>
      </c>
      <c r="AT24" s="5">
        <v>10.522</v>
      </c>
      <c r="AU24" s="5">
        <v>9.6599999999999991E-2</v>
      </c>
      <c r="AV24" s="5">
        <v>20.836399999999998</v>
      </c>
      <c r="AW24" s="5">
        <v>0.37839999999999996</v>
      </c>
      <c r="AX24" s="5">
        <v>6.4799999999999996E-2</v>
      </c>
      <c r="AY24" s="5">
        <v>1.26E-2</v>
      </c>
      <c r="AZ24" s="82">
        <v>101.06099999999999</v>
      </c>
      <c r="BA24" s="10">
        <v>8.8783081876829595E-2</v>
      </c>
      <c r="BB24" s="51">
        <v>1052.4090729474055</v>
      </c>
      <c r="BC24" s="16">
        <v>-2.1431030080493336</v>
      </c>
      <c r="BD24" s="16">
        <v>-1.7818665473465884</v>
      </c>
    </row>
    <row r="25" spans="1:62" s="4" customFormat="1" x14ac:dyDescent="0.2">
      <c r="A25" s="4" t="s">
        <v>44</v>
      </c>
      <c r="B25" s="5">
        <v>0.42611031435533431</v>
      </c>
      <c r="C25" s="5">
        <v>5.3385391260156248E-2</v>
      </c>
      <c r="D25" s="5">
        <v>0.21030929603800222</v>
      </c>
      <c r="E25" s="5">
        <v>1.3365141226339534E-2</v>
      </c>
      <c r="F25" s="5">
        <v>0.26916537667389534</v>
      </c>
      <c r="G25" s="5">
        <v>2.755770309731927E-2</v>
      </c>
      <c r="H25" s="5">
        <v>8.1072190053063185E-3</v>
      </c>
      <c r="I25" s="5">
        <v>7.9065162998630464E-3</v>
      </c>
      <c r="J25" s="82">
        <v>0.34738064569000021</v>
      </c>
      <c r="K25" s="10"/>
      <c r="L25" s="51"/>
      <c r="M25" s="16"/>
      <c r="N25" s="16"/>
      <c r="P25" s="5">
        <v>0.42128375235700644</v>
      </c>
      <c r="Q25" s="5">
        <v>5.4497706373754833E-2</v>
      </c>
      <c r="R25" s="5">
        <v>0.20586403279834992</v>
      </c>
      <c r="S25" s="5">
        <v>1.3365141226339665E-2</v>
      </c>
      <c r="T25" s="5">
        <v>0.28041041350135282</v>
      </c>
      <c r="U25" s="5">
        <v>2.7583835846379304E-2</v>
      </c>
      <c r="V25" s="5">
        <v>8.1057387078538393E-3</v>
      </c>
      <c r="W25" s="5">
        <v>7.9178911333763636E-3</v>
      </c>
      <c r="X25" s="82">
        <v>0.33521163911773699</v>
      </c>
      <c r="Y25" s="10"/>
      <c r="Z25" s="51"/>
      <c r="AA25" s="16"/>
      <c r="AB25" s="16"/>
      <c r="AD25" s="5">
        <v>0.42317844935676863</v>
      </c>
      <c r="AE25" s="5">
        <v>5.4497706373755055E-2</v>
      </c>
      <c r="AF25" s="5">
        <v>0.20586403279834972</v>
      </c>
      <c r="AG25" s="5">
        <v>1.3233404701738675E-2</v>
      </c>
      <c r="AH25" s="5">
        <v>0.27245183060497014</v>
      </c>
      <c r="AI25" s="5">
        <v>2.707594873684023E-2</v>
      </c>
      <c r="AJ25" s="5">
        <v>7.9775936221394457E-3</v>
      </c>
      <c r="AK25" s="5">
        <v>7.8228511426461384E-3</v>
      </c>
      <c r="AL25" s="82">
        <v>0.34785602912699015</v>
      </c>
      <c r="AM25" s="10"/>
      <c r="AN25" s="51"/>
      <c r="AO25" s="16"/>
      <c r="AP25" s="16"/>
      <c r="AR25" s="5">
        <v>0.44401497722486594</v>
      </c>
      <c r="AS25" s="5">
        <v>5.4219922537753727E-2</v>
      </c>
      <c r="AT25" s="5">
        <v>0.20251296254807957</v>
      </c>
      <c r="AU25" s="5">
        <v>1.3334166640626647E-2</v>
      </c>
      <c r="AV25" s="5">
        <v>0.2753485064422912</v>
      </c>
      <c r="AW25" s="5">
        <v>2.6735743864721634E-2</v>
      </c>
      <c r="AX25" s="5">
        <v>7.7910204723129831E-3</v>
      </c>
      <c r="AY25" s="5">
        <v>7.861297602813417E-3</v>
      </c>
      <c r="AZ25" s="82">
        <v>0.36634955984687578</v>
      </c>
      <c r="BA25" s="10"/>
      <c r="BB25" s="51"/>
      <c r="BC25" s="16"/>
      <c r="BD25" s="16"/>
    </row>
    <row r="26" spans="1:62" s="4" customFormat="1" x14ac:dyDescent="0.2">
      <c r="A26" s="4" t="s">
        <v>82</v>
      </c>
      <c r="B26" s="5">
        <v>58.06</v>
      </c>
      <c r="C26" s="5">
        <v>9.3874999999999993</v>
      </c>
      <c r="D26" s="5">
        <v>10.865</v>
      </c>
      <c r="E26" s="5">
        <v>9.9324999999999997E-2</v>
      </c>
      <c r="F26" s="5">
        <v>20.364999999999998</v>
      </c>
      <c r="G26" s="5">
        <v>0.39889999999999998</v>
      </c>
      <c r="H26" s="5">
        <v>7.2150000000000006E-2</v>
      </c>
      <c r="I26" s="5">
        <v>1.6449999999999999E-2</v>
      </c>
      <c r="J26" s="82">
        <v>99.264399999999995</v>
      </c>
      <c r="K26" s="10">
        <v>0.1309208969874962</v>
      </c>
      <c r="L26" s="51">
        <v>1062.0966271917655</v>
      </c>
      <c r="M26" s="16">
        <v>-1.4096446005768755</v>
      </c>
      <c r="N26" s="16">
        <v>-1.0725214615966756</v>
      </c>
      <c r="P26" s="5">
        <v>59.905000000000001</v>
      </c>
      <c r="Q26" s="5">
        <v>9.4525000000000006</v>
      </c>
      <c r="R26" s="5">
        <v>10.712499999999999</v>
      </c>
      <c r="S26" s="5">
        <v>9.9424999999999999E-2</v>
      </c>
      <c r="T26" s="5">
        <v>21.022500000000001</v>
      </c>
      <c r="U26" s="5">
        <v>0.39910000000000001</v>
      </c>
      <c r="V26" s="5">
        <v>7.2249999999999995E-2</v>
      </c>
      <c r="W26" s="5">
        <v>1.6475E-2</v>
      </c>
      <c r="X26" s="82">
        <v>101.67970000000001</v>
      </c>
      <c r="Y26" s="10">
        <v>0.11341894332509747</v>
      </c>
      <c r="Z26" s="51">
        <v>1080.8748245493794</v>
      </c>
      <c r="AA26" s="16">
        <v>-1.7464503411837606</v>
      </c>
      <c r="AB26" s="16">
        <v>-1.402348063112262</v>
      </c>
      <c r="AD26" s="5">
        <v>59.122500000000002</v>
      </c>
      <c r="AE26" s="5">
        <v>9.3825000000000003</v>
      </c>
      <c r="AF26" s="5">
        <v>10.67</v>
      </c>
      <c r="AG26" s="5">
        <v>9.8524999999999988E-2</v>
      </c>
      <c r="AH26" s="5">
        <v>20.715</v>
      </c>
      <c r="AI26" s="5">
        <v>0.39124999999999999</v>
      </c>
      <c r="AJ26" s="5">
        <v>7.1199999999999999E-2</v>
      </c>
      <c r="AK26" s="5">
        <v>1.6274999999999998E-2</v>
      </c>
      <c r="AL26" s="82">
        <v>100.46715</v>
      </c>
      <c r="AM26" s="10">
        <v>0.11310411451350796</v>
      </c>
      <c r="AN26" s="51">
        <v>1069.9676756640933</v>
      </c>
      <c r="AO26" s="16">
        <v>-1.7220620212305835</v>
      </c>
      <c r="AP26" s="16">
        <v>-1.3765394265415729</v>
      </c>
      <c r="AR26" s="5">
        <v>59.278000000000006</v>
      </c>
      <c r="AS26" s="5">
        <v>9.2855000000000008</v>
      </c>
      <c r="AT26" s="5">
        <v>10.495750000000001</v>
      </c>
      <c r="AU26" s="5">
        <v>9.6750000000000003E-2</v>
      </c>
      <c r="AV26" s="5">
        <v>20.860999999999997</v>
      </c>
      <c r="AW26" s="5">
        <v>0.38450000000000001</v>
      </c>
      <c r="AX26" s="5">
        <v>7.0000000000000007E-2</v>
      </c>
      <c r="AY26" s="5">
        <v>1.6249999999999997E-2</v>
      </c>
      <c r="AZ26" s="82">
        <v>100.48775000000001</v>
      </c>
      <c r="BA26" s="10">
        <v>0.11601164321246268</v>
      </c>
      <c r="BB26" s="51">
        <v>1097.2800990952828</v>
      </c>
      <c r="BC26" s="16">
        <v>-1.7454749974704045</v>
      </c>
      <c r="BD26" s="16">
        <v>-1.4036024727135921</v>
      </c>
    </row>
    <row r="27" spans="1:62" s="4" customFormat="1" x14ac:dyDescent="0.2">
      <c r="A27" s="4" t="s">
        <v>44</v>
      </c>
      <c r="B27" s="5">
        <v>0.12274635093014828</v>
      </c>
      <c r="C27" s="5">
        <v>5.5602757725373896E-2</v>
      </c>
      <c r="D27" s="5">
        <v>0.15926916420533685</v>
      </c>
      <c r="E27" s="5">
        <v>1.1975913326339733E-2</v>
      </c>
      <c r="F27" s="5">
        <v>0.11269427669584599</v>
      </c>
      <c r="G27" s="5">
        <v>2.1313063286788857E-2</v>
      </c>
      <c r="H27" s="5">
        <v>2.1977260975835898E-3</v>
      </c>
      <c r="I27" s="5">
        <v>5.2105661880452129E-3</v>
      </c>
      <c r="J27" s="82">
        <v>0.17512709670408005</v>
      </c>
      <c r="K27" s="10"/>
      <c r="L27" s="51"/>
      <c r="M27" s="16"/>
      <c r="N27" s="16"/>
      <c r="P27" s="5">
        <v>0.12662279942148477</v>
      </c>
      <c r="Q27" s="5">
        <v>6.0207972893961841E-2</v>
      </c>
      <c r="R27" s="5">
        <v>0.16418993066973744</v>
      </c>
      <c r="S27" s="5">
        <v>1.1975913326339733E-2</v>
      </c>
      <c r="T27" s="5">
        <v>0.1158663022625647</v>
      </c>
      <c r="U27" s="5">
        <v>2.1313063286788836E-2</v>
      </c>
      <c r="V27" s="5">
        <v>2.1977260975835937E-3</v>
      </c>
      <c r="W27" s="5">
        <v>5.2213504000402046E-3</v>
      </c>
      <c r="X27" s="82">
        <v>0.1835188818623317</v>
      </c>
      <c r="Y27" s="10"/>
      <c r="Z27" s="51"/>
      <c r="AA27" s="16"/>
      <c r="AB27" s="16"/>
      <c r="AD27" s="5">
        <v>0.12257650672131443</v>
      </c>
      <c r="AE27" s="5">
        <v>6.0207972893961001E-2</v>
      </c>
      <c r="AF27" s="5">
        <v>0.16186414056238652</v>
      </c>
      <c r="AG27" s="5">
        <v>1.1863213448865187E-2</v>
      </c>
      <c r="AH27" s="5">
        <v>0.11269427669584704</v>
      </c>
      <c r="AI27" s="5">
        <v>2.0877659511225541E-2</v>
      </c>
      <c r="AJ27" s="5">
        <v>2.1494185260204695E-3</v>
      </c>
      <c r="AK27" s="5">
        <v>5.116232337700608E-3</v>
      </c>
      <c r="AL27" s="82">
        <v>0.17462364292004595</v>
      </c>
      <c r="AM27" s="10"/>
      <c r="AN27" s="51"/>
      <c r="AO27" s="16"/>
      <c r="AP27" s="16"/>
      <c r="AR27" s="5">
        <v>0.13560973416388505</v>
      </c>
      <c r="AS27" s="5">
        <v>5.6789083458002515E-2</v>
      </c>
      <c r="AT27" s="5">
        <v>0.15882773687237411</v>
      </c>
      <c r="AU27" s="5">
        <v>1.1586630226256372E-2</v>
      </c>
      <c r="AV27" s="5">
        <v>0.11585047834745042</v>
      </c>
      <c r="AW27" s="5">
        <v>2.0371548787463351E-2</v>
      </c>
      <c r="AX27" s="5">
        <v>2.1602468994692823E-3</v>
      </c>
      <c r="AY27" s="5">
        <v>5.3774219349672333E-3</v>
      </c>
      <c r="AZ27" s="82">
        <v>0.19360160984179703</v>
      </c>
      <c r="BA27" s="10"/>
      <c r="BB27" s="51"/>
      <c r="BC27" s="16"/>
      <c r="BD27" s="16"/>
    </row>
    <row r="28" spans="1:62" s="4" customFormat="1" x14ac:dyDescent="0.2">
      <c r="A28" s="4" t="s">
        <v>83</v>
      </c>
      <c r="B28" s="5">
        <v>57.628</v>
      </c>
      <c r="C28" s="5">
        <v>10.154</v>
      </c>
      <c r="D28" s="5">
        <v>10.98</v>
      </c>
      <c r="E28" s="5">
        <v>9.8619999999999999E-2</v>
      </c>
      <c r="F28" s="5">
        <v>20.410000000000004</v>
      </c>
      <c r="G28" s="5">
        <v>0.38100000000000006</v>
      </c>
      <c r="H28" s="5">
        <v>6.4500000000000002E-2</v>
      </c>
      <c r="I28" s="5">
        <v>1.5099999999999999E-2</v>
      </c>
      <c r="J28" s="82">
        <v>99.731300000000005</v>
      </c>
      <c r="K28" s="10">
        <v>0.13782879702558384</v>
      </c>
      <c r="L28" s="51">
        <v>1077.6533512195351</v>
      </c>
      <c r="M28" s="16">
        <v>-1.3474448460581261</v>
      </c>
      <c r="N28" s="16">
        <v>-1.0194651815696245</v>
      </c>
      <c r="P28" s="5">
        <v>59.464000000000013</v>
      </c>
      <c r="Q28" s="5">
        <v>10.222</v>
      </c>
      <c r="R28" s="5">
        <v>10.821999999999999</v>
      </c>
      <c r="S28" s="5">
        <v>9.870000000000001E-2</v>
      </c>
      <c r="T28" s="5">
        <v>21.068000000000001</v>
      </c>
      <c r="U28" s="5">
        <v>0.38120000000000004</v>
      </c>
      <c r="V28" s="5">
        <v>6.4599999999999991E-2</v>
      </c>
      <c r="W28" s="5">
        <v>1.5140000000000001E-2</v>
      </c>
      <c r="X28" s="82">
        <v>102.13554000000002</v>
      </c>
      <c r="Y28" s="10">
        <v>0.12068726336986867</v>
      </c>
      <c r="Z28" s="51">
        <v>1096.8813462648664</v>
      </c>
      <c r="AA28" s="16">
        <v>-1.6657498970657121</v>
      </c>
      <c r="AB28" s="16">
        <v>-1.3307991346145132</v>
      </c>
      <c r="AD28" s="5">
        <v>58.698</v>
      </c>
      <c r="AE28" s="5">
        <v>10.148000000000001</v>
      </c>
      <c r="AF28" s="5">
        <v>10.779999999999998</v>
      </c>
      <c r="AG28" s="5">
        <v>9.7780000000000006E-2</v>
      </c>
      <c r="AH28" s="5">
        <v>20.765999999999998</v>
      </c>
      <c r="AI28" s="5">
        <v>0.37365999999999999</v>
      </c>
      <c r="AJ28" s="5">
        <v>6.3600000000000004E-2</v>
      </c>
      <c r="AK28" s="5">
        <v>1.4959999999999998E-2</v>
      </c>
      <c r="AL28" s="82">
        <v>100.94195999999999</v>
      </c>
      <c r="AM28" s="10">
        <v>0.1204425244546747</v>
      </c>
      <c r="AN28" s="51">
        <v>1086.2963015084511</v>
      </c>
      <c r="AO28" s="16">
        <v>-1.6413079293137824</v>
      </c>
      <c r="AP28" s="16">
        <v>-1.305098873440361</v>
      </c>
      <c r="AR28" s="5">
        <v>58.883799999999994</v>
      </c>
      <c r="AS28" s="5">
        <v>10.0466</v>
      </c>
      <c r="AT28" s="5">
        <v>10.607200000000001</v>
      </c>
      <c r="AU28" s="5">
        <v>9.6000000000000002E-2</v>
      </c>
      <c r="AV28" s="5">
        <v>20.9116</v>
      </c>
      <c r="AW28" s="5">
        <v>0.36719999999999997</v>
      </c>
      <c r="AX28" s="5">
        <v>6.2600000000000003E-2</v>
      </c>
      <c r="AY28" s="5">
        <v>1.4800000000000002E-2</v>
      </c>
      <c r="AZ28" s="82">
        <v>100.9898</v>
      </c>
      <c r="BA28" s="10">
        <v>0.12227364720608461</v>
      </c>
      <c r="BB28" s="51">
        <v>1111.620755465317</v>
      </c>
      <c r="BC28" s="16">
        <v>-1.6783028320102749</v>
      </c>
      <c r="BD28" s="16">
        <v>-1.3448184214297205</v>
      </c>
    </row>
    <row r="29" spans="1:62" s="4" customFormat="1" x14ac:dyDescent="0.2">
      <c r="A29" s="4" t="s">
        <v>44</v>
      </c>
      <c r="B29" s="5">
        <v>0.20315019074566407</v>
      </c>
      <c r="C29" s="5">
        <v>8.2643814045578065E-2</v>
      </c>
      <c r="D29" s="5">
        <v>0.23832750575626013</v>
      </c>
      <c r="E29" s="5">
        <v>1.4533306574898961E-2</v>
      </c>
      <c r="F29" s="5">
        <v>0.11979148550710951</v>
      </c>
      <c r="G29" s="5">
        <v>1.2231312276284982E-2</v>
      </c>
      <c r="H29" s="5">
        <v>1.1163108885968989E-2</v>
      </c>
      <c r="I29" s="5">
        <v>3.8852284360124823E-3</v>
      </c>
      <c r="J29" s="82">
        <v>0.42133220859554527</v>
      </c>
      <c r="K29" s="10"/>
      <c r="L29" s="51"/>
      <c r="M29" s="16"/>
      <c r="N29" s="16"/>
      <c r="P29" s="5">
        <v>0.20549939172659279</v>
      </c>
      <c r="Q29" s="5">
        <v>8.0124902496040776E-2</v>
      </c>
      <c r="R29" s="5">
        <v>0.23047776465420719</v>
      </c>
      <c r="S29" s="5">
        <v>1.4563825047012851E-2</v>
      </c>
      <c r="T29" s="5">
        <v>0.12357184145265528</v>
      </c>
      <c r="U29" s="5">
        <v>1.2231312276285001E-2</v>
      </c>
      <c r="V29" s="5">
        <v>1.1163108885969105E-2</v>
      </c>
      <c r="W29" s="5">
        <v>3.9023070099621837E-3</v>
      </c>
      <c r="X29" s="82">
        <v>0.41784380813887984</v>
      </c>
      <c r="Y29" s="10"/>
      <c r="Z29" s="51"/>
      <c r="AA29" s="16"/>
      <c r="AB29" s="16"/>
      <c r="AD29" s="5">
        <v>0.20897368255357004</v>
      </c>
      <c r="AE29" s="5">
        <v>8.0746516952745984E-2</v>
      </c>
      <c r="AF29" s="5">
        <v>0.23248655875125324</v>
      </c>
      <c r="AG29" s="5">
        <v>1.4387216548033235E-2</v>
      </c>
      <c r="AH29" s="5">
        <v>0.12320714265009228</v>
      </c>
      <c r="AI29" s="5">
        <v>1.1970923105592149E-2</v>
      </c>
      <c r="AJ29" s="5">
        <v>1.0976793703081021E-2</v>
      </c>
      <c r="AK29" s="5">
        <v>3.85784914168504E-3</v>
      </c>
      <c r="AL29" s="82">
        <v>0.42209730868604733</v>
      </c>
      <c r="AM29" s="10"/>
      <c r="AN29" s="51"/>
      <c r="AO29" s="16"/>
      <c r="AP29" s="16"/>
      <c r="AR29" s="5">
        <v>0.23717019205625312</v>
      </c>
      <c r="AS29" s="5">
        <v>7.995498733662576E-2</v>
      </c>
      <c r="AT29" s="5">
        <v>0.22946394052225344</v>
      </c>
      <c r="AU29" s="5">
        <v>1.4000000000000061E-2</v>
      </c>
      <c r="AV29" s="5">
        <v>0.12222642922052405</v>
      </c>
      <c r="AW29" s="5">
        <v>1.1966620241321283E-2</v>
      </c>
      <c r="AX29" s="5">
        <v>1.0990905331227265E-2</v>
      </c>
      <c r="AY29" s="5">
        <v>3.8340579025361631E-3</v>
      </c>
      <c r="AZ29" s="82">
        <v>0.45474630289865947</v>
      </c>
      <c r="BA29" s="10"/>
      <c r="BB29" s="51"/>
      <c r="BC29" s="16"/>
      <c r="BD29" s="16"/>
    </row>
    <row r="30" spans="1:62" s="4" customFormat="1" ht="6.75" customHeight="1" x14ac:dyDescent="0.2">
      <c r="J30" s="82"/>
      <c r="K30" s="10"/>
      <c r="L30" s="51"/>
      <c r="M30" s="16"/>
      <c r="N30" s="16"/>
      <c r="X30" s="82"/>
      <c r="Y30" s="10"/>
      <c r="Z30" s="49"/>
      <c r="AA30" s="16"/>
      <c r="AB30" s="16"/>
      <c r="AL30" s="82"/>
      <c r="AM30" s="10"/>
      <c r="AN30" s="49"/>
      <c r="AO30" s="16"/>
      <c r="AP30" s="16"/>
      <c r="AZ30" s="82"/>
      <c r="BA30" s="10"/>
      <c r="BC30" s="16"/>
      <c r="BD30" s="16"/>
    </row>
    <row r="31" spans="1:62" s="4" customFormat="1" x14ac:dyDescent="0.2">
      <c r="A31" s="4" t="s">
        <v>2</v>
      </c>
      <c r="B31" s="5">
        <v>58.1875</v>
      </c>
      <c r="C31" s="5">
        <v>9.578875</v>
      </c>
      <c r="D31" s="5">
        <v>10.860249999999999</v>
      </c>
      <c r="E31" s="5">
        <v>9.7956249999999995E-2</v>
      </c>
      <c r="F31" s="5">
        <v>20.41225</v>
      </c>
      <c r="G31" s="5">
        <v>0.39336499999999996</v>
      </c>
      <c r="H31" s="5">
        <v>6.6272499999999998E-2</v>
      </c>
      <c r="I31" s="5">
        <v>1.5172499999999998E-2</v>
      </c>
      <c r="J31" s="82">
        <v>99.611705000000001</v>
      </c>
      <c r="K31" s="10">
        <v>0.12521361932724193</v>
      </c>
      <c r="L31" s="51">
        <v>1059.6303236333115</v>
      </c>
      <c r="M31" s="16">
        <v>-1.4920928632859338</v>
      </c>
      <c r="N31" s="16">
        <v>-1.1524514980612697</v>
      </c>
      <c r="P31" s="5">
        <v>60.034750000000003</v>
      </c>
      <c r="Q31" s="5">
        <v>9.6431250000000013</v>
      </c>
      <c r="R31" s="5">
        <v>10.704124999999999</v>
      </c>
      <c r="S31" s="5">
        <v>9.8046250000000001E-2</v>
      </c>
      <c r="T31" s="5">
        <v>21.070625</v>
      </c>
      <c r="U31" s="5">
        <v>0.393565</v>
      </c>
      <c r="V31" s="5">
        <v>6.6367499999999996E-2</v>
      </c>
      <c r="W31" s="5">
        <v>1.519875E-2</v>
      </c>
      <c r="X31" s="82">
        <v>102.025735</v>
      </c>
      <c r="Y31" s="10">
        <v>0.1074535195106648</v>
      </c>
      <c r="Z31" s="51">
        <v>1078.3388985108181</v>
      </c>
      <c r="AA31" s="16">
        <v>-1.8456805993419205</v>
      </c>
      <c r="AB31" s="16">
        <v>-1.4990172308211758</v>
      </c>
      <c r="AD31" s="5">
        <v>59.251624999999997</v>
      </c>
      <c r="AE31" s="5">
        <v>9.5721250000000015</v>
      </c>
      <c r="AF31" s="5">
        <v>10.663</v>
      </c>
      <c r="AG31" s="5">
        <v>9.7126250000000011E-2</v>
      </c>
      <c r="AH31" s="5">
        <v>20.762749999999997</v>
      </c>
      <c r="AI31" s="5">
        <v>0.38580249999999999</v>
      </c>
      <c r="AJ31" s="5">
        <v>6.5369999999999998E-2</v>
      </c>
      <c r="AK31" s="5">
        <v>1.5003749999999998E-2</v>
      </c>
      <c r="AL31" s="82">
        <v>100.81273750000001</v>
      </c>
      <c r="AM31" s="10">
        <v>0.10719945522640864</v>
      </c>
      <c r="AN31" s="51">
        <v>1067.4986358890669</v>
      </c>
      <c r="AO31" s="16">
        <v>-1.8204768190396849</v>
      </c>
      <c r="AP31" s="16">
        <v>-1.4724221970800624</v>
      </c>
      <c r="AR31" s="5">
        <v>59.433550000000004</v>
      </c>
      <c r="AS31" s="5">
        <v>9.4749750000000006</v>
      </c>
      <c r="AT31" s="5">
        <v>10.489687499999999</v>
      </c>
      <c r="AU31" s="5">
        <v>9.5287499999999997E-2</v>
      </c>
      <c r="AV31" s="5">
        <v>20.911099999999998</v>
      </c>
      <c r="AW31" s="5">
        <v>0.37912500000000005</v>
      </c>
      <c r="AX31" s="5">
        <v>6.4250000000000002E-2</v>
      </c>
      <c r="AY31" s="5">
        <v>1.5012500000000002E-2</v>
      </c>
      <c r="AZ31" s="82">
        <v>100.8629875</v>
      </c>
      <c r="BA31" s="10">
        <v>0.10913399499449206</v>
      </c>
      <c r="BB31" s="51">
        <v>1093.1049666865365</v>
      </c>
      <c r="BC31" s="16">
        <v>-1.8547719997571033</v>
      </c>
      <c r="BD31" s="16">
        <v>-1.5097307506794024</v>
      </c>
      <c r="BF31" s="28">
        <f>AVERAGE(K31, Y31, AM31, BA31)</f>
        <v>0.11225014726470187</v>
      </c>
      <c r="BG31" s="29">
        <f>AVERAGE(M31, AA31, AO31, BC31)</f>
        <v>-1.7532555703561608</v>
      </c>
      <c r="BH31" s="29">
        <f>AVERAGE(N31, AB31, AP31, BD31)</f>
        <v>-1.4084054191604776</v>
      </c>
      <c r="BJ31" s="32">
        <f>BF31-BF20</f>
        <v>4.7912588332096329E-3</v>
      </c>
    </row>
    <row r="32" spans="1:62" s="4" customFormat="1" x14ac:dyDescent="0.2">
      <c r="A32" s="4" t="s">
        <v>44</v>
      </c>
      <c r="B32" s="5">
        <v>0.44184574985696368</v>
      </c>
      <c r="C32" s="5">
        <v>0.38404999132057438</v>
      </c>
      <c r="D32" s="5">
        <v>0.11625367377707557</v>
      </c>
      <c r="E32" s="5">
        <v>2.3579912885052508E-3</v>
      </c>
      <c r="F32" s="5">
        <v>8.6179560608457509E-2</v>
      </c>
      <c r="G32" s="5">
        <v>8.9839467941433982E-3</v>
      </c>
      <c r="H32" s="5">
        <v>4.5220745607888147E-3</v>
      </c>
      <c r="I32" s="5">
        <v>1.6682400906344393E-3</v>
      </c>
      <c r="J32" s="82">
        <v>0.2389549789535001</v>
      </c>
      <c r="K32" s="16">
        <f>STDEVA(K22, K24, K26, K28)</f>
        <v>1.3449853923154887E-2</v>
      </c>
      <c r="L32" s="54">
        <f>STDEVA(L22, L24, L26, L28)</f>
        <v>26.186137460076871</v>
      </c>
      <c r="M32" s="16">
        <f t="shared" ref="M32:N32" si="7">STDEVA(M22, M24, M26, M28)</f>
        <v>0.15841061521700761</v>
      </c>
      <c r="N32" s="16">
        <f t="shared" si="7"/>
        <v>0.14785127698037745</v>
      </c>
      <c r="P32" s="5">
        <v>0.45001583305478671</v>
      </c>
      <c r="Q32" s="5">
        <v>0.38654934462928908</v>
      </c>
      <c r="R32" s="5">
        <v>0.1154472282040587</v>
      </c>
      <c r="S32" s="5">
        <v>2.366014141265155E-3</v>
      </c>
      <c r="T32" s="5">
        <v>9.0219523940220481E-2</v>
      </c>
      <c r="U32" s="5">
        <v>8.9901928047548939E-3</v>
      </c>
      <c r="V32" s="5">
        <v>4.5210424682809586E-3</v>
      </c>
      <c r="W32" s="5">
        <v>1.6692532012849335E-3</v>
      </c>
      <c r="X32" s="82">
        <v>0.23661929612776142</v>
      </c>
      <c r="Y32" s="16">
        <f>STDEVA(Y22, Y24, Y26, Y28)</f>
        <v>1.4117343130448885E-2</v>
      </c>
      <c r="Z32" s="54">
        <f>STDEVA(Z22, Z24, Z26, Z28)</f>
        <v>27.377028467455954</v>
      </c>
      <c r="AA32" s="16">
        <f t="shared" ref="AA32:AB32" si="8">STDEVA(AA22, AA24, AA26, AA28)</f>
        <v>0.20290136620920854</v>
      </c>
      <c r="AB32" s="16">
        <f t="shared" si="8"/>
        <v>0.19191789582260074</v>
      </c>
      <c r="AD32" s="5">
        <v>0.43842509337399926</v>
      </c>
      <c r="AE32" s="5">
        <v>0.38455263510560828</v>
      </c>
      <c r="AF32" s="5">
        <v>0.11471123165002844</v>
      </c>
      <c r="AG32" s="5">
        <v>2.3518410341687632E-3</v>
      </c>
      <c r="AH32" s="5">
        <v>8.7336036853827279E-2</v>
      </c>
      <c r="AI32" s="5">
        <v>8.8249811142385309E-3</v>
      </c>
      <c r="AJ32" s="5">
        <v>4.4862307861574238E-3</v>
      </c>
      <c r="AK32" s="5">
        <v>1.6552511138797021E-3</v>
      </c>
      <c r="AL32" s="82">
        <v>0.23745715436333625</v>
      </c>
      <c r="AM32" s="16">
        <f>STDEVA(AM22, AM24, AM26, AM28)</f>
        <v>1.3999490358588235E-2</v>
      </c>
      <c r="AN32" s="54">
        <f>STDEVA(AN22, AN24, AN26, AN28)</f>
        <v>26.891823459974791</v>
      </c>
      <c r="AO32" s="16">
        <f t="shared" ref="AO32:AP32" si="9">STDEVA(AO22, AO24, AO26, AO28)</f>
        <v>0.2008402795004158</v>
      </c>
      <c r="AP32" s="16">
        <f t="shared" si="9"/>
        <v>0.18990665405059495</v>
      </c>
      <c r="AR32" s="5">
        <v>0.44622984735074261</v>
      </c>
      <c r="AS32" s="5">
        <v>0.38164355424924951</v>
      </c>
      <c r="AT32" s="5">
        <v>0.11429632813437204</v>
      </c>
      <c r="AU32" s="5">
        <v>2.3474720445619754E-3</v>
      </c>
      <c r="AV32" s="5">
        <v>8.8582993100633139E-2</v>
      </c>
      <c r="AW32" s="5">
        <v>8.6515412885026892E-3</v>
      </c>
      <c r="AX32" s="5">
        <v>4.3859624561396653E-3</v>
      </c>
      <c r="AY32" s="5">
        <v>1.7627511641370899E-3</v>
      </c>
      <c r="AZ32" s="82">
        <v>0.25731625280640857</v>
      </c>
      <c r="BA32" s="16">
        <f>STDEVA(BA22, BA24, BA26, BA28)</f>
        <v>1.4539283417334563E-2</v>
      </c>
      <c r="BB32" s="54">
        <f>STDEVA(BB22, BB24, BB26, BB28)</f>
        <v>28.357019929596138</v>
      </c>
      <c r="BC32" s="16">
        <f t="shared" ref="BC32:BD32" si="10">STDEVA(BC22, BC24, BC26, BC28)</f>
        <v>0.20648556701096243</v>
      </c>
      <c r="BD32" s="16">
        <f t="shared" si="10"/>
        <v>0.19524383132736906</v>
      </c>
      <c r="BF32" s="28">
        <f>STDEVA(K31, Y31, AM31, BA31)</f>
        <v>8.6848362249741101E-3</v>
      </c>
      <c r="BG32" s="29">
        <f>STDEVA(M31, AA31, AO31, BC31)</f>
        <v>0.17471178863121634</v>
      </c>
      <c r="BH32" s="29">
        <f>STDEVA(N31, AB31, AP31, BD31)</f>
        <v>0.17135526526403069</v>
      </c>
    </row>
    <row r="33" spans="1:62" s="4" customFormat="1" x14ac:dyDescent="0.2">
      <c r="J33" s="82"/>
      <c r="K33" s="10"/>
      <c r="L33" s="51"/>
      <c r="M33" s="16"/>
      <c r="N33" s="16"/>
      <c r="X33" s="82"/>
      <c r="Y33" s="10"/>
      <c r="Z33" s="51"/>
      <c r="AA33" s="16"/>
      <c r="AB33" s="16"/>
      <c r="AL33" s="82"/>
      <c r="AM33" s="10"/>
      <c r="AN33" s="51"/>
      <c r="AO33" s="16"/>
      <c r="AP33" s="16"/>
      <c r="AZ33" s="82"/>
      <c r="BA33" s="10"/>
      <c r="BB33" s="51"/>
      <c r="BC33" s="16"/>
      <c r="BD33" s="16"/>
    </row>
    <row r="34" spans="1:62" s="4" customFormat="1" x14ac:dyDescent="0.2">
      <c r="A34" s="6" t="s">
        <v>97</v>
      </c>
      <c r="C34" s="5"/>
      <c r="D34" s="5"/>
      <c r="E34" s="5"/>
      <c r="F34" s="5"/>
      <c r="G34" s="5"/>
      <c r="H34" s="5"/>
      <c r="I34" s="5"/>
      <c r="J34" s="82"/>
      <c r="K34" s="10"/>
      <c r="L34" s="51"/>
      <c r="M34" s="16"/>
      <c r="N34" s="16"/>
      <c r="Q34" s="5"/>
      <c r="R34" s="5"/>
      <c r="S34" s="5"/>
      <c r="T34" s="5"/>
      <c r="U34" s="5"/>
      <c r="V34" s="5"/>
      <c r="W34" s="5"/>
      <c r="X34" s="82"/>
      <c r="Y34" s="10"/>
      <c r="Z34" s="51"/>
      <c r="AA34" s="16"/>
      <c r="AB34" s="16"/>
      <c r="AE34" s="5"/>
      <c r="AF34" s="5"/>
      <c r="AG34" s="5"/>
      <c r="AH34" s="5"/>
      <c r="AI34" s="5"/>
      <c r="AJ34" s="5"/>
      <c r="AK34" s="5"/>
      <c r="AL34" s="82"/>
      <c r="AM34" s="10"/>
      <c r="AN34" s="51"/>
      <c r="AO34" s="16"/>
      <c r="AP34" s="16"/>
      <c r="AS34" s="5"/>
      <c r="AT34" s="5"/>
      <c r="AU34" s="5"/>
      <c r="AV34" s="5"/>
      <c r="AW34" s="5"/>
      <c r="AX34" s="5"/>
      <c r="AY34" s="5"/>
      <c r="AZ34" s="82"/>
      <c r="BA34" s="10"/>
      <c r="BB34" s="51"/>
      <c r="BC34" s="16"/>
      <c r="BD34" s="16"/>
    </row>
    <row r="35" spans="1:62" s="4" customFormat="1" x14ac:dyDescent="0.2">
      <c r="A35" s="22" t="s">
        <v>196</v>
      </c>
      <c r="B35" s="4">
        <v>56.85</v>
      </c>
      <c r="C35" s="4">
        <v>11.24</v>
      </c>
      <c r="D35" s="4">
        <v>11.4</v>
      </c>
      <c r="E35" s="4">
        <v>0.13</v>
      </c>
      <c r="F35" s="4">
        <v>19.43</v>
      </c>
      <c r="G35" s="4">
        <v>0.38</v>
      </c>
      <c r="H35" s="4">
        <v>0.05</v>
      </c>
      <c r="J35" s="82"/>
      <c r="K35" s="10">
        <v>6.2632472666866848E-2</v>
      </c>
      <c r="L35" s="51">
        <v>922.48304538774926</v>
      </c>
      <c r="M35" s="16">
        <v>-2.3937251508870423</v>
      </c>
      <c r="N35" s="16">
        <v>-2.1055676771027398</v>
      </c>
      <c r="P35" s="4">
        <v>56.85</v>
      </c>
      <c r="Q35" s="4">
        <v>11.24</v>
      </c>
      <c r="R35" s="4">
        <v>11.4</v>
      </c>
      <c r="S35" s="4">
        <v>0.13</v>
      </c>
      <c r="T35" s="4">
        <v>19.43</v>
      </c>
      <c r="U35" s="4">
        <v>0.38</v>
      </c>
      <c r="V35" s="4">
        <v>0.05</v>
      </c>
      <c r="X35" s="82"/>
      <c r="Y35" s="10">
        <v>6.2632472666866848E-2</v>
      </c>
      <c r="Z35" s="51">
        <v>922.48304538774926</v>
      </c>
      <c r="AA35" s="16">
        <v>-2.3937251508870423</v>
      </c>
      <c r="AB35" s="16">
        <v>-2.1055676771027398</v>
      </c>
      <c r="AD35" s="4">
        <v>56.85</v>
      </c>
      <c r="AE35" s="4">
        <v>11.24</v>
      </c>
      <c r="AF35" s="4">
        <v>11.4</v>
      </c>
      <c r="AG35" s="4">
        <v>0.13</v>
      </c>
      <c r="AH35" s="4">
        <v>19.43</v>
      </c>
      <c r="AI35" s="4">
        <v>0.38</v>
      </c>
      <c r="AJ35" s="4">
        <v>0.05</v>
      </c>
      <c r="AL35" s="82"/>
      <c r="AM35" s="10">
        <v>6.2632472666866848E-2</v>
      </c>
      <c r="AN35" s="51">
        <v>922.48304538774926</v>
      </c>
      <c r="AO35" s="16">
        <v>-2.3937251508870423</v>
      </c>
      <c r="AP35" s="16">
        <v>-2.1055676771027398</v>
      </c>
      <c r="AR35" s="4">
        <v>56.85</v>
      </c>
      <c r="AS35" s="4">
        <v>11.24</v>
      </c>
      <c r="AT35" s="4">
        <v>11.4</v>
      </c>
      <c r="AU35" s="4">
        <v>0.13</v>
      </c>
      <c r="AV35" s="4">
        <v>19.43</v>
      </c>
      <c r="AW35" s="4">
        <v>0.38</v>
      </c>
      <c r="AX35" s="4">
        <v>0.05</v>
      </c>
      <c r="AZ35" s="82"/>
      <c r="BA35" s="10">
        <v>6.2632472666866848E-2</v>
      </c>
      <c r="BB35" s="51">
        <v>922.48304538774926</v>
      </c>
      <c r="BC35" s="16">
        <v>-2.3937251508870423</v>
      </c>
      <c r="BD35" s="16">
        <v>-2.1055676771027398</v>
      </c>
      <c r="BF35" s="10">
        <f>BA35</f>
        <v>6.2632472666866848E-2</v>
      </c>
      <c r="BG35" s="16">
        <f t="shared" ref="BG35" si="11">BC35</f>
        <v>-2.3937251508870423</v>
      </c>
      <c r="BH35" s="16">
        <f t="shared" ref="BH35" si="12">BD35</f>
        <v>-2.1055676771027398</v>
      </c>
    </row>
    <row r="36" spans="1:62" s="4" customFormat="1" ht="6.75" customHeight="1" x14ac:dyDescent="0.2">
      <c r="J36" s="82"/>
      <c r="K36" s="10"/>
      <c r="L36" s="51"/>
      <c r="M36" s="16"/>
      <c r="N36" s="16"/>
      <c r="X36" s="82"/>
      <c r="Y36" s="10"/>
      <c r="Z36" s="51"/>
      <c r="AA36" s="16"/>
      <c r="AB36" s="16"/>
      <c r="AL36" s="82"/>
      <c r="AM36" s="10"/>
      <c r="AN36" s="51"/>
      <c r="AO36" s="16"/>
      <c r="AP36" s="16"/>
      <c r="AZ36" s="82"/>
      <c r="BA36" s="10"/>
      <c r="BB36" s="51"/>
      <c r="BC36" s="16"/>
      <c r="BD36" s="16"/>
    </row>
    <row r="37" spans="1:62" s="4" customFormat="1" x14ac:dyDescent="0.2">
      <c r="A37" s="46" t="s">
        <v>78</v>
      </c>
      <c r="B37" s="5">
        <v>56.298000000000002</v>
      </c>
      <c r="C37" s="5">
        <v>12.059999999999999</v>
      </c>
      <c r="D37" s="5">
        <v>11.218</v>
      </c>
      <c r="E37" s="5">
        <v>9.8920000000000008E-2</v>
      </c>
      <c r="F37" s="5">
        <v>20.125999999999998</v>
      </c>
      <c r="G37" s="5">
        <v>0.3745</v>
      </c>
      <c r="H37" s="5">
        <v>6.198E-2</v>
      </c>
      <c r="I37" s="5">
        <v>1.4119999999999999E-2</v>
      </c>
      <c r="J37" s="82">
        <v>100.25147999999999</v>
      </c>
      <c r="K37" s="10">
        <v>0.12117019072597551</v>
      </c>
      <c r="L37" s="51">
        <v>1049.5552351495189</v>
      </c>
      <c r="M37" s="16">
        <v>-1.5246512343616654</v>
      </c>
      <c r="N37" s="16">
        <v>-1.2785226232954567</v>
      </c>
      <c r="P37" s="5">
        <v>58.1</v>
      </c>
      <c r="Q37" s="5">
        <v>12.14</v>
      </c>
      <c r="R37" s="5">
        <v>11.06</v>
      </c>
      <c r="S37" s="5">
        <v>9.9000000000000005E-2</v>
      </c>
      <c r="T37" s="5">
        <v>20.771999999999998</v>
      </c>
      <c r="U37" s="5">
        <v>0.37469999999999998</v>
      </c>
      <c r="V37" s="5">
        <v>6.205999999999999E-2</v>
      </c>
      <c r="W37" s="5">
        <v>1.4179999999999998E-2</v>
      </c>
      <c r="X37" s="82">
        <v>102.62186</v>
      </c>
      <c r="Y37" s="10">
        <v>0.10397163709759279</v>
      </c>
      <c r="Z37" s="51">
        <v>1066.26738707597</v>
      </c>
      <c r="AA37" s="16">
        <v>-1.8734520568961872</v>
      </c>
      <c r="AB37" s="16">
        <v>-1.6190626454726118</v>
      </c>
      <c r="AD37" s="5">
        <v>57.393999999999991</v>
      </c>
      <c r="AE37" s="5">
        <v>12.059999999999999</v>
      </c>
      <c r="AF37" s="5">
        <v>11.02</v>
      </c>
      <c r="AG37" s="5">
        <v>9.8140000000000005E-2</v>
      </c>
      <c r="AH37" s="5">
        <v>20.488</v>
      </c>
      <c r="AI37" s="5">
        <v>0.36742000000000002</v>
      </c>
      <c r="AJ37" s="5">
        <v>6.1160000000000006E-2</v>
      </c>
      <c r="AK37" s="5">
        <v>1.4019999999999999E-2</v>
      </c>
      <c r="AL37" s="82">
        <v>101.50267999999998</v>
      </c>
      <c r="AM37" s="10">
        <v>0.10333068444511068</v>
      </c>
      <c r="AN37" s="51">
        <v>1056.6325279969346</v>
      </c>
      <c r="AO37" s="16">
        <v>-1.8580709983818737</v>
      </c>
      <c r="AP37" s="16">
        <v>-1.6027401278084206</v>
      </c>
      <c r="AR37" s="5">
        <v>57.5946</v>
      </c>
      <c r="AS37" s="5">
        <v>11.942399999999997</v>
      </c>
      <c r="AT37" s="5">
        <v>10.849</v>
      </c>
      <c r="AU37" s="5">
        <v>9.6400000000000013E-2</v>
      </c>
      <c r="AV37" s="5">
        <v>20.628599999999999</v>
      </c>
      <c r="AW37" s="5">
        <v>0.36139999999999994</v>
      </c>
      <c r="AX37" s="5">
        <v>0.06</v>
      </c>
      <c r="AY37" s="5">
        <v>1.4199999999999999E-2</v>
      </c>
      <c r="AZ37" s="82">
        <v>101.54659999999998</v>
      </c>
      <c r="BA37" s="10">
        <v>0.10422017142591308</v>
      </c>
      <c r="BB37" s="51">
        <v>1077.3512121790804</v>
      </c>
      <c r="BC37" s="16">
        <v>-1.8994935479079755</v>
      </c>
      <c r="BD37" s="16">
        <v>-1.645166977029854</v>
      </c>
    </row>
    <row r="38" spans="1:62" s="4" customFormat="1" x14ac:dyDescent="0.2">
      <c r="A38" s="46" t="s">
        <v>44</v>
      </c>
      <c r="B38" s="5">
        <v>0.27851391347651011</v>
      </c>
      <c r="C38" s="5">
        <v>0.11467344941179726</v>
      </c>
      <c r="D38" s="5">
        <v>0.3941065845681852</v>
      </c>
      <c r="E38" s="5">
        <v>1.0954770650269225E-2</v>
      </c>
      <c r="F38" s="5">
        <v>0.51203515504308805</v>
      </c>
      <c r="G38" s="5">
        <v>8.9353231614754634E-3</v>
      </c>
      <c r="H38" s="5">
        <v>8.5171591507967083E-3</v>
      </c>
      <c r="I38" s="5">
        <v>5.973859723830157E-3</v>
      </c>
      <c r="J38" s="82">
        <v>0.37203554534479766</v>
      </c>
      <c r="K38" s="10"/>
      <c r="L38" s="51"/>
      <c r="M38" s="16"/>
      <c r="N38" s="16"/>
      <c r="P38" s="5">
        <v>0.28887713651308722</v>
      </c>
      <c r="Q38" s="5">
        <v>0.11467344941179726</v>
      </c>
      <c r="R38" s="5">
        <v>0.39025632602175686</v>
      </c>
      <c r="S38" s="5">
        <v>1.0944176533663919E-2</v>
      </c>
      <c r="T38" s="5">
        <v>0.52978297443387168</v>
      </c>
      <c r="U38" s="5">
        <v>8.9353231614754808E-3</v>
      </c>
      <c r="V38" s="5">
        <v>8.5526604048097917E-3</v>
      </c>
      <c r="W38" s="5">
        <v>5.9905759322455903E-3</v>
      </c>
      <c r="X38" s="82">
        <v>0.39754351082617451</v>
      </c>
      <c r="Y38" s="10"/>
      <c r="Z38" s="51"/>
      <c r="AA38" s="16"/>
      <c r="AB38" s="16"/>
      <c r="AD38" s="5">
        <v>0.27391604553220394</v>
      </c>
      <c r="AE38" s="5">
        <v>0.11467344941179726</v>
      </c>
      <c r="AF38" s="5">
        <v>0.39025632602175742</v>
      </c>
      <c r="AG38" s="5">
        <v>1.0855090971521155E-2</v>
      </c>
      <c r="AH38" s="5">
        <v>0.51944200831276677</v>
      </c>
      <c r="AI38" s="5">
        <v>8.7319528170965149E-3</v>
      </c>
      <c r="AJ38" s="5">
        <v>8.4387795326100797E-3</v>
      </c>
      <c r="AK38" s="5">
        <v>5.9090608390843322E-3</v>
      </c>
      <c r="AL38" s="82">
        <v>0.37801496928031997</v>
      </c>
      <c r="AM38" s="10"/>
      <c r="AN38" s="51"/>
      <c r="AO38" s="16"/>
      <c r="AP38" s="16"/>
      <c r="AR38" s="5">
        <v>0.3044877665851291</v>
      </c>
      <c r="AS38" s="5">
        <v>0.11416347927424043</v>
      </c>
      <c r="AT38" s="5">
        <v>0.38411391539489997</v>
      </c>
      <c r="AU38" s="5">
        <v>1.0876580344942823E-2</v>
      </c>
      <c r="AV38" s="5">
        <v>0.52881357773793969</v>
      </c>
      <c r="AW38" s="5">
        <v>8.8769364084688666E-3</v>
      </c>
      <c r="AX38" s="5">
        <v>8.3066238629181041E-3</v>
      </c>
      <c r="AY38" s="5">
        <v>5.8906705900092591E-3</v>
      </c>
      <c r="AZ38" s="82">
        <v>0.42426795778140075</v>
      </c>
      <c r="BA38" s="10"/>
      <c r="BB38" s="51"/>
      <c r="BC38" s="16"/>
      <c r="BD38" s="16"/>
    </row>
    <row r="39" spans="1:62" s="4" customFormat="1" x14ac:dyDescent="0.2">
      <c r="A39" s="46" t="s">
        <v>79</v>
      </c>
      <c r="B39" s="5">
        <v>56.902000000000001</v>
      </c>
      <c r="C39" s="5">
        <v>11.107999999999999</v>
      </c>
      <c r="D39" s="5">
        <v>10.946</v>
      </c>
      <c r="E39" s="5">
        <v>8.8700000000000001E-2</v>
      </c>
      <c r="F39" s="5">
        <v>20.098000000000003</v>
      </c>
      <c r="G39" s="5">
        <v>0.34599999999999997</v>
      </c>
      <c r="H39" s="5">
        <v>4.2159999999999996E-2</v>
      </c>
      <c r="I39" s="5">
        <v>1.4759999999999999E-2</v>
      </c>
      <c r="J39" s="82">
        <v>99.545640000000006</v>
      </c>
      <c r="K39" s="10">
        <v>0.10584020746669183</v>
      </c>
      <c r="L39" s="51">
        <v>1034.6549346213928</v>
      </c>
      <c r="M39" s="16">
        <v>-1.7499493478045975</v>
      </c>
      <c r="N39" s="16">
        <v>-1.4845653244466535</v>
      </c>
      <c r="P39" s="5">
        <v>58.722000000000001</v>
      </c>
      <c r="Q39" s="5">
        <v>11.179999999999998</v>
      </c>
      <c r="R39" s="5">
        <v>10.788</v>
      </c>
      <c r="S39" s="5">
        <v>8.879999999999999E-2</v>
      </c>
      <c r="T39" s="5">
        <v>20.746000000000002</v>
      </c>
      <c r="U39" s="5">
        <v>0.34619999999999995</v>
      </c>
      <c r="V39" s="5">
        <v>4.2199999999999994E-2</v>
      </c>
      <c r="W39" s="5">
        <v>1.4759999999999999E-2</v>
      </c>
      <c r="X39" s="82">
        <v>101.92789999999999</v>
      </c>
      <c r="Y39" s="10">
        <v>8.7668276913118764E-2</v>
      </c>
      <c r="Z39" s="51">
        <v>1051.307177648865</v>
      </c>
      <c r="AA39" s="16">
        <v>-2.1617588675936612</v>
      </c>
      <c r="AB39" s="16">
        <v>-1.8883210111099293</v>
      </c>
      <c r="AD39" s="5">
        <v>57.984000000000002</v>
      </c>
      <c r="AE39" s="5">
        <v>11.102</v>
      </c>
      <c r="AF39" s="5">
        <v>10.747999999999999</v>
      </c>
      <c r="AG39" s="5">
        <v>8.7959999999999997E-2</v>
      </c>
      <c r="AH39" s="5">
        <v>20.454000000000001</v>
      </c>
      <c r="AI39" s="5">
        <v>0.33938000000000007</v>
      </c>
      <c r="AJ39" s="5">
        <v>4.1620000000000004E-2</v>
      </c>
      <c r="AK39" s="5">
        <v>1.4640000000000004E-2</v>
      </c>
      <c r="AL39" s="82">
        <v>100.77152</v>
      </c>
      <c r="AM39" s="10">
        <v>8.7392907672433837E-2</v>
      </c>
      <c r="AN39" s="51">
        <v>1041.7781333404823</v>
      </c>
      <c r="AO39" s="16">
        <v>-2.1401993144884912</v>
      </c>
      <c r="AP39" s="16">
        <v>-1.865819634679144</v>
      </c>
      <c r="AR39" s="5">
        <v>58.142800000000001</v>
      </c>
      <c r="AS39" s="5">
        <v>10.992799999999999</v>
      </c>
      <c r="AT39" s="5">
        <v>10.578799999999999</v>
      </c>
      <c r="AU39" s="5">
        <v>8.6599999999999996E-2</v>
      </c>
      <c r="AV39" s="5">
        <v>20.594000000000001</v>
      </c>
      <c r="AW39" s="5">
        <v>0.33339999999999997</v>
      </c>
      <c r="AX39" s="5">
        <v>4.1000000000000002E-2</v>
      </c>
      <c r="AY39" s="5">
        <v>1.5000000000000003E-2</v>
      </c>
      <c r="AZ39" s="82">
        <v>100.78439999999999</v>
      </c>
      <c r="BA39" s="10">
        <v>8.9622885733834631E-2</v>
      </c>
      <c r="BB39" s="51">
        <v>1064.7652802848738</v>
      </c>
      <c r="BC39" s="16">
        <v>-2.1573754495794546</v>
      </c>
      <c r="BD39" s="16">
        <v>-1.885350865171799</v>
      </c>
    </row>
    <row r="40" spans="1:62" s="4" customFormat="1" x14ac:dyDescent="0.2">
      <c r="A40" s="46" t="s">
        <v>44</v>
      </c>
      <c r="B40" s="5">
        <v>0.3125219992256531</v>
      </c>
      <c r="C40" s="5">
        <v>0.10353743284435793</v>
      </c>
      <c r="D40" s="5">
        <v>0.27373344698812385</v>
      </c>
      <c r="E40" s="5">
        <v>1.2565627720094206E-2</v>
      </c>
      <c r="F40" s="5">
        <v>0.25003999680051231</v>
      </c>
      <c r="G40" s="5">
        <v>4.392846457594439E-2</v>
      </c>
      <c r="H40" s="5">
        <v>2.0053378767679032E-2</v>
      </c>
      <c r="I40" s="5">
        <v>5.3317914437832339E-3</v>
      </c>
      <c r="J40" s="82">
        <v>0.22629271530475739</v>
      </c>
      <c r="K40" s="10"/>
      <c r="L40" s="51"/>
      <c r="M40" s="16"/>
      <c r="N40" s="16"/>
      <c r="P40" s="5">
        <v>0.32244379355168451</v>
      </c>
      <c r="Q40" s="5">
        <v>0.101980390271856</v>
      </c>
      <c r="R40" s="5">
        <v>0.27160633276858631</v>
      </c>
      <c r="S40" s="5">
        <v>1.2565627720094275E-2</v>
      </c>
      <c r="T40" s="5">
        <v>0.25715753926338708</v>
      </c>
      <c r="U40" s="5">
        <v>4.3928464575944709E-2</v>
      </c>
      <c r="V40" s="5">
        <v>2.0099129334376672E-2</v>
      </c>
      <c r="W40" s="5">
        <v>5.3317914437832339E-3</v>
      </c>
      <c r="X40" s="82">
        <v>0.2226177665865873</v>
      </c>
      <c r="Y40" s="10"/>
      <c r="Z40" s="49"/>
      <c r="AA40" s="16"/>
      <c r="AB40" s="16"/>
      <c r="AD40" s="5">
        <v>0.31698580409854471</v>
      </c>
      <c r="AE40" s="5">
        <v>9.8336158151515918E-2</v>
      </c>
      <c r="AF40" s="5">
        <v>0.27160633276858626</v>
      </c>
      <c r="AG40" s="5">
        <v>1.2436357987771221E-2</v>
      </c>
      <c r="AH40" s="5">
        <v>0.25304149857286345</v>
      </c>
      <c r="AI40" s="5">
        <v>4.3106229248217956E-2</v>
      </c>
      <c r="AJ40" s="5">
        <v>1.9823521382438595E-2</v>
      </c>
      <c r="AK40" s="5">
        <v>5.2950920671882493E-3</v>
      </c>
      <c r="AL40" s="82">
        <v>0.2262948010891995</v>
      </c>
      <c r="AM40" s="10"/>
      <c r="AN40" s="51"/>
      <c r="AO40" s="16"/>
      <c r="AP40" s="16"/>
      <c r="AR40" s="5">
        <v>0.32166939549792345</v>
      </c>
      <c r="AS40" s="5">
        <v>0.10074323798647729</v>
      </c>
      <c r="AT40" s="5">
        <v>0.2667924286781766</v>
      </c>
      <c r="AU40" s="5">
        <v>1.2136721138758999E-2</v>
      </c>
      <c r="AV40" s="5">
        <v>0.25584956517453822</v>
      </c>
      <c r="AW40" s="5">
        <v>4.2394575124655151E-2</v>
      </c>
      <c r="AX40" s="5">
        <v>1.9570385790780909E-2</v>
      </c>
      <c r="AY40" s="5">
        <v>5.3385391260156448E-3</v>
      </c>
      <c r="AZ40" s="82">
        <v>0.23931318392432885</v>
      </c>
      <c r="BA40" s="10"/>
      <c r="BB40" s="51"/>
      <c r="BC40" s="16"/>
      <c r="BD40" s="16"/>
    </row>
    <row r="41" spans="1:62" s="4" customFormat="1" ht="6.75" customHeight="1" x14ac:dyDescent="0.2">
      <c r="A41" s="46"/>
      <c r="J41" s="82"/>
      <c r="K41" s="10"/>
      <c r="M41" s="16"/>
      <c r="N41" s="16"/>
      <c r="X41" s="82"/>
      <c r="Y41" s="10"/>
      <c r="Z41" s="49"/>
      <c r="AA41" s="16"/>
      <c r="AB41" s="16"/>
      <c r="AL41" s="82"/>
      <c r="AM41" s="10"/>
      <c r="AN41" s="49"/>
      <c r="AO41" s="16"/>
      <c r="AP41" s="16"/>
      <c r="AZ41" s="82"/>
      <c r="BA41" s="10"/>
      <c r="BC41" s="16"/>
      <c r="BD41" s="16"/>
    </row>
    <row r="42" spans="1:62" s="4" customFormat="1" x14ac:dyDescent="0.2">
      <c r="A42" s="46" t="s">
        <v>42</v>
      </c>
      <c r="B42" s="5">
        <v>56.6</v>
      </c>
      <c r="C42" s="5">
        <v>11.584</v>
      </c>
      <c r="D42" s="5">
        <v>11.082000000000001</v>
      </c>
      <c r="E42" s="5">
        <v>9.3810000000000004E-2</v>
      </c>
      <c r="F42" s="5">
        <v>20.112000000000002</v>
      </c>
      <c r="G42" s="5">
        <v>0.36024999999999996</v>
      </c>
      <c r="H42" s="5">
        <v>5.2069999999999998E-2</v>
      </c>
      <c r="I42" s="5">
        <v>1.4439999999999998E-2</v>
      </c>
      <c r="J42" s="82">
        <v>99.898560000000003</v>
      </c>
      <c r="K42" s="10">
        <v>0.11359926504667131</v>
      </c>
      <c r="L42" s="51">
        <v>1042.1551479416212</v>
      </c>
      <c r="M42" s="16">
        <v>-1.6320359058808718</v>
      </c>
      <c r="N42" s="16">
        <v>-1.3763979969085058</v>
      </c>
      <c r="P42" s="5">
        <v>58.411000000000001</v>
      </c>
      <c r="Q42" s="5">
        <v>11.66</v>
      </c>
      <c r="R42" s="5">
        <v>10.923999999999999</v>
      </c>
      <c r="S42" s="5">
        <v>9.3899999999999997E-2</v>
      </c>
      <c r="T42" s="5">
        <v>20.759</v>
      </c>
      <c r="U42" s="5">
        <v>0.36044999999999994</v>
      </c>
      <c r="V42" s="5">
        <v>5.2129999999999996E-2</v>
      </c>
      <c r="W42" s="5">
        <v>1.4469999999999998E-2</v>
      </c>
      <c r="X42" s="82">
        <v>102.27488</v>
      </c>
      <c r="Y42" s="10">
        <v>9.5921442586867425E-2</v>
      </c>
      <c r="Z42" s="49">
        <v>1058.8363934892868</v>
      </c>
      <c r="AA42" s="16">
        <v>-2.0095886097106712</v>
      </c>
      <c r="AB42" s="16">
        <v>-1.7457896020840051</v>
      </c>
      <c r="AD42" s="5">
        <v>57.688999999999993</v>
      </c>
      <c r="AE42" s="5">
        <v>11.581</v>
      </c>
      <c r="AF42" s="5">
        <v>10.884</v>
      </c>
      <c r="AG42" s="5">
        <v>9.3049999999999994E-2</v>
      </c>
      <c r="AH42" s="5">
        <v>20.471</v>
      </c>
      <c r="AI42" s="5">
        <v>0.35340000000000005</v>
      </c>
      <c r="AJ42" s="5">
        <v>5.1390000000000005E-2</v>
      </c>
      <c r="AK42" s="5">
        <v>1.4330000000000002E-2</v>
      </c>
      <c r="AL42" s="82">
        <v>101.13709999999999</v>
      </c>
      <c r="AM42" s="10">
        <v>9.5461370555323583E-2</v>
      </c>
      <c r="AN42" s="49">
        <v>1049.2559312339445</v>
      </c>
      <c r="AO42" s="16">
        <v>-1.9913734823341649</v>
      </c>
      <c r="AP42" s="16">
        <v>-1.7266354947507461</v>
      </c>
      <c r="AR42" s="5">
        <v>57.868700000000004</v>
      </c>
      <c r="AS42" s="5">
        <v>11.467599999999997</v>
      </c>
      <c r="AT42" s="5">
        <v>10.713899999999999</v>
      </c>
      <c r="AU42" s="5">
        <v>9.1499999999999998E-2</v>
      </c>
      <c r="AV42" s="5">
        <v>20.6113</v>
      </c>
      <c r="AW42" s="5">
        <v>0.34739999999999993</v>
      </c>
      <c r="AX42" s="5">
        <v>5.0500000000000003E-2</v>
      </c>
      <c r="AY42" s="5">
        <v>1.4600000000000002E-2</v>
      </c>
      <c r="AZ42" s="82">
        <v>101.16549999999998</v>
      </c>
      <c r="BA42" s="10">
        <v>9.7013562913643575E-2</v>
      </c>
      <c r="BB42" s="49">
        <v>1071.1053143458694</v>
      </c>
      <c r="BC42" s="16">
        <v>-2.0219405769045951</v>
      </c>
      <c r="BD42" s="16">
        <v>-1.7588686241780893</v>
      </c>
      <c r="BF42" s="28">
        <f>AVERAGE(K42, Y42, AM42, BA42)</f>
        <v>0.10049891027562649</v>
      </c>
      <c r="BG42" s="29">
        <f>AVERAGE(M42, AA42, AO42, BC42)</f>
        <v>-1.9137346437075757</v>
      </c>
      <c r="BH42" s="29">
        <f>AVERAGE(N42, AB42, AP42, BD42)</f>
        <v>-1.6519229294803366</v>
      </c>
      <c r="BJ42" s="32">
        <f>BF42-BF35</f>
        <v>3.7866437608759643E-2</v>
      </c>
    </row>
    <row r="43" spans="1:62" s="4" customFormat="1" x14ac:dyDescent="0.2">
      <c r="A43" s="4" t="s">
        <v>44</v>
      </c>
      <c r="B43" s="5">
        <v>0.42709249583667414</v>
      </c>
      <c r="C43" s="5">
        <v>0.67316565568959319</v>
      </c>
      <c r="D43" s="5">
        <v>0.19233304448274111</v>
      </c>
      <c r="E43" s="5">
        <v>7.2266313037265204E-3</v>
      </c>
      <c r="F43" s="5">
        <v>1.9798989873219895E-2</v>
      </c>
      <c r="G43" s="5">
        <v>2.0152543263816623E-2</v>
      </c>
      <c r="H43" s="5">
        <v>1.401485640311736E-2</v>
      </c>
      <c r="I43" s="5">
        <v>4.5254833995939038E-4</v>
      </c>
      <c r="J43" s="82">
        <v>0.49910425043269907</v>
      </c>
      <c r="K43" s="16">
        <f>STDEVA(K37, K39)</f>
        <v>1.0839935118115745E-2</v>
      </c>
      <c r="L43" s="54">
        <f>STDEVA(L37, L39)</f>
        <v>10.536103545155447</v>
      </c>
      <c r="M43" s="16">
        <f>STDEVA(M37, M39)</f>
        <v>0.15930982380403338</v>
      </c>
      <c r="N43" s="16">
        <f t="shared" ref="N43" si="13">STDEVA(N37, N39)</f>
        <v>0.14569419119800447</v>
      </c>
      <c r="P43" s="5">
        <v>0.43982041789803245</v>
      </c>
      <c r="Q43" s="5">
        <v>0.67882250993908755</v>
      </c>
      <c r="R43" s="5">
        <v>0.19233304448274111</v>
      </c>
      <c r="S43" s="5">
        <v>7.2124891681027955E-3</v>
      </c>
      <c r="T43" s="5">
        <v>1.8384776310847582E-2</v>
      </c>
      <c r="U43" s="5">
        <v>2.0152543263816623E-2</v>
      </c>
      <c r="V43" s="5">
        <v>1.4043140674364822E-2</v>
      </c>
      <c r="W43" s="5">
        <v>4.1012193308819802E-4</v>
      </c>
      <c r="X43" s="82">
        <v>0.49070382187221945</v>
      </c>
      <c r="Y43" s="16">
        <f>STDEVA(Y37, Y39)</f>
        <v>1.1528216542568344E-2</v>
      </c>
      <c r="Z43" s="54">
        <f>STDEVA(Z37, Z39)</f>
        <v>10.578465533876811</v>
      </c>
      <c r="AA43" s="16">
        <f>STDEVA(AA37, AA39)</f>
        <v>0.20386370090645012</v>
      </c>
      <c r="AB43" s="16">
        <f t="shared" ref="AB43" si="14">STDEVA(AB37, AB39)</f>
        <v>0.1903944162333541</v>
      </c>
      <c r="AD43" s="5">
        <v>0.41719300090007044</v>
      </c>
      <c r="AE43" s="5">
        <v>0.67740829637671141</v>
      </c>
      <c r="AF43" s="5">
        <v>0.19233304448274111</v>
      </c>
      <c r="AG43" s="5">
        <v>7.1983470324790601E-3</v>
      </c>
      <c r="AH43" s="5">
        <v>2.4041630560341854E-2</v>
      </c>
      <c r="AI43" s="5">
        <v>1.9827274144470761E-2</v>
      </c>
      <c r="AJ43" s="5">
        <v>1.3816866504385145E-2</v>
      </c>
      <c r="AK43" s="5">
        <v>4.3840620433566245E-4</v>
      </c>
      <c r="AL43" s="82">
        <v>0.517008194132348</v>
      </c>
      <c r="AM43" s="16">
        <f>STDEVA(AM37, AM39)</f>
        <v>1.1269710032997241E-2</v>
      </c>
      <c r="AN43" s="54">
        <f>STDEVA(AN37, AN39)</f>
        <v>10.503643191998647</v>
      </c>
      <c r="AO43" s="16">
        <f>STDEVA(AO37, AO39)</f>
        <v>0.19949484548373109</v>
      </c>
      <c r="AP43" s="16">
        <f t="shared" ref="AP43" si="15">STDEVA(AP37, AP39)</f>
        <v>0.18602530329950148</v>
      </c>
      <c r="AR43" s="5">
        <v>0.38763593744646635</v>
      </c>
      <c r="AS43" s="5">
        <v>0.67146859941474446</v>
      </c>
      <c r="AT43" s="5">
        <v>0.19106025227660578</v>
      </c>
      <c r="AU43" s="5">
        <v>6.9296464556281778E-3</v>
      </c>
      <c r="AV43" s="5">
        <v>2.4465894629052791E-2</v>
      </c>
      <c r="AW43" s="5">
        <v>1.9798989873223309E-2</v>
      </c>
      <c r="AX43" s="5">
        <v>1.3435028842544374E-2</v>
      </c>
      <c r="AY43" s="5">
        <v>5.6568542494924074E-4</v>
      </c>
      <c r="AZ43" s="82">
        <v>0.53895678862038143</v>
      </c>
      <c r="BA43" s="16">
        <f>STDEVA(BA37, BA39)</f>
        <v>1.0321839699786039E-2</v>
      </c>
      <c r="BB43" s="54">
        <f>STDEVA(BB37, BB39)</f>
        <v>8.8995977899455525</v>
      </c>
      <c r="BC43" s="16">
        <f>STDEVA(BC37, BC39)</f>
        <v>0.1823500414171853</v>
      </c>
      <c r="BD43" s="16">
        <f>STDEVA(BD37, BD39)</f>
        <v>0.16983565603692044</v>
      </c>
      <c r="BF43" s="28">
        <f>STDEVA(K42, Y42, AM42, BA42)</f>
        <v>8.7577957317310686E-3</v>
      </c>
      <c r="BG43" s="29">
        <f>STDEVA(M42, AA42, AO42, BC42)</f>
        <v>0.18821837931332497</v>
      </c>
      <c r="BH43" s="29">
        <f>STDEVA(N42, AB42, AP42, BD42)</f>
        <v>0.18415961348611545</v>
      </c>
    </row>
    <row r="44" spans="1:62" s="4" customFormat="1" x14ac:dyDescent="0.2">
      <c r="C44" s="5"/>
      <c r="D44" s="5"/>
      <c r="E44" s="5"/>
      <c r="F44" s="5"/>
      <c r="G44" s="5"/>
      <c r="H44" s="5"/>
      <c r="I44" s="5"/>
      <c r="J44" s="82"/>
      <c r="K44" s="10"/>
      <c r="L44" s="51"/>
      <c r="M44" s="16"/>
      <c r="N44" s="16"/>
      <c r="Q44" s="5"/>
      <c r="R44" s="5"/>
      <c r="S44" s="5"/>
      <c r="T44" s="5"/>
      <c r="U44" s="5"/>
      <c r="V44" s="5"/>
      <c r="W44" s="5"/>
      <c r="X44" s="82"/>
      <c r="Y44" s="10"/>
      <c r="Z44" s="51"/>
      <c r="AA44" s="16"/>
      <c r="AB44" s="16"/>
      <c r="AE44" s="5"/>
      <c r="AF44" s="5"/>
      <c r="AG44" s="5"/>
      <c r="AH44" s="5"/>
      <c r="AI44" s="5"/>
      <c r="AJ44" s="5"/>
      <c r="AK44" s="5"/>
      <c r="AL44" s="82"/>
      <c r="AM44" s="10"/>
      <c r="AN44" s="51"/>
      <c r="AO44" s="16"/>
      <c r="AP44" s="16"/>
      <c r="AS44" s="5"/>
      <c r="AT44" s="5"/>
      <c r="AU44" s="5"/>
      <c r="AV44" s="5"/>
      <c r="AW44" s="5"/>
      <c r="AX44" s="5"/>
      <c r="AY44" s="5"/>
      <c r="AZ44" s="82"/>
      <c r="BA44" s="10"/>
      <c r="BB44" s="51"/>
      <c r="BC44" s="16"/>
      <c r="BD44" s="16"/>
    </row>
    <row r="45" spans="1:62" s="4" customFormat="1" x14ac:dyDescent="0.2">
      <c r="A45" s="6" t="s">
        <v>98</v>
      </c>
      <c r="C45" s="5"/>
      <c r="D45" s="5"/>
      <c r="E45" s="5"/>
      <c r="F45" s="5"/>
      <c r="G45" s="5"/>
      <c r="H45" s="5"/>
      <c r="I45" s="5"/>
      <c r="J45" s="82"/>
      <c r="K45" s="10"/>
      <c r="L45" s="51"/>
      <c r="M45" s="16"/>
      <c r="N45" s="16"/>
      <c r="Q45" s="5"/>
      <c r="R45" s="5"/>
      <c r="S45" s="5"/>
      <c r="T45" s="5"/>
      <c r="U45" s="5"/>
      <c r="V45" s="5"/>
      <c r="W45" s="5"/>
      <c r="X45" s="82"/>
      <c r="Y45" s="10"/>
      <c r="Z45" s="51"/>
      <c r="AA45" s="16"/>
      <c r="AB45" s="16"/>
      <c r="AE45" s="5"/>
      <c r="AF45" s="5"/>
      <c r="AG45" s="5"/>
      <c r="AH45" s="5"/>
      <c r="AI45" s="5"/>
      <c r="AJ45" s="5"/>
      <c r="AK45" s="5"/>
      <c r="AL45" s="82"/>
      <c r="AM45" s="10"/>
      <c r="AN45" s="51"/>
      <c r="AO45" s="16"/>
      <c r="AP45" s="16"/>
      <c r="AS45" s="5"/>
      <c r="AT45" s="5"/>
      <c r="AU45" s="5"/>
      <c r="AV45" s="5"/>
      <c r="AW45" s="5"/>
      <c r="AX45" s="5"/>
      <c r="AY45" s="5"/>
      <c r="AZ45" s="82"/>
      <c r="BA45" s="10"/>
      <c r="BB45" s="51"/>
      <c r="BC45" s="16"/>
      <c r="BD45" s="16"/>
    </row>
    <row r="46" spans="1:62" s="4" customFormat="1" x14ac:dyDescent="0.2">
      <c r="A46" s="22" t="s">
        <v>196</v>
      </c>
      <c r="B46" s="4">
        <v>53.69</v>
      </c>
      <c r="C46" s="4">
        <v>14.5</v>
      </c>
      <c r="D46" s="4">
        <v>10.69</v>
      </c>
      <c r="E46" s="4">
        <v>0.09</v>
      </c>
      <c r="F46" s="4">
        <v>19.73</v>
      </c>
      <c r="G46" s="4">
        <v>0.32</v>
      </c>
      <c r="H46" s="4">
        <v>7.0000000000000007E-2</v>
      </c>
      <c r="J46" s="82"/>
      <c r="K46" s="10">
        <v>9.0254293783115211E-2</v>
      </c>
      <c r="L46" s="51">
        <v>1052.57299740497</v>
      </c>
      <c r="M46" s="16">
        <v>-2.102854453800385</v>
      </c>
      <c r="N46" s="16">
        <v>-1.8945307418555544</v>
      </c>
      <c r="P46" s="4">
        <v>53.69</v>
      </c>
      <c r="Q46" s="4">
        <v>14.5</v>
      </c>
      <c r="R46" s="4">
        <v>10.69</v>
      </c>
      <c r="S46" s="4">
        <v>0.09</v>
      </c>
      <c r="T46" s="4">
        <v>19.73</v>
      </c>
      <c r="U46" s="4">
        <v>0.32</v>
      </c>
      <c r="V46" s="4">
        <v>7.0000000000000007E-2</v>
      </c>
      <c r="X46" s="82"/>
      <c r="Y46" s="10">
        <v>9.0254293783115211E-2</v>
      </c>
      <c r="Z46" s="51">
        <v>1052.57299740497</v>
      </c>
      <c r="AA46" s="16">
        <v>-2.102854453800385</v>
      </c>
      <c r="AB46" s="16">
        <v>-1.8945307418555544</v>
      </c>
      <c r="AD46" s="4">
        <v>53.69</v>
      </c>
      <c r="AE46" s="4">
        <v>14.5</v>
      </c>
      <c r="AF46" s="4">
        <v>10.69</v>
      </c>
      <c r="AG46" s="4">
        <v>0.09</v>
      </c>
      <c r="AH46" s="4">
        <v>19.73</v>
      </c>
      <c r="AI46" s="4">
        <v>0.32</v>
      </c>
      <c r="AJ46" s="4">
        <v>7.0000000000000007E-2</v>
      </c>
      <c r="AL46" s="82"/>
      <c r="AM46" s="10">
        <v>9.0254293783115211E-2</v>
      </c>
      <c r="AN46" s="51">
        <v>1052.57299740497</v>
      </c>
      <c r="AO46" s="16">
        <v>-2.102854453800385</v>
      </c>
      <c r="AP46" s="16">
        <v>-1.8945307418555544</v>
      </c>
      <c r="AR46" s="4">
        <v>53.69</v>
      </c>
      <c r="AS46" s="4">
        <v>14.5</v>
      </c>
      <c r="AT46" s="4">
        <v>10.69</v>
      </c>
      <c r="AU46" s="4">
        <v>0.09</v>
      </c>
      <c r="AV46" s="4">
        <v>19.73</v>
      </c>
      <c r="AW46" s="4">
        <v>0.32</v>
      </c>
      <c r="AX46" s="4">
        <v>7.0000000000000007E-2</v>
      </c>
      <c r="AZ46" s="82"/>
      <c r="BA46" s="10">
        <v>9.0254293783115211E-2</v>
      </c>
      <c r="BB46" s="51">
        <v>1052.57299740497</v>
      </c>
      <c r="BC46" s="16">
        <v>-2.102854453800385</v>
      </c>
      <c r="BD46" s="16">
        <v>-1.8945307418555544</v>
      </c>
      <c r="BF46" s="10">
        <f>BA46</f>
        <v>9.0254293783115211E-2</v>
      </c>
      <c r="BG46" s="16">
        <f t="shared" ref="BG46" si="16">BC46</f>
        <v>-2.102854453800385</v>
      </c>
      <c r="BH46" s="16">
        <f t="shared" ref="BH46" si="17">BD46</f>
        <v>-1.8945307418555544</v>
      </c>
    </row>
    <row r="47" spans="1:62" s="4" customFormat="1" ht="6.75" customHeight="1" x14ac:dyDescent="0.2">
      <c r="J47" s="82"/>
      <c r="K47" s="10"/>
      <c r="L47" s="51"/>
      <c r="M47" s="16"/>
      <c r="N47" s="16"/>
      <c r="X47" s="82"/>
      <c r="Y47" s="10"/>
      <c r="Z47" s="51"/>
      <c r="AA47" s="16"/>
      <c r="AB47" s="16"/>
      <c r="AL47" s="82"/>
      <c r="AM47" s="10"/>
      <c r="AN47" s="51"/>
      <c r="AO47" s="16"/>
      <c r="AP47" s="16"/>
      <c r="AZ47" s="82"/>
      <c r="BA47" s="10"/>
      <c r="BB47" s="51"/>
      <c r="BC47" s="16"/>
      <c r="BD47" s="16"/>
    </row>
    <row r="48" spans="1:62" s="4" customFormat="1" x14ac:dyDescent="0.2">
      <c r="A48" s="4" t="s">
        <v>84</v>
      </c>
      <c r="B48" s="5">
        <v>52.676000000000002</v>
      </c>
      <c r="C48" s="5">
        <v>14.736000000000001</v>
      </c>
      <c r="D48" s="5">
        <v>10.691999999999998</v>
      </c>
      <c r="E48" s="5">
        <v>0.10292000000000001</v>
      </c>
      <c r="F48" s="5">
        <v>20.033999999999999</v>
      </c>
      <c r="G48" s="5">
        <v>0.34567999999999999</v>
      </c>
      <c r="H48" s="5">
        <v>8.9359999999999995E-2</v>
      </c>
      <c r="I48" s="5">
        <v>4.1899999999999993E-2</v>
      </c>
      <c r="J48" s="82">
        <v>98.717959999999991</v>
      </c>
      <c r="K48" s="10">
        <v>0.15568107221187391</v>
      </c>
      <c r="L48" s="51">
        <v>1161.1806596793967</v>
      </c>
      <c r="M48" s="16">
        <v>-1.3081096829689247</v>
      </c>
      <c r="N48" s="16">
        <v>-1.1464868435224647</v>
      </c>
      <c r="P48" s="5">
        <v>54.381999999999991</v>
      </c>
      <c r="Q48" s="5">
        <v>14.831999999999999</v>
      </c>
      <c r="R48" s="5">
        <v>10.538</v>
      </c>
      <c r="S48" s="5">
        <v>0.10300000000000001</v>
      </c>
      <c r="T48" s="5">
        <v>20.673999999999999</v>
      </c>
      <c r="U48" s="5">
        <v>0.34587999999999997</v>
      </c>
      <c r="V48" s="5">
        <v>8.9499999999999996E-2</v>
      </c>
      <c r="W48" s="5">
        <v>4.1999999999999996E-2</v>
      </c>
      <c r="X48" s="82">
        <v>101.00636</v>
      </c>
      <c r="Y48" s="10">
        <v>0.14145341098664091</v>
      </c>
      <c r="Z48" s="51">
        <v>1182.8184146146623</v>
      </c>
      <c r="AA48" s="16">
        <v>-1.5602332784960284</v>
      </c>
      <c r="AB48" s="16">
        <v>-1.3925961009023222</v>
      </c>
      <c r="AD48" s="5">
        <v>53.760000000000005</v>
      </c>
      <c r="AE48" s="5">
        <v>14.742000000000001</v>
      </c>
      <c r="AF48" s="5">
        <v>10.504000000000001</v>
      </c>
      <c r="AG48" s="5">
        <v>0.10217999999999998</v>
      </c>
      <c r="AH48" s="5">
        <v>20.409999999999997</v>
      </c>
      <c r="AI48" s="5">
        <v>0.33924000000000004</v>
      </c>
      <c r="AJ48" s="5">
        <v>8.8259999999999991E-2</v>
      </c>
      <c r="AK48" s="5">
        <v>4.1540000000000001E-2</v>
      </c>
      <c r="AL48" s="82">
        <v>99.987279999999998</v>
      </c>
      <c r="AM48" s="10">
        <v>0.14015582850337818</v>
      </c>
      <c r="AN48" s="51">
        <v>1171.8177332370637</v>
      </c>
      <c r="AO48" s="16">
        <v>-1.5516034193113808</v>
      </c>
      <c r="AP48" s="16">
        <v>-1.3825656964880544</v>
      </c>
      <c r="AR48" s="5">
        <v>53.815999999999995</v>
      </c>
      <c r="AS48" s="5">
        <v>14.5966</v>
      </c>
      <c r="AT48" s="5">
        <v>10.343399999999999</v>
      </c>
      <c r="AU48" s="5">
        <v>0.1002</v>
      </c>
      <c r="AV48" s="5">
        <v>20.526800000000001</v>
      </c>
      <c r="AW48" s="5">
        <v>0.33360000000000001</v>
      </c>
      <c r="AX48" s="5">
        <v>8.7000000000000008E-2</v>
      </c>
      <c r="AY48" s="5">
        <v>4.1800000000000004E-2</v>
      </c>
      <c r="AZ48" s="82">
        <v>99.845400000000012</v>
      </c>
      <c r="BA48" s="10">
        <v>0.14691380656410316</v>
      </c>
      <c r="BB48" s="51">
        <v>1202.4766520587691</v>
      </c>
      <c r="BC48" s="16">
        <v>-1.5300829481787206</v>
      </c>
      <c r="BD48" s="16">
        <v>-1.3656632456852602</v>
      </c>
    </row>
    <row r="49" spans="1:62" s="4" customFormat="1" x14ac:dyDescent="0.2">
      <c r="A49" s="4" t="s">
        <v>44</v>
      </c>
      <c r="B49" s="5">
        <v>0.14152738250953301</v>
      </c>
      <c r="C49" s="5">
        <v>0.11013627921806671</v>
      </c>
      <c r="D49" s="5">
        <v>3.2710854467592448E-2</v>
      </c>
      <c r="E49" s="5">
        <v>5.0206573274821278E-3</v>
      </c>
      <c r="F49" s="5">
        <v>3.9749213828702466E-2</v>
      </c>
      <c r="G49" s="5">
        <v>1.8380206745300772E-2</v>
      </c>
      <c r="H49" s="5">
        <v>5.4811495144723053E-3</v>
      </c>
      <c r="I49" s="5">
        <v>8.2800966177938359E-3</v>
      </c>
      <c r="J49" s="82">
        <v>0.24035760441475762</v>
      </c>
      <c r="K49" s="10"/>
      <c r="L49" s="51"/>
      <c r="M49" s="16"/>
      <c r="N49" s="16"/>
      <c r="P49" s="5">
        <v>0.14601369798755176</v>
      </c>
      <c r="Q49" s="5">
        <v>0.11189280584559469</v>
      </c>
      <c r="R49" s="5">
        <v>3.1144823004795125E-2</v>
      </c>
      <c r="S49" s="5">
        <v>5.0621141828291463E-3</v>
      </c>
      <c r="T49" s="5">
        <v>3.9749213828703001E-2</v>
      </c>
      <c r="U49" s="5">
        <v>1.8380206745300762E-2</v>
      </c>
      <c r="V49" s="5">
        <v>5.4584796418050297E-3</v>
      </c>
      <c r="W49" s="5">
        <v>8.2800966177938098E-3</v>
      </c>
      <c r="X49" s="82">
        <v>0.2428541496454176</v>
      </c>
      <c r="Y49" s="10"/>
      <c r="Z49" s="51"/>
      <c r="AA49" s="16"/>
      <c r="AB49" s="16"/>
      <c r="AD49" s="5">
        <v>0.12942179105544735</v>
      </c>
      <c r="AE49" s="5">
        <v>0.11189280584559468</v>
      </c>
      <c r="AF49" s="5">
        <v>3.5071355833499615E-2</v>
      </c>
      <c r="AG49" s="5">
        <v>5.0524251602572018E-3</v>
      </c>
      <c r="AH49" s="5">
        <v>4.1231056256177449E-2</v>
      </c>
      <c r="AI49" s="5">
        <v>1.7993971212603408E-2</v>
      </c>
      <c r="AJ49" s="5">
        <v>5.4215311490389889E-3</v>
      </c>
      <c r="AK49" s="5">
        <v>8.2300060753319245E-3</v>
      </c>
      <c r="AL49" s="82">
        <v>0.24743063068262552</v>
      </c>
      <c r="AM49" s="10"/>
      <c r="AN49" s="51"/>
      <c r="AO49" s="16"/>
      <c r="AP49" s="16"/>
      <c r="AR49" s="5">
        <v>0.15452993237557441</v>
      </c>
      <c r="AS49" s="5">
        <v>0.11040742728639233</v>
      </c>
      <c r="AT49" s="5">
        <v>3.2523837411966267E-2</v>
      </c>
      <c r="AU49" s="5">
        <v>4.8682645778552339E-3</v>
      </c>
      <c r="AV49" s="5">
        <v>4.2558195450465928E-2</v>
      </c>
      <c r="AW49" s="5">
        <v>1.7586926962946076E-2</v>
      </c>
      <c r="AX49" s="5">
        <v>5.2915026221291789E-3</v>
      </c>
      <c r="AY49" s="5">
        <v>8.3486525858966817E-3</v>
      </c>
      <c r="AZ49" s="82">
        <v>0.26002557566516499</v>
      </c>
      <c r="BA49" s="10"/>
      <c r="BB49" s="51"/>
      <c r="BC49" s="16"/>
      <c r="BD49" s="16"/>
    </row>
    <row r="50" spans="1:62" s="4" customFormat="1" x14ac:dyDescent="0.2">
      <c r="A50" s="4" t="s">
        <v>85</v>
      </c>
      <c r="B50" s="5">
        <v>52.686</v>
      </c>
      <c r="C50" s="5">
        <v>14.558000000000002</v>
      </c>
      <c r="D50" s="5">
        <v>10.561999999999999</v>
      </c>
      <c r="E50" s="5">
        <v>9.9559999999999982E-2</v>
      </c>
      <c r="F50" s="5">
        <v>20.038</v>
      </c>
      <c r="G50" s="5">
        <v>0.33906000000000003</v>
      </c>
      <c r="H50" s="5">
        <v>8.8880000000000001E-2</v>
      </c>
      <c r="I50" s="5">
        <v>4.2120000000000005E-2</v>
      </c>
      <c r="J50" s="82">
        <v>98.413700000000006</v>
      </c>
      <c r="K50" s="10">
        <v>0.15411241527975614</v>
      </c>
      <c r="L50" s="51">
        <v>1169.1341862861946</v>
      </c>
      <c r="M50" s="16">
        <v>-1.3491067776045269</v>
      </c>
      <c r="N50" s="16">
        <v>-1.186248702350917</v>
      </c>
      <c r="P50" s="5">
        <v>54.390000000000008</v>
      </c>
      <c r="Q50" s="5">
        <v>14.648</v>
      </c>
      <c r="R50" s="5">
        <v>10.41</v>
      </c>
      <c r="S50" s="5">
        <v>9.9639999999999992E-2</v>
      </c>
      <c r="T50" s="5">
        <v>20.681999999999999</v>
      </c>
      <c r="U50" s="5">
        <v>0.33926000000000001</v>
      </c>
      <c r="V50" s="5">
        <v>8.900000000000001E-2</v>
      </c>
      <c r="W50" s="5">
        <v>4.2180000000000002E-2</v>
      </c>
      <c r="X50" s="82">
        <v>100.70002000000001</v>
      </c>
      <c r="Y50" s="10">
        <v>0.14052201637858233</v>
      </c>
      <c r="Z50" s="51">
        <v>1192.3764896551565</v>
      </c>
      <c r="AA50" s="16">
        <v>-1.5969856648191478</v>
      </c>
      <c r="AB50" s="16">
        <v>-1.4287652760111786</v>
      </c>
      <c r="AD50" s="5">
        <v>53.751999999999995</v>
      </c>
      <c r="AE50" s="5">
        <v>14.558000000000002</v>
      </c>
      <c r="AF50" s="5">
        <v>10.374000000000001</v>
      </c>
      <c r="AG50" s="5">
        <v>9.8799999999999999E-2</v>
      </c>
      <c r="AH50" s="5">
        <v>20.414000000000001</v>
      </c>
      <c r="AI50" s="5">
        <v>0.33276</v>
      </c>
      <c r="AJ50" s="5">
        <v>8.7739999999999999E-2</v>
      </c>
      <c r="AK50" s="5">
        <v>4.172E-2</v>
      </c>
      <c r="AL50" s="82">
        <v>99.659100000000009</v>
      </c>
      <c r="AM50" s="10">
        <v>0.13937964717009557</v>
      </c>
      <c r="AN50" s="51">
        <v>1181.4925569194315</v>
      </c>
      <c r="AO50" s="16">
        <v>-1.5868308970800746</v>
      </c>
      <c r="AP50" s="16">
        <v>-1.4172375245541469</v>
      </c>
      <c r="AR50" s="5">
        <v>53.802999999999997</v>
      </c>
      <c r="AS50" s="5">
        <v>14.413999999999998</v>
      </c>
      <c r="AT50" s="5">
        <v>10.215800000000002</v>
      </c>
      <c r="AU50" s="5">
        <v>9.7199999999999995E-2</v>
      </c>
      <c r="AV50" s="5">
        <v>20.530200000000001</v>
      </c>
      <c r="AW50" s="5">
        <v>0.32740000000000002</v>
      </c>
      <c r="AX50" s="5">
        <v>8.6200000000000013E-2</v>
      </c>
      <c r="AY50" s="5">
        <v>4.2200000000000001E-2</v>
      </c>
      <c r="AZ50" s="82">
        <v>99.516000000000005</v>
      </c>
      <c r="BA50" s="10">
        <v>0.14649187275164272</v>
      </c>
      <c r="BB50" s="51">
        <v>1213.2074851577772</v>
      </c>
      <c r="BC50" s="16">
        <v>-1.5614376864542681</v>
      </c>
      <c r="BD50" s="16">
        <v>-1.3968952806863797</v>
      </c>
    </row>
    <row r="51" spans="1:62" s="4" customFormat="1" x14ac:dyDescent="0.2">
      <c r="A51" s="4" t="s">
        <v>44</v>
      </c>
      <c r="B51" s="5">
        <v>0.21984085152673555</v>
      </c>
      <c r="C51" s="5">
        <v>3.3466401061363185E-2</v>
      </c>
      <c r="D51" s="5">
        <v>8.5556998544829455E-2</v>
      </c>
      <c r="E51" s="5">
        <v>1.2090822966200593E-2</v>
      </c>
      <c r="F51" s="5">
        <v>3.0331501776205146E-2</v>
      </c>
      <c r="G51" s="5">
        <v>2.0395783878046955E-2</v>
      </c>
      <c r="H51" s="5">
        <v>9.0419577526108814E-3</v>
      </c>
      <c r="I51" s="5">
        <v>6.3314295384217928E-3</v>
      </c>
      <c r="J51" s="82">
        <v>0.21933368414358934</v>
      </c>
      <c r="K51" s="10"/>
      <c r="L51" s="51"/>
      <c r="M51" s="16"/>
      <c r="N51" s="16"/>
      <c r="P51" s="5">
        <v>0.22858258901324904</v>
      </c>
      <c r="Q51" s="5">
        <v>3.3466401061363185E-2</v>
      </c>
      <c r="R51" s="5">
        <v>8.6313382508160619E-2</v>
      </c>
      <c r="S51" s="5">
        <v>1.2114784356314405E-2</v>
      </c>
      <c r="T51" s="5">
        <v>2.6832815729996705E-2</v>
      </c>
      <c r="U51" s="5">
        <v>2.0395783878046945E-2</v>
      </c>
      <c r="V51" s="5">
        <v>9.064491160567149E-3</v>
      </c>
      <c r="W51" s="5">
        <v>6.382554347594699E-3</v>
      </c>
      <c r="X51" s="82">
        <v>0.22648817187659115</v>
      </c>
      <c r="Y51" s="10"/>
      <c r="Z51" s="51"/>
      <c r="AA51" s="16"/>
      <c r="AB51" s="16"/>
      <c r="AD51" s="5">
        <v>0.22521101216414605</v>
      </c>
      <c r="AE51" s="5">
        <v>3.3466401061363185E-2</v>
      </c>
      <c r="AF51" s="5">
        <v>8.3246621553069416E-2</v>
      </c>
      <c r="AG51" s="5">
        <v>1.2017695286534773E-2</v>
      </c>
      <c r="AH51" s="5">
        <v>3.0495901363954036E-2</v>
      </c>
      <c r="AI51" s="5">
        <v>2.0018941030933695E-2</v>
      </c>
      <c r="AJ51" s="5">
        <v>8.9589619934454488E-3</v>
      </c>
      <c r="AK51" s="5">
        <v>6.2778977373002826E-3</v>
      </c>
      <c r="AL51" s="82">
        <v>0.22392238610732962</v>
      </c>
      <c r="AM51" s="10"/>
      <c r="AN51" s="51"/>
      <c r="AO51" s="16"/>
      <c r="AP51" s="16"/>
      <c r="AR51" s="5">
        <v>0.23905229553384436</v>
      </c>
      <c r="AS51" s="5">
        <v>3.2749045787625823E-2</v>
      </c>
      <c r="AT51" s="5">
        <v>8.3250825821729907E-2</v>
      </c>
      <c r="AU51" s="5">
        <v>1.1519548602267417E-2</v>
      </c>
      <c r="AV51" s="5">
        <v>2.8217016142745948E-2</v>
      </c>
      <c r="AW51" s="5">
        <v>1.9806564568344509E-2</v>
      </c>
      <c r="AX51" s="5">
        <v>8.7005746936624842E-3</v>
      </c>
      <c r="AY51" s="5">
        <v>6.534523701081759E-3</v>
      </c>
      <c r="AZ51" s="82">
        <v>0.2400135412846523</v>
      </c>
      <c r="BA51" s="10"/>
      <c r="BB51" s="51"/>
      <c r="BC51" s="16"/>
      <c r="BD51" s="16"/>
    </row>
    <row r="52" spans="1:62" s="4" customFormat="1" x14ac:dyDescent="0.2">
      <c r="A52" s="4" t="s">
        <v>86</v>
      </c>
      <c r="B52" s="5">
        <v>53.005999999999993</v>
      </c>
      <c r="C52" s="5">
        <v>14.687999999999999</v>
      </c>
      <c r="D52" s="5">
        <v>10.673999999999999</v>
      </c>
      <c r="E52" s="5">
        <v>0.10676000000000001</v>
      </c>
      <c r="F52" s="5">
        <v>20.172000000000001</v>
      </c>
      <c r="G52" s="5">
        <v>0.33848</v>
      </c>
      <c r="H52" s="5">
        <v>8.9360000000000009E-2</v>
      </c>
      <c r="I52" s="5">
        <v>4.0579999999999998E-2</v>
      </c>
      <c r="J52" s="82">
        <v>99.115280000000013</v>
      </c>
      <c r="K52" s="10">
        <v>0.15708496918321921</v>
      </c>
      <c r="L52" s="51">
        <v>1170.1284590961181</v>
      </c>
      <c r="M52" s="16">
        <v>-1.3120805078130291</v>
      </c>
      <c r="N52" s="16">
        <v>-1.150644945461158</v>
      </c>
      <c r="P52" s="5">
        <v>54.720000000000006</v>
      </c>
      <c r="Q52" s="5">
        <v>14.782</v>
      </c>
      <c r="R52" s="5">
        <v>10.52</v>
      </c>
      <c r="S52" s="5">
        <v>0.10684</v>
      </c>
      <c r="T52" s="5">
        <v>20.82</v>
      </c>
      <c r="U52" s="5">
        <v>0.33865999999999996</v>
      </c>
      <c r="V52" s="5">
        <v>8.947999999999999E-2</v>
      </c>
      <c r="W52" s="5">
        <v>4.0620000000000003E-2</v>
      </c>
      <c r="X52" s="82">
        <v>101.4175</v>
      </c>
      <c r="Y52" s="10">
        <v>0.14347005587790077</v>
      </c>
      <c r="Z52" s="51">
        <v>1193.3142232277633</v>
      </c>
      <c r="AA52" s="16">
        <v>-1.5570354350639473</v>
      </c>
      <c r="AB52" s="16">
        <v>-1.3901631839441535</v>
      </c>
      <c r="AD52" s="5">
        <v>54.084000000000003</v>
      </c>
      <c r="AE52" s="5">
        <v>14.687999999999999</v>
      </c>
      <c r="AF52" s="5">
        <v>10.485999999999999</v>
      </c>
      <c r="AG52" s="5">
        <v>0.10594000000000001</v>
      </c>
      <c r="AH52" s="5">
        <v>20.552</v>
      </c>
      <c r="AI52" s="5">
        <v>0.33215999999999996</v>
      </c>
      <c r="AJ52" s="5">
        <v>8.8240000000000013E-2</v>
      </c>
      <c r="AK52" s="5">
        <v>4.02E-2</v>
      </c>
      <c r="AL52" s="82">
        <v>100.37647999999999</v>
      </c>
      <c r="AM52" s="10">
        <v>0.1424681788136555</v>
      </c>
      <c r="AN52" s="51">
        <v>1182.4188073946375</v>
      </c>
      <c r="AO52" s="16">
        <v>-1.5445822336496553</v>
      </c>
      <c r="AP52" s="16">
        <v>-1.3763830351085229</v>
      </c>
      <c r="AR52" s="5">
        <v>54.180399999999999</v>
      </c>
      <c r="AS52" s="5">
        <v>14.546799999999999</v>
      </c>
      <c r="AT52" s="5">
        <v>10.3254</v>
      </c>
      <c r="AU52" s="5">
        <v>0.10400000000000001</v>
      </c>
      <c r="AV52" s="5">
        <v>20.674600000000002</v>
      </c>
      <c r="AW52" s="5">
        <v>0.32680000000000003</v>
      </c>
      <c r="AX52" s="5">
        <v>8.6800000000000016E-2</v>
      </c>
      <c r="AY52" s="5">
        <v>4.0600000000000004E-2</v>
      </c>
      <c r="AZ52" s="82">
        <v>100.28540000000001</v>
      </c>
      <c r="BA52" s="10">
        <v>0.14799455841400549</v>
      </c>
      <c r="BB52" s="51">
        <v>1211.93444613266</v>
      </c>
      <c r="BC52" s="16">
        <v>-1.5376565003254485</v>
      </c>
      <c r="BD52" s="16">
        <v>-1.3735801322463619</v>
      </c>
    </row>
    <row r="53" spans="1:62" s="4" customFormat="1" x14ac:dyDescent="0.2">
      <c r="A53" s="4" t="s">
        <v>44</v>
      </c>
      <c r="B53" s="5">
        <v>0.13612494260788408</v>
      </c>
      <c r="C53" s="5">
        <v>5.4497706373754617E-2</v>
      </c>
      <c r="D53" s="5">
        <v>6.5421708935184814E-2</v>
      </c>
      <c r="E53" s="5">
        <v>9.8307171661074673E-3</v>
      </c>
      <c r="F53" s="5">
        <v>9.0939540355117851E-2</v>
      </c>
      <c r="G53" s="5">
        <v>1.938393664867898E-2</v>
      </c>
      <c r="H53" s="5">
        <v>6.6680581881084396E-3</v>
      </c>
      <c r="I53" s="5">
        <v>7.6437556214206783E-3</v>
      </c>
      <c r="J53" s="82">
        <v>0.1438853258675083</v>
      </c>
      <c r="K53" s="10"/>
      <c r="L53" s="51"/>
      <c r="M53" s="16"/>
      <c r="N53" s="16"/>
      <c r="P53" s="5">
        <v>0.13964240043769063</v>
      </c>
      <c r="Q53" s="5">
        <v>5.5407580708780019E-2</v>
      </c>
      <c r="R53" s="5">
        <v>6.0827625302982212E-2</v>
      </c>
      <c r="S53" s="5">
        <v>9.822321517849026E-3</v>
      </c>
      <c r="T53" s="5">
        <v>9.4074438611134639E-2</v>
      </c>
      <c r="U53" s="5">
        <v>1.9422615683784717E-2</v>
      </c>
      <c r="V53" s="5">
        <v>6.6952968567495167E-3</v>
      </c>
      <c r="W53" s="5">
        <v>7.6359020423261105E-3</v>
      </c>
      <c r="X53" s="82">
        <v>0.14283527225444076</v>
      </c>
      <c r="Y53" s="10"/>
      <c r="Z53" s="51"/>
      <c r="AA53" s="16"/>
      <c r="AB53" s="16"/>
      <c r="AD53" s="5">
        <v>0.13885243966167962</v>
      </c>
      <c r="AE53" s="5">
        <v>5.4497706373754617E-2</v>
      </c>
      <c r="AF53" s="5">
        <v>6.3482280992415596E-2</v>
      </c>
      <c r="AG53" s="5">
        <v>9.7533583959577719E-3</v>
      </c>
      <c r="AH53" s="5">
        <v>9.679876032264069E-2</v>
      </c>
      <c r="AI53" s="5">
        <v>1.9043581595907844E-2</v>
      </c>
      <c r="AJ53" s="5">
        <v>6.5873363357278171E-3</v>
      </c>
      <c r="AK53" s="5">
        <v>7.5382358678937559E-3</v>
      </c>
      <c r="AL53" s="82">
        <v>0.14706693034125354</v>
      </c>
      <c r="AM53" s="10"/>
      <c r="AN53" s="51"/>
      <c r="AO53" s="16"/>
      <c r="AP53" s="16"/>
      <c r="AR53" s="5">
        <v>0.14781508718665978</v>
      </c>
      <c r="AS53" s="5">
        <v>5.3714057750276344E-2</v>
      </c>
      <c r="AT53" s="5">
        <v>6.163034966637819E-2</v>
      </c>
      <c r="AU53" s="5">
        <v>9.7467943448089674E-3</v>
      </c>
      <c r="AV53" s="5">
        <v>9.5429555170293209E-2</v>
      </c>
      <c r="AW53" s="5">
        <v>1.8579558659989746E-2</v>
      </c>
      <c r="AX53" s="5">
        <v>6.6105975524153636E-3</v>
      </c>
      <c r="AY53" s="5">
        <v>7.7006493232713814E-3</v>
      </c>
      <c r="AZ53" s="82">
        <v>0.15907325356577451</v>
      </c>
      <c r="BA53" s="10"/>
      <c r="BB53" s="51"/>
      <c r="BC53" s="16"/>
      <c r="BD53" s="16"/>
    </row>
    <row r="54" spans="1:62" s="4" customFormat="1" x14ac:dyDescent="0.2">
      <c r="A54" s="4" t="s">
        <v>87</v>
      </c>
      <c r="B54" s="5">
        <v>52.734000000000002</v>
      </c>
      <c r="C54" s="5">
        <v>14.84</v>
      </c>
      <c r="D54" s="5">
        <v>10.63</v>
      </c>
      <c r="E54" s="5">
        <v>0.10773999999999999</v>
      </c>
      <c r="F54" s="5">
        <v>20.089999999999996</v>
      </c>
      <c r="G54" s="5">
        <v>0.33255999999999997</v>
      </c>
      <c r="H54" s="5">
        <v>8.7199999999999986E-2</v>
      </c>
      <c r="I54" s="5">
        <v>4.0900000000000006E-2</v>
      </c>
      <c r="J54" s="82">
        <v>98.862459999999999</v>
      </c>
      <c r="K54" s="10">
        <v>0.15322340447752575</v>
      </c>
      <c r="L54" s="51">
        <v>1167.6720497587767</v>
      </c>
      <c r="M54" s="16">
        <v>-1.3573651158062314</v>
      </c>
      <c r="N54" s="16">
        <v>-1.1950705373713433</v>
      </c>
      <c r="P54" s="5">
        <v>54.440000000000012</v>
      </c>
      <c r="Q54" s="5">
        <v>14.936000000000002</v>
      </c>
      <c r="R54" s="5">
        <v>10.478</v>
      </c>
      <c r="S54" s="5">
        <v>0.10784000000000001</v>
      </c>
      <c r="T54" s="5">
        <v>20.734000000000002</v>
      </c>
      <c r="U54" s="5">
        <v>0.33276000000000006</v>
      </c>
      <c r="V54" s="5">
        <v>8.7360000000000007E-2</v>
      </c>
      <c r="W54" s="5">
        <v>4.0980000000000003E-2</v>
      </c>
      <c r="X54" s="82">
        <v>101.15685999999998</v>
      </c>
      <c r="Y54" s="10">
        <v>0.13943185906650968</v>
      </c>
      <c r="Z54" s="51">
        <v>1190.2546556270813</v>
      </c>
      <c r="AA54" s="16">
        <v>-1.6077404134548388</v>
      </c>
      <c r="AB54" s="16">
        <v>-1.4398880691479903</v>
      </c>
      <c r="AD54" s="5">
        <v>53.805999999999997</v>
      </c>
      <c r="AE54" s="5">
        <v>14.843999999999999</v>
      </c>
      <c r="AF54" s="5">
        <v>10.442</v>
      </c>
      <c r="AG54" s="5">
        <v>0.10691999999999999</v>
      </c>
      <c r="AH54" s="5">
        <v>20.47</v>
      </c>
      <c r="AI54" s="5">
        <v>0.32634000000000002</v>
      </c>
      <c r="AJ54" s="5">
        <v>8.6099999999999982E-2</v>
      </c>
      <c r="AK54" s="5">
        <v>4.0539999999999993E-2</v>
      </c>
      <c r="AL54" s="82">
        <v>100.12188</v>
      </c>
      <c r="AM54" s="10">
        <v>0.13862549369676871</v>
      </c>
      <c r="AN54" s="51">
        <v>1180.1744180513133</v>
      </c>
      <c r="AO54" s="16">
        <v>-1.594618550893228</v>
      </c>
      <c r="AP54" s="16">
        <v>-1.4256232714339134</v>
      </c>
      <c r="AR54" s="5">
        <v>53.886600000000001</v>
      </c>
      <c r="AS54" s="5">
        <v>14.6982</v>
      </c>
      <c r="AT54" s="5">
        <v>10.2834</v>
      </c>
      <c r="AU54" s="5">
        <v>0.10500000000000001</v>
      </c>
      <c r="AV54" s="5">
        <v>20.588399999999996</v>
      </c>
      <c r="AW54" s="5">
        <v>0.32100000000000001</v>
      </c>
      <c r="AX54" s="5">
        <v>8.4800000000000014E-2</v>
      </c>
      <c r="AY54" s="5">
        <v>4.0800000000000003E-2</v>
      </c>
      <c r="AZ54" s="82">
        <v>100.00820000000002</v>
      </c>
      <c r="BA54" s="10">
        <v>0.14460242462359291</v>
      </c>
      <c r="BB54" s="51">
        <v>1209.7789241706578</v>
      </c>
      <c r="BC54" s="16">
        <v>-1.5800938181831041</v>
      </c>
      <c r="BD54" s="16">
        <v>-1.4153639284072366</v>
      </c>
    </row>
    <row r="55" spans="1:62" s="4" customFormat="1" x14ac:dyDescent="0.2">
      <c r="A55" s="4" t="s">
        <v>44</v>
      </c>
      <c r="B55" s="5">
        <v>0.4867545582734687</v>
      </c>
      <c r="C55" s="5">
        <v>8.8317608663278299E-2</v>
      </c>
      <c r="D55" s="5">
        <v>0.1769180601295412</v>
      </c>
      <c r="E55" s="5">
        <v>1.1064040853142217E-2</v>
      </c>
      <c r="F55" s="5">
        <v>0.1012422836565835</v>
      </c>
      <c r="G55" s="5">
        <v>9.0910945435629283E-3</v>
      </c>
      <c r="H55" s="5">
        <v>4.5885727628533898E-3</v>
      </c>
      <c r="I55" s="5">
        <v>8.0576051032549348E-3</v>
      </c>
      <c r="J55" s="82">
        <v>0.4649355148835182</v>
      </c>
      <c r="K55" s="10"/>
      <c r="L55" s="51"/>
      <c r="M55" s="16"/>
      <c r="N55" s="16"/>
      <c r="P55" s="5">
        <v>0.5009490992106872</v>
      </c>
      <c r="Q55" s="5">
        <v>9.0443352436760452E-2</v>
      </c>
      <c r="R55" s="5">
        <v>0.17584083712266618</v>
      </c>
      <c r="S55" s="5">
        <v>1.1064040853142217E-2</v>
      </c>
      <c r="T55" s="5">
        <v>0.10526157893552625</v>
      </c>
      <c r="U55" s="5">
        <v>9.0910945435629525E-3</v>
      </c>
      <c r="V55" s="5">
        <v>4.6382108619595977E-3</v>
      </c>
      <c r="W55" s="5">
        <v>8.0995061577851836E-3</v>
      </c>
      <c r="X55" s="82">
        <v>0.48264226192906118</v>
      </c>
      <c r="Y55" s="10"/>
      <c r="Z55" s="51"/>
      <c r="AA55" s="16"/>
      <c r="AB55" s="16"/>
      <c r="AD55" s="5">
        <v>0.49048955136679401</v>
      </c>
      <c r="AE55" s="5">
        <v>9.289779329994903E-2</v>
      </c>
      <c r="AF55" s="5">
        <v>0.17253985046939133</v>
      </c>
      <c r="AG55" s="5">
        <v>1.1003045033080618E-2</v>
      </c>
      <c r="AH55" s="5">
        <v>0.10723805294763686</v>
      </c>
      <c r="AI55" s="5">
        <v>8.8998876397401797E-3</v>
      </c>
      <c r="AJ55" s="5">
        <v>4.5885727628533915E-3</v>
      </c>
      <c r="AK55" s="5">
        <v>8.0120534196921438E-3</v>
      </c>
      <c r="AL55" s="82">
        <v>0.47537675795099787</v>
      </c>
      <c r="AM55" s="10"/>
      <c r="AN55" s="51"/>
      <c r="AO55" s="16"/>
      <c r="AP55" s="16"/>
      <c r="AR55" s="5">
        <v>0.52272201025019016</v>
      </c>
      <c r="AS55" s="5">
        <v>8.9124631836546328E-2</v>
      </c>
      <c r="AT55" s="5">
        <v>0.17211130119780071</v>
      </c>
      <c r="AU55" s="5">
        <v>1.1022703842524306E-2</v>
      </c>
      <c r="AV55" s="5">
        <v>0.10961660458160566</v>
      </c>
      <c r="AW55" s="5">
        <v>8.8881944173155956E-3</v>
      </c>
      <c r="AX55" s="5">
        <v>4.3243496620879278E-3</v>
      </c>
      <c r="AY55" s="5">
        <v>8.167006795638157E-3</v>
      </c>
      <c r="AZ55" s="82">
        <v>0.51286177475026995</v>
      </c>
      <c r="BA55" s="10"/>
      <c r="BB55" s="51"/>
      <c r="BC55" s="16"/>
      <c r="BD55" s="16"/>
    </row>
    <row r="56" spans="1:62" s="4" customFormat="1" ht="6.75" customHeight="1" x14ac:dyDescent="0.2">
      <c r="J56" s="82"/>
      <c r="K56" s="10"/>
      <c r="M56" s="16"/>
      <c r="N56" s="16"/>
      <c r="X56" s="82"/>
      <c r="Y56" s="10"/>
      <c r="Z56" s="49"/>
      <c r="AA56" s="16"/>
      <c r="AB56" s="16"/>
      <c r="AL56" s="82"/>
      <c r="AM56" s="10"/>
      <c r="AO56" s="16"/>
      <c r="AP56" s="16"/>
      <c r="AZ56" s="82"/>
      <c r="BA56" s="10"/>
      <c r="BC56" s="16"/>
      <c r="BD56" s="16"/>
    </row>
    <row r="57" spans="1:62" s="4" customFormat="1" x14ac:dyDescent="0.2">
      <c r="A57" s="4" t="s">
        <v>1</v>
      </c>
      <c r="B57" s="5">
        <v>52.775499999999994</v>
      </c>
      <c r="C57" s="5">
        <v>14.705500000000001</v>
      </c>
      <c r="D57" s="5">
        <v>10.6395</v>
      </c>
      <c r="E57" s="5">
        <v>0.104245</v>
      </c>
      <c r="F57" s="5">
        <v>20.083500000000001</v>
      </c>
      <c r="G57" s="5">
        <v>0.338945</v>
      </c>
      <c r="H57" s="5">
        <v>8.8700000000000001E-2</v>
      </c>
      <c r="I57" s="5">
        <v>4.1374999999999995E-2</v>
      </c>
      <c r="J57" s="82">
        <v>98.777349999999998</v>
      </c>
      <c r="K57" s="10">
        <v>0.15503000857493193</v>
      </c>
      <c r="L57" s="51">
        <v>1167.0139964260311</v>
      </c>
      <c r="M57" s="16">
        <v>-1.3315138333793857</v>
      </c>
      <c r="N57" s="16">
        <v>-1.1694565934268581</v>
      </c>
      <c r="P57" s="5">
        <v>54.483000000000004</v>
      </c>
      <c r="Q57" s="5">
        <v>14.7995</v>
      </c>
      <c r="R57" s="5">
        <v>10.486499999999999</v>
      </c>
      <c r="S57" s="5">
        <v>0.10433000000000001</v>
      </c>
      <c r="T57" s="5">
        <v>20.727499999999999</v>
      </c>
      <c r="U57" s="5">
        <v>0.33914</v>
      </c>
      <c r="V57" s="5">
        <v>8.8834999999999997E-2</v>
      </c>
      <c r="W57" s="5">
        <v>4.1444999999999996E-2</v>
      </c>
      <c r="X57" s="82">
        <v>101.07018500000001</v>
      </c>
      <c r="Y57" s="10">
        <v>0.14122305446556596</v>
      </c>
      <c r="Z57" s="49">
        <v>1189.6709116610164</v>
      </c>
      <c r="AA57" s="16">
        <v>-1.5803332088667201</v>
      </c>
      <c r="AB57" s="16">
        <v>-1.412681828690137</v>
      </c>
      <c r="AD57" s="5">
        <v>53.850499999999997</v>
      </c>
      <c r="AE57" s="5">
        <v>14.707999999999998</v>
      </c>
      <c r="AF57" s="5">
        <v>10.451499999999999</v>
      </c>
      <c r="AG57" s="5">
        <v>0.10346</v>
      </c>
      <c r="AH57" s="5">
        <v>20.461500000000001</v>
      </c>
      <c r="AI57" s="5">
        <v>0.332625</v>
      </c>
      <c r="AJ57" s="5">
        <v>8.7584999999999996E-2</v>
      </c>
      <c r="AK57" s="5">
        <v>4.0999999999999995E-2</v>
      </c>
      <c r="AL57" s="82">
        <v>100.036185</v>
      </c>
      <c r="AM57" s="10">
        <v>0.14016098192995335</v>
      </c>
      <c r="AN57" s="49">
        <v>1178.955512221366</v>
      </c>
      <c r="AO57" s="16">
        <v>-1.569247237049936</v>
      </c>
      <c r="AP57" s="16">
        <v>-1.4002850485607476</v>
      </c>
      <c r="AR57" s="5">
        <v>53.921500000000002</v>
      </c>
      <c r="AS57" s="5">
        <v>14.563899999999999</v>
      </c>
      <c r="AT57" s="5">
        <v>10.292000000000002</v>
      </c>
      <c r="AU57" s="5">
        <v>0.10160000000000001</v>
      </c>
      <c r="AV57" s="5">
        <v>20.58</v>
      </c>
      <c r="AW57" s="5">
        <v>0.32720000000000005</v>
      </c>
      <c r="AX57" s="5">
        <v>8.6200000000000013E-2</v>
      </c>
      <c r="AY57" s="5">
        <v>4.1349999999999998E-2</v>
      </c>
      <c r="AZ57" s="82">
        <v>99.913750000000022</v>
      </c>
      <c r="BA57" s="10">
        <v>0.14650280624012502</v>
      </c>
      <c r="BB57" s="49">
        <v>1209.3268130228334</v>
      </c>
      <c r="BC57" s="16">
        <v>-1.5522044176598924</v>
      </c>
      <c r="BD57" s="16">
        <v>-1.3877555296448616</v>
      </c>
      <c r="BF57" s="28">
        <f>AVERAGE(K57, Y57, AM57, BA57)</f>
        <v>0.14572921280264406</v>
      </c>
      <c r="BG57" s="29">
        <f>AVERAGE(M57, AA57, AO57, BC57)</f>
        <v>-1.5083246742389835</v>
      </c>
      <c r="BH57" s="29">
        <f>AVERAGE(N57, AB57, AP57, BD57)</f>
        <v>-1.3425447500806511</v>
      </c>
      <c r="BJ57" s="32">
        <f>BF57-BF46</f>
        <v>5.5474919019528848E-2</v>
      </c>
    </row>
    <row r="58" spans="1:62" s="4" customFormat="1" x14ac:dyDescent="0.2">
      <c r="A58" s="4" t="s">
        <v>44</v>
      </c>
      <c r="B58" s="5">
        <v>0.15573802789727403</v>
      </c>
      <c r="C58" s="5">
        <v>0.11702278980323956</v>
      </c>
      <c r="D58" s="5">
        <v>5.7859024072884471E-2</v>
      </c>
      <c r="E58" s="5">
        <v>3.7525591267826858E-3</v>
      </c>
      <c r="F58" s="5">
        <v>6.427804187019634E-2</v>
      </c>
      <c r="G58" s="5">
        <v>5.3652555080505489E-3</v>
      </c>
      <c r="H58" s="5">
        <v>1.0252804494381117E-3</v>
      </c>
      <c r="I58" s="5">
        <v>7.501777567128111E-4</v>
      </c>
      <c r="J58" s="82">
        <v>0.29280761123987498</v>
      </c>
      <c r="K58" s="16">
        <f>STDEVA(K48, K50, K52, K54)</f>
        <v>1.7080652032105154E-3</v>
      </c>
      <c r="L58" s="54">
        <f>STDEVA(L48, L50, L52, L54)</f>
        <v>4.0272014013821726</v>
      </c>
      <c r="M58" s="16">
        <f t="shared" ref="M58:N58" si="18">STDEVA(M48, M50, M52, M54)</f>
        <v>2.5186748182523203E-2</v>
      </c>
      <c r="N58" s="16">
        <f t="shared" si="18"/>
        <v>2.4626807939707514E-2</v>
      </c>
      <c r="P58" s="5">
        <v>0.16007081766101969</v>
      </c>
      <c r="Q58" s="5">
        <v>0.11964809512343617</v>
      </c>
      <c r="R58" s="5">
        <v>5.6859475903317941E-2</v>
      </c>
      <c r="S58" s="5">
        <v>3.7587763966482543E-3</v>
      </c>
      <c r="T58" s="5">
        <v>6.7159015279658618E-2</v>
      </c>
      <c r="U58" s="5">
        <v>5.3658425868325929E-3</v>
      </c>
      <c r="V58" s="5">
        <v>1.0101320045749738E-3</v>
      </c>
      <c r="W58" s="5">
        <v>7.6269259862673166E-4</v>
      </c>
      <c r="X58" s="82">
        <v>0.29957526750384034</v>
      </c>
      <c r="Y58" s="16">
        <f>STDEVA(Y48, Y50, Y52, Y54)</f>
        <v>1.7128786209499207E-3</v>
      </c>
      <c r="Z58" s="54">
        <f>STDEVA(Z48, Z50, Z52, Z54)</f>
        <v>4.7570908049316305</v>
      </c>
      <c r="AA58" s="16">
        <f t="shared" ref="AA58:AB58" si="19">STDEVA(AA48, AA50, AA52, AA54)</f>
        <v>2.5658936527042448E-2</v>
      </c>
      <c r="AB58" s="16">
        <f t="shared" si="19"/>
        <v>2.5227400482378735E-2</v>
      </c>
      <c r="AD58" s="5">
        <v>0.15747486571937092</v>
      </c>
      <c r="AE58" s="5">
        <v>0.11909659944767451</v>
      </c>
      <c r="AF58" s="5">
        <v>5.7859024072884763E-2</v>
      </c>
      <c r="AG58" s="5">
        <v>3.7182433128203616E-3</v>
      </c>
      <c r="AH58" s="5">
        <v>6.6259590500797494E-2</v>
      </c>
      <c r="AI58" s="5">
        <v>5.2755378872680007E-3</v>
      </c>
      <c r="AJ58" s="5">
        <v>1.0188064912762804E-3</v>
      </c>
      <c r="AK58" s="5">
        <v>7.4422218904482374E-4</v>
      </c>
      <c r="AL58" s="82">
        <v>0.29873573399689163</v>
      </c>
      <c r="AM58" s="16">
        <f>STDEVA(AM48, AM50, AM52, AM54)</f>
        <v>1.6624617820680287E-3</v>
      </c>
      <c r="AN58" s="54">
        <f>STDEVA(AN48, AN50, AN52, AN54)</f>
        <v>4.8601430123581251</v>
      </c>
      <c r="AO58" s="16">
        <f t="shared" ref="AO58:AP58" si="20">STDEVA(AO48, AO50, AO52, AO54)</f>
        <v>2.4983000787058014E-2</v>
      </c>
      <c r="AP58" s="16">
        <f t="shared" si="20"/>
        <v>2.4593912958581373E-2</v>
      </c>
      <c r="AR58" s="5">
        <v>0.17646502958565743</v>
      </c>
      <c r="AS58" s="5">
        <v>0.11813579756647383</v>
      </c>
      <c r="AT58" s="5">
        <v>5.6680155257372841E-2</v>
      </c>
      <c r="AU58" s="5">
        <v>3.5888716889852798E-3</v>
      </c>
      <c r="AV58" s="5">
        <v>6.9113433330045729E-2</v>
      </c>
      <c r="AW58" s="5">
        <v>5.151051672555162E-3</v>
      </c>
      <c r="AX58" s="5">
        <v>9.933109617167547E-4</v>
      </c>
      <c r="AY58" s="5">
        <v>7.7244201508376369E-4</v>
      </c>
      <c r="AZ58" s="82">
        <v>0.32141422391259356</v>
      </c>
      <c r="BA58" s="16">
        <f>STDEVA(BA48, BA50, BA52, BA54)</f>
        <v>1.4148966175013794E-3</v>
      </c>
      <c r="BB58" s="54">
        <f>STDEVA(BB48, BB50, BB52, BB54)</f>
        <v>4.7953602529728681</v>
      </c>
      <c r="BC58" s="16">
        <f t="shared" ref="BC58:BD58" si="21">STDEVA(BC48, BC50, BC52, BC54)</f>
        <v>2.2832884608920918E-2</v>
      </c>
      <c r="BD58" s="16">
        <f t="shared" si="21"/>
        <v>2.2617927408720439E-2</v>
      </c>
      <c r="BF58" s="28">
        <f>STDEVA(K57, Y57, AM57, BA57)</f>
        <v>6.7924935729260696E-3</v>
      </c>
      <c r="BG58" s="29">
        <f>STDEVA(M57, AA57, AO57, BC57)</f>
        <v>0.11844027052604929</v>
      </c>
      <c r="BH58" s="29">
        <f>STDEVA(N57, AB57, AP57, BD57)</f>
        <v>0.1158399419127609</v>
      </c>
    </row>
    <row r="59" spans="1:62" s="4" customFormat="1" x14ac:dyDescent="0.2">
      <c r="C59" s="5"/>
      <c r="D59" s="5"/>
      <c r="E59" s="5"/>
      <c r="F59" s="5"/>
      <c r="G59" s="5"/>
      <c r="H59" s="5"/>
      <c r="I59" s="5"/>
      <c r="J59" s="82"/>
      <c r="K59" s="10"/>
      <c r="L59" s="51"/>
      <c r="M59" s="16"/>
      <c r="N59" s="16"/>
      <c r="Q59" s="5"/>
      <c r="R59" s="5"/>
      <c r="S59" s="5"/>
      <c r="T59" s="5"/>
      <c r="U59" s="5"/>
      <c r="V59" s="5"/>
      <c r="W59" s="5"/>
      <c r="X59" s="82"/>
      <c r="Y59" s="10"/>
      <c r="Z59" s="51"/>
      <c r="AA59" s="16"/>
      <c r="AB59" s="16"/>
      <c r="AE59" s="5"/>
      <c r="AF59" s="5"/>
      <c r="AG59" s="5"/>
      <c r="AH59" s="5"/>
      <c r="AI59" s="5"/>
      <c r="AJ59" s="5"/>
      <c r="AK59" s="5"/>
      <c r="AL59" s="82"/>
      <c r="AM59" s="10"/>
      <c r="AN59" s="51"/>
      <c r="AO59" s="16"/>
      <c r="AP59" s="16"/>
      <c r="AS59" s="5"/>
      <c r="AT59" s="5"/>
      <c r="AU59" s="5"/>
      <c r="AV59" s="5"/>
      <c r="AW59" s="5"/>
      <c r="AX59" s="5"/>
      <c r="AY59" s="5"/>
      <c r="AZ59" s="82"/>
      <c r="BA59" s="10"/>
      <c r="BB59" s="51"/>
      <c r="BC59" s="16"/>
      <c r="BD59" s="16"/>
    </row>
    <row r="60" spans="1:62" s="4" customFormat="1" x14ac:dyDescent="0.2">
      <c r="A60" s="47" t="s">
        <v>99</v>
      </c>
      <c r="C60" s="5"/>
      <c r="D60" s="5"/>
      <c r="E60" s="5"/>
      <c r="F60" s="5"/>
      <c r="G60" s="5"/>
      <c r="H60" s="5"/>
      <c r="I60" s="5"/>
      <c r="J60" s="82"/>
      <c r="K60" s="10"/>
      <c r="L60" s="51"/>
      <c r="M60" s="16"/>
      <c r="N60" s="16"/>
      <c r="Q60" s="5"/>
      <c r="R60" s="5"/>
      <c r="S60" s="5"/>
      <c r="T60" s="5"/>
      <c r="U60" s="5"/>
      <c r="V60" s="5"/>
      <c r="W60" s="5"/>
      <c r="X60" s="82"/>
      <c r="Y60" s="10"/>
      <c r="Z60" s="51"/>
      <c r="AA60" s="16"/>
      <c r="AB60" s="16"/>
      <c r="AE60" s="5"/>
      <c r="AF60" s="5"/>
      <c r="AG60" s="5"/>
      <c r="AH60" s="5"/>
      <c r="AI60" s="5"/>
      <c r="AJ60" s="5"/>
      <c r="AK60" s="5"/>
      <c r="AL60" s="82"/>
      <c r="AM60" s="10"/>
      <c r="AN60" s="51"/>
      <c r="AO60" s="16"/>
      <c r="AP60" s="16"/>
      <c r="AS60" s="5"/>
      <c r="AT60" s="5"/>
      <c r="AU60" s="5"/>
      <c r="AV60" s="5"/>
      <c r="AW60" s="5"/>
      <c r="AX60" s="5"/>
      <c r="AY60" s="5"/>
      <c r="AZ60" s="82"/>
      <c r="BA60" s="10"/>
      <c r="BB60" s="51"/>
      <c r="BC60" s="16"/>
      <c r="BD60" s="16"/>
    </row>
    <row r="61" spans="1:62" s="4" customFormat="1" x14ac:dyDescent="0.2">
      <c r="A61" s="22" t="s">
        <v>196</v>
      </c>
      <c r="B61" s="4">
        <v>58.64</v>
      </c>
      <c r="C61" s="4">
        <v>8.4600000000000009</v>
      </c>
      <c r="D61" s="4">
        <v>11.1</v>
      </c>
      <c r="E61" s="4">
        <v>0.13</v>
      </c>
      <c r="F61" s="4">
        <v>20.239999999999998</v>
      </c>
      <c r="G61" s="4">
        <v>0.41</v>
      </c>
      <c r="H61" s="4">
        <v>0.1</v>
      </c>
      <c r="I61" s="4">
        <v>0.04</v>
      </c>
      <c r="J61" s="82"/>
      <c r="K61" s="10">
        <v>0.12678193683580827</v>
      </c>
      <c r="L61" s="51">
        <v>1023.3582028342904</v>
      </c>
      <c r="M61" s="16">
        <v>-1.3613383077874381</v>
      </c>
      <c r="N61" s="16">
        <v>-0.97875394861056897</v>
      </c>
      <c r="P61" s="4">
        <v>58.64</v>
      </c>
      <c r="Q61" s="4">
        <v>8.4600000000000009</v>
      </c>
      <c r="R61" s="4">
        <v>11.1</v>
      </c>
      <c r="S61" s="4">
        <v>0.13</v>
      </c>
      <c r="T61" s="4">
        <v>20.239999999999998</v>
      </c>
      <c r="U61" s="4">
        <v>0.41</v>
      </c>
      <c r="V61" s="4">
        <v>0.1</v>
      </c>
      <c r="W61" s="4">
        <v>0.04</v>
      </c>
      <c r="X61" s="82"/>
      <c r="Y61" s="10">
        <v>0.12678193683580827</v>
      </c>
      <c r="Z61" s="51">
        <v>1023.3582028342904</v>
      </c>
      <c r="AA61" s="16">
        <v>-1.3613383077874381</v>
      </c>
      <c r="AB61" s="16">
        <v>-0.97875394861056897</v>
      </c>
      <c r="AD61" s="4">
        <v>58.64</v>
      </c>
      <c r="AE61" s="4">
        <v>8.4600000000000009</v>
      </c>
      <c r="AF61" s="4">
        <v>11.1</v>
      </c>
      <c r="AG61" s="4">
        <v>0.13</v>
      </c>
      <c r="AH61" s="4">
        <v>20.239999999999998</v>
      </c>
      <c r="AI61" s="4">
        <v>0.41</v>
      </c>
      <c r="AJ61" s="4">
        <v>0.1</v>
      </c>
      <c r="AK61" s="4">
        <v>0.04</v>
      </c>
      <c r="AL61" s="82"/>
      <c r="AM61" s="10">
        <v>0.12678193683580827</v>
      </c>
      <c r="AN61" s="51">
        <v>1023.3582028342904</v>
      </c>
      <c r="AO61" s="16">
        <v>-1.3613383077874381</v>
      </c>
      <c r="AP61" s="16">
        <v>-0.97875394861056897</v>
      </c>
      <c r="AR61" s="4">
        <v>58.64</v>
      </c>
      <c r="AS61" s="4">
        <v>8.4600000000000009</v>
      </c>
      <c r="AT61" s="4">
        <v>11.1</v>
      </c>
      <c r="AU61" s="4">
        <v>0.13</v>
      </c>
      <c r="AV61" s="4">
        <v>20.239999999999998</v>
      </c>
      <c r="AW61" s="4">
        <v>0.41</v>
      </c>
      <c r="AX61" s="4">
        <v>0.1</v>
      </c>
      <c r="AY61" s="4">
        <v>0.04</v>
      </c>
      <c r="AZ61" s="82"/>
      <c r="BA61" s="10">
        <v>0.12678193683580827</v>
      </c>
      <c r="BB61" s="51">
        <v>1023.3582028342904</v>
      </c>
      <c r="BC61" s="16">
        <v>-1.3613383077874381</v>
      </c>
      <c r="BD61" s="16">
        <v>-0.97875394861056897</v>
      </c>
      <c r="BF61" s="10">
        <f>BA61</f>
        <v>0.12678193683580827</v>
      </c>
      <c r="BG61" s="16">
        <f t="shared" ref="BG61" si="22">BC61</f>
        <v>-1.3613383077874381</v>
      </c>
      <c r="BH61" s="16">
        <f t="shared" ref="BH61" si="23">BD61</f>
        <v>-0.97875394861056897</v>
      </c>
    </row>
    <row r="62" spans="1:62" s="4" customFormat="1" ht="6.75" customHeight="1" x14ac:dyDescent="0.2">
      <c r="J62" s="82"/>
      <c r="K62" s="10"/>
      <c r="L62" s="51"/>
      <c r="M62" s="16"/>
      <c r="N62" s="16"/>
      <c r="X62" s="82"/>
      <c r="Y62" s="10"/>
      <c r="Z62" s="51"/>
      <c r="AA62" s="16"/>
      <c r="AB62" s="16"/>
      <c r="AL62" s="82"/>
      <c r="AM62" s="10"/>
      <c r="AN62" s="51"/>
      <c r="AO62" s="16"/>
      <c r="AP62" s="16"/>
      <c r="AZ62" s="82"/>
      <c r="BA62" s="10"/>
      <c r="BB62" s="51"/>
      <c r="BC62" s="16"/>
      <c r="BD62" s="16"/>
    </row>
    <row r="63" spans="1:62" s="4" customFormat="1" x14ac:dyDescent="0.2">
      <c r="A63" s="4" t="s">
        <v>62</v>
      </c>
      <c r="B63" s="5">
        <v>58.606000000000009</v>
      </c>
      <c r="C63" s="5">
        <v>8.6999999999999993</v>
      </c>
      <c r="D63" s="5">
        <v>10.907999999999999</v>
      </c>
      <c r="E63" s="5">
        <v>9.4379999999999992E-2</v>
      </c>
      <c r="F63" s="5">
        <v>20.687999999999999</v>
      </c>
      <c r="G63" s="5">
        <v>0.40334000000000003</v>
      </c>
      <c r="H63" s="5">
        <v>0.14064000000000002</v>
      </c>
      <c r="I63" s="5">
        <v>3.678E-2</v>
      </c>
      <c r="J63" s="82">
        <v>99.577199999999991</v>
      </c>
      <c r="K63" s="10">
        <v>0.1540225226072858</v>
      </c>
      <c r="L63" s="51">
        <v>1110.0828661023147</v>
      </c>
      <c r="M63" s="16">
        <v>-1.1987074553440351</v>
      </c>
      <c r="N63" s="16">
        <v>-0.8412843108035144</v>
      </c>
      <c r="P63" s="5">
        <v>60.466000000000008</v>
      </c>
      <c r="Q63" s="5">
        <v>8.7560000000000002</v>
      </c>
      <c r="R63" s="5">
        <v>10.754000000000001</v>
      </c>
      <c r="S63" s="5">
        <v>9.4479999999999981E-2</v>
      </c>
      <c r="T63" s="5">
        <v>21.354000000000003</v>
      </c>
      <c r="U63" s="5">
        <v>0.40354000000000001</v>
      </c>
      <c r="V63" s="5">
        <v>0.14083999999999999</v>
      </c>
      <c r="W63" s="5">
        <v>3.6839999999999998E-2</v>
      </c>
      <c r="X63" s="82">
        <v>102.00561999999999</v>
      </c>
      <c r="Y63" s="10">
        <v>0.13737565652600323</v>
      </c>
      <c r="Z63" s="51">
        <v>1131.5599573034374</v>
      </c>
      <c r="AA63" s="16">
        <v>-1.4876531276412166</v>
      </c>
      <c r="AB63" s="16">
        <v>-1.1241093931447477</v>
      </c>
      <c r="AD63" s="5">
        <v>59.664000000000001</v>
      </c>
      <c r="AE63" s="5">
        <v>8.6919999999999984</v>
      </c>
      <c r="AF63" s="5">
        <v>10.71</v>
      </c>
      <c r="AG63" s="5">
        <v>9.3579999999999997E-2</v>
      </c>
      <c r="AH63" s="5">
        <v>21.038</v>
      </c>
      <c r="AI63" s="5">
        <v>0.39556000000000002</v>
      </c>
      <c r="AJ63" s="5">
        <v>0.13872000000000001</v>
      </c>
      <c r="AK63" s="5">
        <v>3.6339999999999997E-2</v>
      </c>
      <c r="AL63" s="82">
        <v>100.76812</v>
      </c>
      <c r="AM63" s="10">
        <v>0.1369752454164023</v>
      </c>
      <c r="AN63" s="51">
        <v>1119.3680640967996</v>
      </c>
      <c r="AO63" s="16">
        <v>-1.4626386717222117</v>
      </c>
      <c r="AP63" s="16">
        <v>-1.097359884712219</v>
      </c>
      <c r="AR63" s="5">
        <v>59.850199999999994</v>
      </c>
      <c r="AS63" s="5">
        <v>8.6036000000000001</v>
      </c>
      <c r="AT63" s="5">
        <v>10.5358</v>
      </c>
      <c r="AU63" s="5">
        <v>9.1799999999999993E-2</v>
      </c>
      <c r="AV63" s="5">
        <v>21.192200000000003</v>
      </c>
      <c r="AW63" s="5">
        <v>0.3886</v>
      </c>
      <c r="AX63" s="5">
        <v>0.1366</v>
      </c>
      <c r="AY63" s="5">
        <v>3.6400000000000002E-2</v>
      </c>
      <c r="AZ63" s="82">
        <v>100.83519999999999</v>
      </c>
      <c r="BA63" s="10">
        <v>0.13964668568006258</v>
      </c>
      <c r="BB63" s="51">
        <v>1149.4278770138135</v>
      </c>
      <c r="BC63" s="16">
        <v>-1.4984107563791997</v>
      </c>
      <c r="BD63" s="16">
        <v>-1.1371788324879173</v>
      </c>
    </row>
    <row r="64" spans="1:62" s="4" customFormat="1" x14ac:dyDescent="0.2">
      <c r="A64" s="4" t="s">
        <v>44</v>
      </c>
      <c r="B64" s="5">
        <v>0.24357750306627088</v>
      </c>
      <c r="C64" s="5">
        <v>3.5355339059327501E-2</v>
      </c>
      <c r="D64" s="5">
        <v>0.18978935691971763</v>
      </c>
      <c r="E64" s="5">
        <v>1.2304755178385416E-2</v>
      </c>
      <c r="F64" s="5">
        <v>0.11322543883774444</v>
      </c>
      <c r="G64" s="5">
        <v>1.2595356287140123E-2</v>
      </c>
      <c r="H64" s="5">
        <v>5.8602900952085995E-3</v>
      </c>
      <c r="I64" s="5">
        <v>1.1713112310568867E-2</v>
      </c>
      <c r="J64" s="82">
        <v>0.20008986730966558</v>
      </c>
      <c r="K64" s="10"/>
      <c r="L64" s="51"/>
      <c r="M64" s="16"/>
      <c r="N64" s="16"/>
      <c r="P64" s="5">
        <v>0.25035974117257725</v>
      </c>
      <c r="Q64" s="5">
        <v>4.0373258476372326E-2</v>
      </c>
      <c r="R64" s="5">
        <v>0.18769656363396742</v>
      </c>
      <c r="S64" s="5">
        <v>1.2304755178385416E-2</v>
      </c>
      <c r="T64" s="5">
        <v>0.11802542099056415</v>
      </c>
      <c r="U64" s="5">
        <v>1.2595356287140104E-2</v>
      </c>
      <c r="V64" s="5">
        <v>5.8602900952085951E-3</v>
      </c>
      <c r="W64" s="5">
        <v>1.1668461766659723E-2</v>
      </c>
      <c r="X64" s="82">
        <v>0.20566727255448619</v>
      </c>
      <c r="Y64" s="10"/>
      <c r="Z64" s="51"/>
      <c r="AA64" s="16"/>
      <c r="AB64" s="16"/>
      <c r="AD64" s="5">
        <v>0.24653600142778417</v>
      </c>
      <c r="AE64" s="5">
        <v>3.8340579025361692E-2</v>
      </c>
      <c r="AF64" s="5">
        <v>0.18533752992850608</v>
      </c>
      <c r="AG64" s="5">
        <v>1.2166634703154371E-2</v>
      </c>
      <c r="AH64" s="5">
        <v>0.11755849607748396</v>
      </c>
      <c r="AI64" s="5">
        <v>1.2347590858139079E-2</v>
      </c>
      <c r="AJ64" s="5">
        <v>5.7798788914647662E-3</v>
      </c>
      <c r="AK64" s="5">
        <v>1.1549155813305132E-2</v>
      </c>
      <c r="AL64" s="82">
        <v>0.20065463363700026</v>
      </c>
      <c r="AM64" s="10"/>
      <c r="AN64" s="51"/>
      <c r="AO64" s="16"/>
      <c r="AP64" s="16"/>
      <c r="AR64" s="5">
        <v>0.24836807363266425</v>
      </c>
      <c r="AS64" s="5">
        <v>3.8448667077026009E-2</v>
      </c>
      <c r="AT64" s="5">
        <v>0.18294589364071509</v>
      </c>
      <c r="AU64" s="5">
        <v>1.2173742234826607E-2</v>
      </c>
      <c r="AV64" s="5">
        <v>0.11963151758629513</v>
      </c>
      <c r="AW64" s="5">
        <v>1.2361229712289966E-2</v>
      </c>
      <c r="AX64" s="5">
        <v>5.6833088953531187E-3</v>
      </c>
      <c r="AY64" s="5">
        <v>1.1760102040373631E-2</v>
      </c>
      <c r="AZ64" s="82">
        <v>0.2213508527202929</v>
      </c>
      <c r="BA64" s="10"/>
      <c r="BB64" s="51"/>
      <c r="BC64" s="16"/>
      <c r="BD64" s="16"/>
    </row>
    <row r="65" spans="1:62" s="4" customFormat="1" x14ac:dyDescent="0.2">
      <c r="A65" s="4" t="s">
        <v>63</v>
      </c>
      <c r="B65" s="5">
        <v>58.918000000000006</v>
      </c>
      <c r="C65" s="5">
        <v>8.9499999999999993</v>
      </c>
      <c r="D65" s="5">
        <v>10.952000000000002</v>
      </c>
      <c r="E65" s="5">
        <v>9.3880000000000005E-2</v>
      </c>
      <c r="F65" s="5">
        <v>20.867999999999999</v>
      </c>
      <c r="G65" s="5">
        <v>0.39368000000000003</v>
      </c>
      <c r="H65" s="5">
        <v>0.1426</v>
      </c>
      <c r="I65" s="5">
        <v>3.8460000000000001E-2</v>
      </c>
      <c r="J65" s="82">
        <v>100.35656</v>
      </c>
      <c r="K65" s="10">
        <v>0.15398203843501254</v>
      </c>
      <c r="L65" s="51">
        <v>1118.7690094321651</v>
      </c>
      <c r="M65" s="16">
        <v>-1.2207821581744127</v>
      </c>
      <c r="N65" s="16">
        <v>-0.86553478987684596</v>
      </c>
      <c r="P65" s="5">
        <v>60.79</v>
      </c>
      <c r="Q65" s="5">
        <v>9.0120000000000005</v>
      </c>
      <c r="R65" s="5">
        <v>10.795999999999999</v>
      </c>
      <c r="S65" s="5">
        <v>9.3960000000000002E-2</v>
      </c>
      <c r="T65" s="5">
        <v>21.544</v>
      </c>
      <c r="U65" s="5">
        <v>0.39385999999999999</v>
      </c>
      <c r="V65" s="5">
        <v>0.14277999999999999</v>
      </c>
      <c r="W65" s="5">
        <v>3.85E-2</v>
      </c>
      <c r="X65" s="82">
        <v>102.81106000000003</v>
      </c>
      <c r="Y65" s="10">
        <v>0.13771058909506464</v>
      </c>
      <c r="Z65" s="51">
        <v>1141.4773884729566</v>
      </c>
      <c r="AA65" s="16">
        <v>-1.506828010878033</v>
      </c>
      <c r="AB65" s="16">
        <v>-1.1458903376108003</v>
      </c>
      <c r="AD65" s="5">
        <v>59.986000000000004</v>
      </c>
      <c r="AE65" s="5">
        <v>8.9439999999999991</v>
      </c>
      <c r="AF65" s="5">
        <v>10.752000000000001</v>
      </c>
      <c r="AG65" s="5">
        <v>9.3079999999999996E-2</v>
      </c>
      <c r="AH65" s="5">
        <v>21.222000000000001</v>
      </c>
      <c r="AI65" s="5">
        <v>0.38608000000000003</v>
      </c>
      <c r="AJ65" s="5">
        <v>0.14064000000000002</v>
      </c>
      <c r="AK65" s="5">
        <v>3.7999999999999999E-2</v>
      </c>
      <c r="AL65" s="82">
        <v>101.56176000000001</v>
      </c>
      <c r="AM65" s="10">
        <v>0.13686999015374224</v>
      </c>
      <c r="AN65" s="51">
        <v>1128.2308507686262</v>
      </c>
      <c r="AO65" s="16">
        <v>-1.4860160706587129</v>
      </c>
      <c r="AP65" s="16">
        <v>-1.1230124135377242</v>
      </c>
      <c r="AR65" s="5">
        <v>60.236200000000011</v>
      </c>
      <c r="AS65" s="5">
        <v>8.8536000000000001</v>
      </c>
      <c r="AT65" s="5">
        <v>10.5786</v>
      </c>
      <c r="AU65" s="5">
        <v>9.1200000000000003E-2</v>
      </c>
      <c r="AV65" s="5">
        <v>21.383400000000002</v>
      </c>
      <c r="AW65" s="5">
        <v>0.37920000000000004</v>
      </c>
      <c r="AX65" s="5">
        <v>0.13840000000000002</v>
      </c>
      <c r="AY65" s="5">
        <v>3.8199999999999998E-2</v>
      </c>
      <c r="AZ65" s="82">
        <v>101.69880000000001</v>
      </c>
      <c r="BA65" s="10">
        <v>0.13758635301354785</v>
      </c>
      <c r="BB65" s="51">
        <v>1155.2185007422072</v>
      </c>
      <c r="BC65" s="16">
        <v>-1.5421915444030936</v>
      </c>
      <c r="BD65" s="16">
        <v>-1.1819683580193709</v>
      </c>
    </row>
    <row r="66" spans="1:62" s="4" customFormat="1" x14ac:dyDescent="0.2">
      <c r="A66" s="4" t="s">
        <v>44</v>
      </c>
      <c r="B66" s="5">
        <v>0.59364972837524499</v>
      </c>
      <c r="C66" s="5">
        <v>7.8421935706790916E-2</v>
      </c>
      <c r="D66" s="5">
        <v>0.42528813761966139</v>
      </c>
      <c r="E66" s="5">
        <v>1.517866924338223E-2</v>
      </c>
      <c r="F66" s="5">
        <v>9.0939540355117698E-2</v>
      </c>
      <c r="G66" s="5">
        <v>3.871888428144591E-2</v>
      </c>
      <c r="H66" s="5">
        <v>9.294353124343839E-3</v>
      </c>
      <c r="I66" s="5">
        <v>7.9336624581589181E-3</v>
      </c>
      <c r="J66" s="82">
        <v>0.49102176937484349</v>
      </c>
      <c r="K66" s="10"/>
      <c r="L66" s="51"/>
      <c r="M66" s="16"/>
      <c r="N66" s="16"/>
      <c r="P66" s="5">
        <v>0.61278054799414206</v>
      </c>
      <c r="Q66" s="5">
        <v>8.2280009722896924E-2</v>
      </c>
      <c r="R66" s="5">
        <v>0.41704915777399693</v>
      </c>
      <c r="S66" s="5">
        <v>1.5210785647033461E-2</v>
      </c>
      <c r="T66" s="5">
        <v>9.5026312145636602E-2</v>
      </c>
      <c r="U66" s="5">
        <v>3.8761359625276298E-2</v>
      </c>
      <c r="V66" s="5">
        <v>9.3186372394250816E-3</v>
      </c>
      <c r="W66" s="5">
        <v>7.9151752981219854E-3</v>
      </c>
      <c r="X66" s="82">
        <v>0.50362451588459867</v>
      </c>
      <c r="Y66" s="10"/>
      <c r="Z66" s="51"/>
      <c r="AA66" s="16"/>
      <c r="AB66" s="16"/>
      <c r="AD66" s="5">
        <v>0.59319474036778097</v>
      </c>
      <c r="AE66" s="5">
        <v>8.173126696681042E-2</v>
      </c>
      <c r="AF66" s="5">
        <v>0.41948778289718963</v>
      </c>
      <c r="AG66" s="5">
        <v>1.506426234503372E-2</v>
      </c>
      <c r="AH66" s="5">
        <v>9.8590060350930264E-2</v>
      </c>
      <c r="AI66" s="5">
        <v>3.8002328876004424E-2</v>
      </c>
      <c r="AJ66" s="5">
        <v>9.2142823920259766E-3</v>
      </c>
      <c r="AK66" s="5">
        <v>7.7948701079620158E-3</v>
      </c>
      <c r="AL66" s="82">
        <v>0.49506616022507449</v>
      </c>
      <c r="AM66" s="10"/>
      <c r="AN66" s="51"/>
      <c r="AO66" s="16"/>
      <c r="AP66" s="16"/>
      <c r="AR66" s="5">
        <v>0.61881717817138771</v>
      </c>
      <c r="AS66" s="5">
        <v>8.219975669063731E-2</v>
      </c>
      <c r="AT66" s="5">
        <v>0.41196759581306891</v>
      </c>
      <c r="AU66" s="5">
        <v>1.488959368149447E-2</v>
      </c>
      <c r="AV66" s="5">
        <v>9.8639748580376801E-2</v>
      </c>
      <c r="AW66" s="5">
        <v>3.725184559186296E-2</v>
      </c>
      <c r="AX66" s="5">
        <v>8.7920418561333001E-3</v>
      </c>
      <c r="AY66" s="5">
        <v>7.9498427657407039E-3</v>
      </c>
      <c r="AZ66" s="82">
        <v>0.53952682973138621</v>
      </c>
      <c r="BA66" s="10"/>
      <c r="BB66" s="51"/>
      <c r="BC66" s="16"/>
      <c r="BD66" s="16"/>
    </row>
    <row r="67" spans="1:62" s="4" customFormat="1" x14ac:dyDescent="0.2">
      <c r="A67" s="4" t="s">
        <v>64</v>
      </c>
      <c r="B67" s="5">
        <v>59.088000000000001</v>
      </c>
      <c r="C67" s="5">
        <v>8.7140000000000022</v>
      </c>
      <c r="D67" s="5">
        <v>11.176</v>
      </c>
      <c r="E67" s="5">
        <v>9.5439999999999997E-2</v>
      </c>
      <c r="F67" s="5">
        <v>20.842000000000002</v>
      </c>
      <c r="G67" s="5">
        <v>0.40312000000000003</v>
      </c>
      <c r="H67" s="5">
        <v>0.14008000000000001</v>
      </c>
      <c r="I67" s="5">
        <v>4.0219999999999999E-2</v>
      </c>
      <c r="J67" s="82">
        <v>100.4988</v>
      </c>
      <c r="K67" s="10">
        <v>0.16165733786986755</v>
      </c>
      <c r="L67" s="51">
        <v>1102.7083825421582</v>
      </c>
      <c r="M67" s="16">
        <v>-1.0787147918591344</v>
      </c>
      <c r="N67" s="16">
        <v>-0.72318180453179348</v>
      </c>
      <c r="P67" s="5">
        <v>60.959999999999994</v>
      </c>
      <c r="Q67" s="5">
        <v>8.7739999999999991</v>
      </c>
      <c r="R67" s="5">
        <v>11.013999999999999</v>
      </c>
      <c r="S67" s="5">
        <v>9.554E-2</v>
      </c>
      <c r="T67" s="5">
        <v>21.513999999999999</v>
      </c>
      <c r="U67" s="5">
        <v>0.40332000000000001</v>
      </c>
      <c r="V67" s="5">
        <v>0.14027999999999999</v>
      </c>
      <c r="W67" s="5">
        <v>4.0280000000000003E-2</v>
      </c>
      <c r="X67" s="82">
        <v>102.94134</v>
      </c>
      <c r="Y67" s="10">
        <v>0.14516450683708457</v>
      </c>
      <c r="Z67" s="51">
        <v>1124.4260946626828</v>
      </c>
      <c r="AA67" s="16">
        <v>-1.3569559460963529</v>
      </c>
      <c r="AB67" s="16">
        <v>-0.99506736905685678</v>
      </c>
      <c r="AD67" s="5">
        <v>60.157999999999994</v>
      </c>
      <c r="AE67" s="5">
        <v>8.7080000000000002</v>
      </c>
      <c r="AF67" s="5">
        <v>10.969999999999999</v>
      </c>
      <c r="AG67" s="5">
        <v>9.4619999999999996E-2</v>
      </c>
      <c r="AH67" s="5">
        <v>21.195999999999998</v>
      </c>
      <c r="AI67" s="5">
        <v>0.39533999999999991</v>
      </c>
      <c r="AJ67" s="5">
        <v>0.13813999999999999</v>
      </c>
      <c r="AK67" s="5">
        <v>3.9760000000000004E-2</v>
      </c>
      <c r="AL67" s="82">
        <v>101.69977999999999</v>
      </c>
      <c r="AM67" s="10">
        <v>0.14464948369851016</v>
      </c>
      <c r="AN67" s="51">
        <v>1112.0331838746897</v>
      </c>
      <c r="AO67" s="16">
        <v>-1.3325334061566838</v>
      </c>
      <c r="AP67" s="16">
        <v>-0.96888728521558232</v>
      </c>
      <c r="AR67" s="5">
        <v>60.421000000000006</v>
      </c>
      <c r="AS67" s="5">
        <v>8.6202000000000005</v>
      </c>
      <c r="AT67" s="5">
        <v>10.793600000000001</v>
      </c>
      <c r="AU67" s="5">
        <v>9.3199999999999991E-2</v>
      </c>
      <c r="AV67" s="5">
        <v>21.3566</v>
      </c>
      <c r="AW67" s="5">
        <v>0.38819999999999999</v>
      </c>
      <c r="AX67" s="5">
        <v>0.1358</v>
      </c>
      <c r="AY67" s="5">
        <v>0.04</v>
      </c>
      <c r="AZ67" s="82">
        <v>101.84859999999999</v>
      </c>
      <c r="BA67" s="10">
        <v>0.1446289348407529</v>
      </c>
      <c r="BB67" s="51">
        <v>1137.1892844515442</v>
      </c>
      <c r="BC67" s="16">
        <v>-1.3963041581440503</v>
      </c>
      <c r="BD67" s="16">
        <v>-1.0347095210367208</v>
      </c>
    </row>
    <row r="68" spans="1:62" s="4" customFormat="1" x14ac:dyDescent="0.2">
      <c r="A68" s="4" t="s">
        <v>44</v>
      </c>
      <c r="B68" s="5">
        <v>0.27553584158871269</v>
      </c>
      <c r="C68" s="5">
        <v>5.1768716422179471E-2</v>
      </c>
      <c r="D68" s="5">
        <v>5.0299105359837538E-2</v>
      </c>
      <c r="E68" s="5">
        <v>6.6568010335295415E-3</v>
      </c>
      <c r="F68" s="5">
        <v>0.14342245291445804</v>
      </c>
      <c r="G68" s="5">
        <v>1.2273019188447467E-2</v>
      </c>
      <c r="H68" s="5">
        <v>1.6843396332094065E-3</v>
      </c>
      <c r="I68" s="5">
        <v>6.8885412098644181E-3</v>
      </c>
      <c r="J68" s="82">
        <v>0.21165291162655758</v>
      </c>
      <c r="K68" s="10"/>
      <c r="L68" s="51"/>
      <c r="M68" s="16"/>
      <c r="N68" s="16"/>
      <c r="P68" s="5">
        <v>0.28346075566116713</v>
      </c>
      <c r="Q68" s="5">
        <v>5.176871642217877E-2</v>
      </c>
      <c r="R68" s="5">
        <v>5.0299105359837559E-2</v>
      </c>
      <c r="S68" s="5">
        <v>6.6568010335295458E-3</v>
      </c>
      <c r="T68" s="5">
        <v>0.15043270920913449</v>
      </c>
      <c r="U68" s="5">
        <v>1.2273019188447495E-2</v>
      </c>
      <c r="V68" s="5">
        <v>1.684339633209405E-3</v>
      </c>
      <c r="W68" s="5">
        <v>6.8612681043667117E-3</v>
      </c>
      <c r="X68" s="82">
        <v>0.219173693676954</v>
      </c>
      <c r="Y68" s="10"/>
      <c r="Z68" s="51"/>
      <c r="AA68" s="16"/>
      <c r="AB68" s="16"/>
      <c r="AD68" s="5">
        <v>0.2802142037798957</v>
      </c>
      <c r="AE68" s="5">
        <v>5.3572380943915879E-2</v>
      </c>
      <c r="AF68" s="5">
        <v>5.4772255750516252E-2</v>
      </c>
      <c r="AG68" s="5">
        <v>6.5796656450005124E-3</v>
      </c>
      <c r="AH68" s="5">
        <v>0.14638989036132224</v>
      </c>
      <c r="AI68" s="5">
        <v>1.2058109304530289E-2</v>
      </c>
      <c r="AJ68" s="5">
        <v>1.6667333320000552E-3</v>
      </c>
      <c r="AK68" s="5">
        <v>6.7832882881387032E-3</v>
      </c>
      <c r="AL68" s="82">
        <v>0.22088747587855601</v>
      </c>
      <c r="AM68" s="10"/>
      <c r="AN68" s="51"/>
      <c r="AO68" s="16"/>
      <c r="AP68" s="16"/>
      <c r="AR68" s="5">
        <v>0.29316633503866135</v>
      </c>
      <c r="AS68" s="5">
        <v>5.232303508016313E-2</v>
      </c>
      <c r="AT68" s="5">
        <v>5.1524751333703704E-2</v>
      </c>
      <c r="AU68" s="5">
        <v>6.7230945255886453E-3</v>
      </c>
      <c r="AV68" s="5">
        <v>0.14853551763803768</v>
      </c>
      <c r="AW68" s="5">
        <v>1.1987493482792816E-2</v>
      </c>
      <c r="AX68" s="5">
        <v>1.9235384061671362E-3</v>
      </c>
      <c r="AY68" s="5">
        <v>6.9641941385920241E-3</v>
      </c>
      <c r="AZ68" s="82">
        <v>0.23736848990546305</v>
      </c>
      <c r="BA68" s="10"/>
      <c r="BB68" s="51"/>
      <c r="BC68" s="16"/>
      <c r="BD68" s="16"/>
    </row>
    <row r="69" spans="1:62" s="4" customFormat="1" x14ac:dyDescent="0.2">
      <c r="A69" s="4" t="s">
        <v>65</v>
      </c>
      <c r="B69" s="5">
        <v>59.077500000000001</v>
      </c>
      <c r="C69" s="5">
        <v>8.8224999999999998</v>
      </c>
      <c r="D69" s="5">
        <v>11.09</v>
      </c>
      <c r="E69" s="5">
        <v>0.11080000000000001</v>
      </c>
      <c r="F69" s="5">
        <v>20.740000000000002</v>
      </c>
      <c r="G69" s="5">
        <v>0.40562499999999996</v>
      </c>
      <c r="H69" s="5">
        <v>0.13885</v>
      </c>
      <c r="I69" s="5">
        <v>3.44E-2</v>
      </c>
      <c r="J69" s="82">
        <v>100.41965</v>
      </c>
      <c r="K69" s="10">
        <v>0.14622254865820808</v>
      </c>
      <c r="L69" s="51">
        <v>1083.2579318102667</v>
      </c>
      <c r="M69" s="16">
        <v>-1.2362606636738542</v>
      </c>
      <c r="N69" s="16">
        <v>-0.87273201893476227</v>
      </c>
      <c r="P69" s="5">
        <v>61.262499999999996</v>
      </c>
      <c r="Q69" s="5">
        <v>8.8849999999999998</v>
      </c>
      <c r="R69" s="5">
        <v>10.93</v>
      </c>
      <c r="S69" s="5">
        <v>0.107125</v>
      </c>
      <c r="T69" s="5">
        <v>21.402500000000003</v>
      </c>
      <c r="U69" s="5">
        <v>0.40907500000000002</v>
      </c>
      <c r="V69" s="5">
        <v>0.13764999999999999</v>
      </c>
      <c r="W69" s="5">
        <v>3.7400000000000003E-2</v>
      </c>
      <c r="X69" s="82">
        <v>103.17117500000001</v>
      </c>
      <c r="Y69" s="10">
        <v>0.11459451854342415</v>
      </c>
      <c r="Z69" s="51">
        <v>1080.5621902306198</v>
      </c>
      <c r="AA69" s="16">
        <v>-1.7183009345743632</v>
      </c>
      <c r="AB69" s="16">
        <v>-1.3388664171208955</v>
      </c>
      <c r="AD69" s="5">
        <v>60.45750000000001</v>
      </c>
      <c r="AE69" s="5">
        <v>8.82</v>
      </c>
      <c r="AF69" s="5">
        <v>10.889999999999999</v>
      </c>
      <c r="AG69" s="5">
        <v>0.106125</v>
      </c>
      <c r="AH69" s="5">
        <v>21.085000000000001</v>
      </c>
      <c r="AI69" s="5">
        <v>0.40097500000000003</v>
      </c>
      <c r="AJ69" s="5">
        <v>0.135575</v>
      </c>
      <c r="AK69" s="5">
        <v>3.6924999999999999E-2</v>
      </c>
      <c r="AL69" s="82">
        <v>101.932075</v>
      </c>
      <c r="AM69" s="10">
        <v>0.11428423824603248</v>
      </c>
      <c r="AN69" s="51">
        <v>1068.8866594341248</v>
      </c>
      <c r="AO69" s="16">
        <v>-1.6918457540199519</v>
      </c>
      <c r="AP69" s="16">
        <v>-1.3108644762595834</v>
      </c>
      <c r="AR69" s="5">
        <v>60.738500000000002</v>
      </c>
      <c r="AS69" s="5">
        <v>8.7319999999999993</v>
      </c>
      <c r="AT69" s="5">
        <v>10.71275</v>
      </c>
      <c r="AU69" s="5">
        <v>0.10425000000000001</v>
      </c>
      <c r="AV69" s="5">
        <v>21.248249999999999</v>
      </c>
      <c r="AW69" s="5">
        <v>0.39374999999999999</v>
      </c>
      <c r="AX69" s="5">
        <v>0.13325000000000001</v>
      </c>
      <c r="AY69" s="5">
        <v>3.7499999999999999E-2</v>
      </c>
      <c r="AZ69" s="82">
        <v>102.10025</v>
      </c>
      <c r="BA69" s="10">
        <v>0.11314495076701511</v>
      </c>
      <c r="BB69" s="51">
        <v>1091.115602493313</v>
      </c>
      <c r="BC69" s="16">
        <v>-1.771336393552962</v>
      </c>
      <c r="BD69" s="16">
        <v>-1.391503048049735</v>
      </c>
      <c r="BE69" s="5"/>
    </row>
    <row r="70" spans="1:62" s="4" customFormat="1" x14ac:dyDescent="0.2">
      <c r="A70" s="4" t="s">
        <v>44</v>
      </c>
      <c r="B70" s="5">
        <v>0.26081602711490059</v>
      </c>
      <c r="C70" s="5">
        <v>2.7537852736430623E-2</v>
      </c>
      <c r="D70" s="5">
        <v>6.1644140029689799E-2</v>
      </c>
      <c r="E70" s="5">
        <v>6.9861768276122723E-3</v>
      </c>
      <c r="F70" s="5">
        <v>9.8319208025016369E-2</v>
      </c>
      <c r="G70" s="5">
        <v>6.0406263472148778E-3</v>
      </c>
      <c r="H70" s="5">
        <v>4.9695740930855133E-3</v>
      </c>
      <c r="I70" s="5">
        <v>3.0166206257996693E-3</v>
      </c>
      <c r="J70" s="82">
        <v>0.31239468091929146</v>
      </c>
      <c r="K70" s="10"/>
      <c r="L70" s="51"/>
      <c r="M70" s="16"/>
      <c r="N70" s="16"/>
      <c r="P70" s="5">
        <v>0.43091955939208282</v>
      </c>
      <c r="Q70" s="5">
        <v>2.3804761428476654E-2</v>
      </c>
      <c r="R70" s="5">
        <v>6.164414002968932E-2</v>
      </c>
      <c r="S70" s="5">
        <v>7.3803229378304738E-3</v>
      </c>
      <c r="T70" s="5">
        <v>0.1126572974408088</v>
      </c>
      <c r="U70" s="5">
        <v>2.3921747427811473E-3</v>
      </c>
      <c r="V70" s="5">
        <v>2.338803112705293E-3</v>
      </c>
      <c r="W70" s="5">
        <v>6.4971788749681979E-3</v>
      </c>
      <c r="X70" s="82">
        <v>0.37986124988825187</v>
      </c>
      <c r="Y70" s="10"/>
      <c r="Z70" s="51"/>
      <c r="AA70" s="16"/>
      <c r="AB70" s="16"/>
      <c r="AD70" s="5">
        <v>0.42625305473001313</v>
      </c>
      <c r="AE70" s="5">
        <v>1.8257418583505148E-2</v>
      </c>
      <c r="AF70" s="5">
        <v>6.1644140029690181E-2</v>
      </c>
      <c r="AG70" s="5">
        <v>7.3131730459493399E-3</v>
      </c>
      <c r="AH70" s="5">
        <v>0.10785793124908968</v>
      </c>
      <c r="AI70" s="5">
        <v>2.3386249521175151E-3</v>
      </c>
      <c r="AJ70" s="5">
        <v>2.3012677665437639E-3</v>
      </c>
      <c r="AK70" s="5">
        <v>6.4017575711674832E-3</v>
      </c>
      <c r="AL70" s="82">
        <v>0.38427664839279763</v>
      </c>
      <c r="AM70" s="10"/>
      <c r="AN70" s="51"/>
      <c r="AO70" s="16"/>
      <c r="AP70" s="16"/>
      <c r="AR70" s="5">
        <v>0.45750737698970695</v>
      </c>
      <c r="AS70" s="5">
        <v>1.9043809142781077E-2</v>
      </c>
      <c r="AT70" s="5">
        <v>6.1754217129952979E-2</v>
      </c>
      <c r="AU70" s="5">
        <v>7.0887234393789116E-3</v>
      </c>
      <c r="AV70" s="5">
        <v>0.10834628127751657</v>
      </c>
      <c r="AW70" s="5">
        <v>2.2173557826083473E-3</v>
      </c>
      <c r="AX70" s="5">
        <v>2.0615528128088323E-3</v>
      </c>
      <c r="AY70" s="5">
        <v>6.4549722436790082E-3</v>
      </c>
      <c r="AZ70" s="82">
        <v>0.41368214448616197</v>
      </c>
      <c r="BA70" s="10"/>
      <c r="BB70" s="51"/>
      <c r="BC70" s="16"/>
      <c r="BD70" s="16"/>
      <c r="BE70" s="5"/>
    </row>
    <row r="71" spans="1:62" s="4" customFormat="1" ht="6.75" customHeight="1" x14ac:dyDescent="0.2">
      <c r="J71" s="82"/>
      <c r="K71" s="10"/>
      <c r="M71" s="16"/>
      <c r="N71" s="16"/>
      <c r="X71" s="82"/>
      <c r="Y71" s="10"/>
      <c r="Z71" s="49"/>
      <c r="AA71" s="16"/>
      <c r="AB71" s="16"/>
      <c r="AL71" s="82"/>
      <c r="AM71" s="10"/>
      <c r="AO71" s="16"/>
      <c r="AP71" s="16"/>
      <c r="AZ71" s="82"/>
      <c r="BA71" s="10"/>
      <c r="BC71" s="16"/>
      <c r="BD71" s="16"/>
    </row>
    <row r="72" spans="1:62" s="4" customFormat="1" x14ac:dyDescent="0.2">
      <c r="A72" s="4" t="s">
        <v>6</v>
      </c>
      <c r="B72" s="5">
        <v>58.922375000000002</v>
      </c>
      <c r="C72" s="5">
        <v>8.7966250000000006</v>
      </c>
      <c r="D72" s="5">
        <v>11.031500000000001</v>
      </c>
      <c r="E72" s="5">
        <v>9.862499999999999E-2</v>
      </c>
      <c r="F72" s="5">
        <v>20.784500000000001</v>
      </c>
      <c r="G72" s="5">
        <v>0.40144125000000003</v>
      </c>
      <c r="H72" s="5">
        <v>0.14054250000000001</v>
      </c>
      <c r="I72" s="5">
        <v>3.7464999999999998E-2</v>
      </c>
      <c r="J72" s="82">
        <v>100.2130525</v>
      </c>
      <c r="K72" s="10">
        <v>0.15398584585491501</v>
      </c>
      <c r="L72" s="51">
        <v>1103.5421172006768</v>
      </c>
      <c r="M72" s="16">
        <v>-1.1822429433085371</v>
      </c>
      <c r="N72" s="16">
        <v>-0.82427718955779383</v>
      </c>
      <c r="P72" s="5">
        <v>60.869624999999999</v>
      </c>
      <c r="Q72" s="5">
        <v>8.8567499999999999</v>
      </c>
      <c r="R72" s="5">
        <v>10.8735</v>
      </c>
      <c r="S72" s="5">
        <v>9.7776249999999981E-2</v>
      </c>
      <c r="T72" s="5">
        <v>21.453624999999999</v>
      </c>
      <c r="U72" s="5">
        <v>0.40244875000000002</v>
      </c>
      <c r="V72" s="5">
        <v>0.1403875</v>
      </c>
      <c r="W72" s="5">
        <v>3.8254999999999997E-2</v>
      </c>
      <c r="X72" s="82">
        <v>102.73229875000001</v>
      </c>
      <c r="Y72" s="10">
        <v>0.13370628813478169</v>
      </c>
      <c r="Z72" s="49">
        <v>1118.9692822596321</v>
      </c>
      <c r="AA72" s="16">
        <v>-1.5105209321915871</v>
      </c>
      <c r="AB72" s="16">
        <v>-1.143974541317335</v>
      </c>
      <c r="AD72" s="5">
        <v>60.066374999999994</v>
      </c>
      <c r="AE72" s="5">
        <v>8.7909999999999986</v>
      </c>
      <c r="AF72" s="5">
        <v>10.830500000000001</v>
      </c>
      <c r="AG72" s="5">
        <v>9.685125E-2</v>
      </c>
      <c r="AH72" s="5">
        <v>21.135249999999999</v>
      </c>
      <c r="AI72" s="5">
        <v>0.39448874999999994</v>
      </c>
      <c r="AJ72" s="5">
        <v>0.13826875</v>
      </c>
      <c r="AK72" s="5">
        <v>3.7756250000000005E-2</v>
      </c>
      <c r="AL72" s="82">
        <v>101.49043374999999</v>
      </c>
      <c r="AM72" s="10">
        <v>0.13318847706049186</v>
      </c>
      <c r="AN72" s="49">
        <v>1106.6060306552135</v>
      </c>
      <c r="AO72" s="16">
        <v>-1.486433561286971</v>
      </c>
      <c r="AP72" s="16">
        <v>-1.1181102596865173</v>
      </c>
      <c r="AR72" s="5">
        <v>60.311475000000009</v>
      </c>
      <c r="AS72" s="5">
        <v>8.7023499999999991</v>
      </c>
      <c r="AT72" s="5">
        <v>10.6551875</v>
      </c>
      <c r="AU72" s="5">
        <v>9.5112500000000003E-2</v>
      </c>
      <c r="AV72" s="5">
        <v>21.295112500000002</v>
      </c>
      <c r="AW72" s="5">
        <v>0.38743749999999999</v>
      </c>
      <c r="AX72" s="5">
        <v>0.13601250000000001</v>
      </c>
      <c r="AY72" s="5">
        <v>3.8025000000000003E-2</v>
      </c>
      <c r="AZ72" s="82">
        <v>101.6207125</v>
      </c>
      <c r="BA72" s="10">
        <v>0.1337358208713689</v>
      </c>
      <c r="BB72" s="49">
        <v>1132.6032770364909</v>
      </c>
      <c r="BC72" s="16">
        <v>-1.5443216052364195</v>
      </c>
      <c r="BD72" s="16">
        <v>-1.1784886509996166</v>
      </c>
      <c r="BE72" s="5"/>
      <c r="BF72" s="28">
        <f>AVERAGE(K72, Y72, AM72, BA72)</f>
        <v>0.13865410798038938</v>
      </c>
      <c r="BG72" s="29">
        <f>AVERAGE(M72, AA72, AO72, BC72)</f>
        <v>-1.4308797605058787</v>
      </c>
      <c r="BH72" s="29">
        <f>AVERAGE(N72, AB72, AP72, BD72)</f>
        <v>-1.0662126603903157</v>
      </c>
      <c r="BJ72" s="32">
        <f>BF72-BF61</f>
        <v>1.1872171144581112E-2</v>
      </c>
    </row>
    <row r="73" spans="1:62" s="4" customFormat="1" x14ac:dyDescent="0.2">
      <c r="A73" s="4" t="s">
        <v>44</v>
      </c>
      <c r="B73" s="5">
        <v>0.2248019035358278</v>
      </c>
      <c r="C73" s="5">
        <v>0.11598374526918208</v>
      </c>
      <c r="D73" s="5">
        <v>0.12365947867699681</v>
      </c>
      <c r="E73" s="5">
        <v>8.1426838327421317E-3</v>
      </c>
      <c r="F73" s="5">
        <v>8.4795833230963402E-2</v>
      </c>
      <c r="G73" s="5">
        <v>5.2966725010456456E-3</v>
      </c>
      <c r="H73" s="5">
        <v>1.5621859684429387E-3</v>
      </c>
      <c r="I73" s="5">
        <v>2.479482472882866E-3</v>
      </c>
      <c r="J73" s="82">
        <v>0.42787730526207929</v>
      </c>
      <c r="K73" s="16">
        <f>STDEVA(K63, K65, K67, K69)</f>
        <v>6.3013507658254333E-3</v>
      </c>
      <c r="L73" s="54">
        <f>STDEVA(L63, L65, L67, L69)</f>
        <v>15.129192524004363</v>
      </c>
      <c r="M73" s="16">
        <f t="shared" ref="M73:N73" si="24">STDEVA(M63, M65, M67, M69)</f>
        <v>7.1611915722425173E-2</v>
      </c>
      <c r="N73" s="16">
        <f t="shared" si="24"/>
        <v>6.9645941040134621E-2</v>
      </c>
      <c r="P73" s="5">
        <v>0.33255159374147697</v>
      </c>
      <c r="Q73" s="5">
        <v>0.11817888982386014</v>
      </c>
      <c r="R73" s="5">
        <v>0.12002638598797011</v>
      </c>
      <c r="S73" s="5">
        <v>6.267082488420484E-3</v>
      </c>
      <c r="T73" s="5">
        <v>9.0095666747443348E-2</v>
      </c>
      <c r="U73" s="5">
        <v>6.3146316532848414E-3</v>
      </c>
      <c r="V73" s="5">
        <v>2.1161501994581247E-3</v>
      </c>
      <c r="W73" s="5">
        <v>1.5159045704353133E-3</v>
      </c>
      <c r="X73" s="82">
        <v>0.50681224242605105</v>
      </c>
      <c r="Y73" s="16">
        <f>STDEVA(Y63, Y65, Y67, Y69)</f>
        <v>1.3241967403245238E-2</v>
      </c>
      <c r="Z73" s="54">
        <f>STDEVA(Z63, Z65, Z67, Z69)</f>
        <v>26.887837698367921</v>
      </c>
      <c r="AA73" s="16">
        <f t="shared" ref="AA73:AB73" si="25">STDEVA(AA63, AA65, AA67, AA69)</f>
        <v>0.14955502727835607</v>
      </c>
      <c r="AB73" s="16">
        <f t="shared" si="25"/>
        <v>0.14184262212803367</v>
      </c>
      <c r="AD73" s="5">
        <v>0.33153164127526102</v>
      </c>
      <c r="AE73" s="5">
        <v>0.11681894823472207</v>
      </c>
      <c r="AF73" s="5">
        <v>0.12066896867049019</v>
      </c>
      <c r="AG73" s="5">
        <v>6.2156876463241514E-3</v>
      </c>
      <c r="AH73" s="5">
        <v>8.7937003966854679E-2</v>
      </c>
      <c r="AI73" s="5">
        <v>6.1819823883605407E-3</v>
      </c>
      <c r="AJ73" s="5">
        <v>2.0896027333762177E-3</v>
      </c>
      <c r="AK73" s="5">
        <v>1.5023502421206605E-3</v>
      </c>
      <c r="AL73" s="82">
        <v>0.50520538182299357</v>
      </c>
      <c r="AM73" s="16">
        <f>STDEVA(AM63, AM65, AM67, AM69)</f>
        <v>1.3122727291247993E-2</v>
      </c>
      <c r="AN73" s="54">
        <f>STDEVA(AN63, AN65, AN67, AN69)</f>
        <v>26.341414954137694</v>
      </c>
      <c r="AO73" s="16">
        <f t="shared" ref="AO73:AP73" si="26">STDEVA(AO63, AO65, AO67, AO69)</f>
        <v>0.14861525260063324</v>
      </c>
      <c r="AP73" s="16">
        <f t="shared" si="26"/>
        <v>0.14104928911314749</v>
      </c>
      <c r="AR73" s="5">
        <v>0.3709389111879956</v>
      </c>
      <c r="AS73" s="5">
        <v>0.1158387816464473</v>
      </c>
      <c r="AT73" s="5">
        <v>0.11915043974600679</v>
      </c>
      <c r="AU73" s="5">
        <v>6.1490344770541074E-3</v>
      </c>
      <c r="AV73" s="5">
        <v>9.01156143980235E-2</v>
      </c>
      <c r="AW73" s="5">
        <v>6.0452977594159692E-3</v>
      </c>
      <c r="AX73" s="5">
        <v>2.1386814473720382E-3</v>
      </c>
      <c r="AY73" s="5">
        <v>1.5107944929738126E-3</v>
      </c>
      <c r="AZ73" s="82">
        <v>0.54924690012022237</v>
      </c>
      <c r="BA73" s="16">
        <f>STDEVA(BA63, BA65, BA67, BA69)</f>
        <v>1.4052375500612033E-2</v>
      </c>
      <c r="BB73" s="54">
        <f>STDEVA(BB63, BB65, BB67, BB69)</f>
        <v>29.069821413244469</v>
      </c>
      <c r="BC73" s="16">
        <f t="shared" ref="BC73:BD73" si="27">STDEVA(BC63, BC65, BC67, BC69)</f>
        <v>0.1584483583556138</v>
      </c>
      <c r="BD73" s="16">
        <f t="shared" si="27"/>
        <v>0.15002178739595898</v>
      </c>
      <c r="BE73" s="5"/>
      <c r="BF73" s="28">
        <f>STDEVA(K72, Y72, AM72, BA72)</f>
        <v>1.0224248577394329E-2</v>
      </c>
      <c r="BG73" s="29">
        <f>STDEVA(M72, AA72, AO72, BC72)</f>
        <v>0.16744975366816678</v>
      </c>
      <c r="BH73" s="29">
        <f>STDEVA(N72, AB72, AP72, BD72)</f>
        <v>0.16317571413690893</v>
      </c>
    </row>
    <row r="74" spans="1:62" s="4" customFormat="1" x14ac:dyDescent="0.2">
      <c r="C74" s="5"/>
      <c r="D74" s="5"/>
      <c r="E74" s="5"/>
      <c r="F74" s="5"/>
      <c r="G74" s="5"/>
      <c r="H74" s="5"/>
      <c r="I74" s="5"/>
      <c r="J74" s="82"/>
      <c r="K74" s="10"/>
      <c r="L74" s="51"/>
      <c r="M74" s="16"/>
      <c r="N74" s="16"/>
      <c r="Q74" s="5"/>
      <c r="R74" s="5"/>
      <c r="S74" s="5"/>
      <c r="T74" s="5"/>
      <c r="U74" s="5"/>
      <c r="V74" s="5"/>
      <c r="W74" s="5"/>
      <c r="X74" s="82"/>
      <c r="Y74" s="10"/>
      <c r="Z74" s="51"/>
      <c r="AA74" s="16"/>
      <c r="AB74" s="16"/>
      <c r="AE74" s="5"/>
      <c r="AF74" s="5"/>
      <c r="AG74" s="5"/>
      <c r="AH74" s="5"/>
      <c r="AI74" s="5"/>
      <c r="AJ74" s="5"/>
      <c r="AK74" s="5"/>
      <c r="AL74" s="82"/>
      <c r="AM74" s="10"/>
      <c r="AN74" s="51"/>
      <c r="AO74" s="16"/>
      <c r="AP74" s="16"/>
      <c r="AS74" s="5"/>
      <c r="AT74" s="5"/>
      <c r="AU74" s="5"/>
      <c r="AV74" s="5"/>
      <c r="AW74" s="5"/>
      <c r="AX74" s="5"/>
      <c r="AY74" s="5"/>
      <c r="AZ74" s="82"/>
      <c r="BA74" s="10"/>
      <c r="BB74" s="51"/>
      <c r="BC74" s="16"/>
      <c r="BD74" s="16"/>
    </row>
    <row r="75" spans="1:62" s="4" customFormat="1" x14ac:dyDescent="0.2">
      <c r="A75" s="6" t="s">
        <v>100</v>
      </c>
      <c r="C75" s="5"/>
      <c r="D75" s="5"/>
      <c r="E75" s="5"/>
      <c r="F75" s="5"/>
      <c r="G75" s="5"/>
      <c r="H75" s="5"/>
      <c r="I75" s="5"/>
      <c r="J75" s="82"/>
      <c r="K75" s="10"/>
      <c r="L75" s="51"/>
      <c r="M75" s="16"/>
      <c r="N75" s="16"/>
      <c r="Q75" s="5"/>
      <c r="R75" s="5"/>
      <c r="S75" s="5"/>
      <c r="T75" s="5"/>
      <c r="U75" s="5"/>
      <c r="V75" s="5"/>
      <c r="W75" s="5"/>
      <c r="X75" s="82"/>
      <c r="Y75" s="10"/>
      <c r="Z75" s="51"/>
      <c r="AA75" s="16"/>
      <c r="AB75" s="16"/>
      <c r="AE75" s="5"/>
      <c r="AF75" s="5"/>
      <c r="AG75" s="5"/>
      <c r="AH75" s="5"/>
      <c r="AI75" s="5"/>
      <c r="AJ75" s="5"/>
      <c r="AK75" s="5"/>
      <c r="AL75" s="82"/>
      <c r="AM75" s="10"/>
      <c r="AN75" s="51"/>
      <c r="AO75" s="16"/>
      <c r="AP75" s="16"/>
      <c r="AS75" s="5"/>
      <c r="AT75" s="5"/>
      <c r="AU75" s="5"/>
      <c r="AV75" s="5"/>
      <c r="AW75" s="5"/>
      <c r="AX75" s="5"/>
      <c r="AY75" s="5"/>
      <c r="AZ75" s="82"/>
      <c r="BA75" s="10"/>
      <c r="BB75" s="51"/>
      <c r="BC75" s="16"/>
      <c r="BD75" s="16"/>
    </row>
    <row r="76" spans="1:62" s="4" customFormat="1" x14ac:dyDescent="0.2">
      <c r="A76" s="22" t="s">
        <v>196</v>
      </c>
      <c r="B76" s="4">
        <v>53.66</v>
      </c>
      <c r="C76" s="4">
        <v>14.14</v>
      </c>
      <c r="D76" s="4">
        <v>11.52</v>
      </c>
      <c r="E76" s="4">
        <v>0.11</v>
      </c>
      <c r="F76" s="4">
        <v>19.29</v>
      </c>
      <c r="G76" s="4">
        <v>0.34</v>
      </c>
      <c r="H76" s="4">
        <v>0.05</v>
      </c>
      <c r="I76" s="4">
        <v>0.06</v>
      </c>
      <c r="J76" s="82"/>
      <c r="K76" s="10">
        <v>9.3530004166419572E-2</v>
      </c>
      <c r="L76" s="51">
        <v>932.15665558400576</v>
      </c>
      <c r="M76" s="16">
        <v>-1.6557566558510848</v>
      </c>
      <c r="N76" s="16">
        <v>-1.1292249497129614</v>
      </c>
      <c r="P76" s="4">
        <v>53.66</v>
      </c>
      <c r="Q76" s="4">
        <v>14.14</v>
      </c>
      <c r="R76" s="4">
        <v>11.52</v>
      </c>
      <c r="S76" s="4">
        <v>0.11</v>
      </c>
      <c r="T76" s="4">
        <v>19.29</v>
      </c>
      <c r="U76" s="4">
        <v>0.34</v>
      </c>
      <c r="V76" s="4">
        <v>0.05</v>
      </c>
      <c r="W76" s="4">
        <v>0.06</v>
      </c>
      <c r="X76" s="82"/>
      <c r="Y76" s="10">
        <v>9.3530004166419572E-2</v>
      </c>
      <c r="Z76" s="51">
        <v>932.15665558400576</v>
      </c>
      <c r="AA76" s="16">
        <v>-1.6557566558510848</v>
      </c>
      <c r="AB76" s="16">
        <v>-1.1292249497129614</v>
      </c>
      <c r="AD76" s="4">
        <v>53.66</v>
      </c>
      <c r="AE76" s="4">
        <v>14.14</v>
      </c>
      <c r="AF76" s="4">
        <v>11.52</v>
      </c>
      <c r="AG76" s="4">
        <v>0.11</v>
      </c>
      <c r="AH76" s="4">
        <v>19.29</v>
      </c>
      <c r="AI76" s="4">
        <v>0.34</v>
      </c>
      <c r="AJ76" s="4">
        <v>0.05</v>
      </c>
      <c r="AK76" s="4">
        <v>0.06</v>
      </c>
      <c r="AL76" s="82"/>
      <c r="AM76" s="10">
        <v>9.3530004166419572E-2</v>
      </c>
      <c r="AN76" s="51">
        <v>932.15665558400576</v>
      </c>
      <c r="AO76" s="16">
        <v>-1.6557566558510848</v>
      </c>
      <c r="AP76" s="16">
        <v>-1.1292249497129614</v>
      </c>
      <c r="AR76" s="4">
        <v>53.66</v>
      </c>
      <c r="AS76" s="4">
        <v>14.14</v>
      </c>
      <c r="AT76" s="4">
        <v>11.52</v>
      </c>
      <c r="AU76" s="4">
        <v>0.11</v>
      </c>
      <c r="AV76" s="4">
        <v>19.29</v>
      </c>
      <c r="AW76" s="4">
        <v>0.34</v>
      </c>
      <c r="AX76" s="4">
        <v>0.05</v>
      </c>
      <c r="AY76" s="4">
        <v>0.06</v>
      </c>
      <c r="AZ76" s="82"/>
      <c r="BA76" s="10">
        <v>9.3530004166419572E-2</v>
      </c>
      <c r="BB76" s="51">
        <v>932.15665558400576</v>
      </c>
      <c r="BC76" s="16">
        <v>-1.6557566558510848</v>
      </c>
      <c r="BD76" s="16">
        <v>-1.1292249497129614</v>
      </c>
      <c r="BF76" s="10">
        <f>BA76</f>
        <v>9.3530004166419572E-2</v>
      </c>
      <c r="BG76" s="16">
        <f t="shared" ref="BG76" si="28">BC76</f>
        <v>-1.6557566558510848</v>
      </c>
      <c r="BH76" s="16">
        <f t="shared" ref="BH76" si="29">BD76</f>
        <v>-1.1292249497129614</v>
      </c>
    </row>
    <row r="77" spans="1:62" s="4" customFormat="1" ht="6.75" customHeight="1" x14ac:dyDescent="0.2">
      <c r="J77" s="82"/>
      <c r="K77" s="10"/>
      <c r="L77" s="51"/>
      <c r="M77" s="16"/>
      <c r="N77" s="16"/>
      <c r="X77" s="82"/>
      <c r="Y77" s="10"/>
      <c r="Z77" s="51"/>
      <c r="AA77" s="16"/>
      <c r="AB77" s="16"/>
      <c r="AL77" s="82"/>
      <c r="AM77" s="10"/>
      <c r="AN77" s="51"/>
      <c r="AO77" s="16"/>
      <c r="AP77" s="16"/>
      <c r="AZ77" s="82"/>
      <c r="BA77" s="10"/>
      <c r="BB77" s="51"/>
      <c r="BC77" s="16"/>
      <c r="BD77" s="16"/>
    </row>
    <row r="78" spans="1:62" s="4" customFormat="1" x14ac:dyDescent="0.2">
      <c r="A78" s="4" t="s">
        <v>54</v>
      </c>
      <c r="B78" s="5">
        <v>53.190000000000012</v>
      </c>
      <c r="C78" s="5">
        <v>13.866</v>
      </c>
      <c r="D78" s="5">
        <v>11.1</v>
      </c>
      <c r="E78" s="5">
        <v>0.10536000000000001</v>
      </c>
      <c r="F78" s="5">
        <v>19.753999999999998</v>
      </c>
      <c r="G78" s="5">
        <v>0.34567999999999993</v>
      </c>
      <c r="H78" s="5">
        <v>5.5099999999999996E-2</v>
      </c>
      <c r="I78" s="5">
        <v>1.5400000000000002E-2</v>
      </c>
      <c r="J78" s="82">
        <v>98.431619999999995</v>
      </c>
      <c r="K78" s="10">
        <v>0.15508978117410205</v>
      </c>
      <c r="L78" s="51">
        <v>1049.4365644384447</v>
      </c>
      <c r="M78" s="16">
        <v>-1.0257360078464106</v>
      </c>
      <c r="N78" s="16">
        <v>-0.52498586854660623</v>
      </c>
      <c r="P78" s="5">
        <v>54.905999999999992</v>
      </c>
      <c r="Q78" s="5">
        <v>13.958000000000002</v>
      </c>
      <c r="R78" s="5">
        <v>10.94</v>
      </c>
      <c r="S78" s="5">
        <v>0.10544000000000001</v>
      </c>
      <c r="T78" s="5">
        <v>20.388000000000002</v>
      </c>
      <c r="U78" s="5">
        <v>0.34586</v>
      </c>
      <c r="V78" s="5">
        <v>5.5200000000000006E-2</v>
      </c>
      <c r="W78" s="5">
        <v>1.542E-2</v>
      </c>
      <c r="X78" s="82">
        <v>100.71386</v>
      </c>
      <c r="Y78" s="10">
        <v>0.14014497857148622</v>
      </c>
      <c r="Z78" s="51">
        <v>1066.8545320610478</v>
      </c>
      <c r="AA78" s="16">
        <v>-1.2847288322169572</v>
      </c>
      <c r="AB78" s="16">
        <v>-0.77587487361430263</v>
      </c>
      <c r="AD78" s="5">
        <v>54.268000000000008</v>
      </c>
      <c r="AE78" s="5">
        <v>13.867999999999999</v>
      </c>
      <c r="AF78" s="5">
        <v>10.901999999999999</v>
      </c>
      <c r="AG78" s="5">
        <v>0.10456000000000001</v>
      </c>
      <c r="AH78" s="5">
        <v>20.125999999999998</v>
      </c>
      <c r="AI78" s="5">
        <v>0.33920000000000006</v>
      </c>
      <c r="AJ78" s="5">
        <v>5.4420000000000003E-2</v>
      </c>
      <c r="AK78" s="5">
        <v>1.5299999999999999E-2</v>
      </c>
      <c r="AL78" s="82">
        <v>99.67756</v>
      </c>
      <c r="AM78" s="10">
        <v>0.139499707424773</v>
      </c>
      <c r="AN78" s="51">
        <v>1058.3999776593691</v>
      </c>
      <c r="AO78" s="16">
        <v>-1.2696491947165576</v>
      </c>
      <c r="AP78" s="16">
        <v>-0.76011493376878381</v>
      </c>
      <c r="AR78" s="5">
        <v>54.317399999999999</v>
      </c>
      <c r="AS78" s="5">
        <v>13.734</v>
      </c>
      <c r="AT78" s="5">
        <v>10.7362</v>
      </c>
      <c r="AU78" s="5">
        <v>0.1024</v>
      </c>
      <c r="AV78" s="5">
        <v>20.238999999999997</v>
      </c>
      <c r="AW78" s="5">
        <v>0.33340000000000003</v>
      </c>
      <c r="AX78" s="5">
        <v>5.3600000000000002E-2</v>
      </c>
      <c r="AY78" s="5">
        <v>1.54E-2</v>
      </c>
      <c r="AZ78" s="82">
        <v>99.531400000000005</v>
      </c>
      <c r="BA78" s="10">
        <v>0.14523256942490059</v>
      </c>
      <c r="BB78" s="51">
        <v>1083.2306197924963</v>
      </c>
      <c r="BC78" s="16">
        <v>-1.2577797490196045</v>
      </c>
      <c r="BD78" s="16">
        <v>-0.75152780813392184</v>
      </c>
    </row>
    <row r="79" spans="1:62" s="4" customFormat="1" x14ac:dyDescent="0.2">
      <c r="A79" s="4" t="s">
        <v>44</v>
      </c>
      <c r="B79" s="5">
        <v>0.33301651610693261</v>
      </c>
      <c r="C79" s="5">
        <v>0.18902380802428001</v>
      </c>
      <c r="D79" s="5">
        <v>4.4158804331639503E-2</v>
      </c>
      <c r="E79" s="5">
        <v>1.0334311781633064E-2</v>
      </c>
      <c r="F79" s="5">
        <v>0.12895735729302071</v>
      </c>
      <c r="G79" s="5">
        <v>3.5710600667028837E-2</v>
      </c>
      <c r="H79" s="5">
        <v>9.516564506165023E-3</v>
      </c>
      <c r="I79" s="5">
        <v>6.620045317065431E-3</v>
      </c>
      <c r="J79" s="82">
        <v>0.26502986058178768</v>
      </c>
      <c r="K79" s="10"/>
      <c r="L79" s="51"/>
      <c r="M79" s="16"/>
      <c r="N79" s="16"/>
      <c r="P79" s="5">
        <v>0.34413660078521247</v>
      </c>
      <c r="Q79" s="5">
        <v>0.19110206696945967</v>
      </c>
      <c r="R79" s="5">
        <v>4.4158804331639705E-2</v>
      </c>
      <c r="S79" s="5">
        <v>1.0357267979539779E-2</v>
      </c>
      <c r="T79" s="5">
        <v>0.13349157276772164</v>
      </c>
      <c r="U79" s="5">
        <v>3.5717544708448248E-2</v>
      </c>
      <c r="V79" s="5">
        <v>9.5165645061650005E-3</v>
      </c>
      <c r="W79" s="5">
        <v>6.6028024353300156E-3</v>
      </c>
      <c r="X79" s="82">
        <v>0.27943605350777229</v>
      </c>
      <c r="Y79" s="10"/>
      <c r="Z79" s="51"/>
      <c r="AA79" s="16"/>
      <c r="AB79" s="16"/>
      <c r="AD79" s="5">
        <v>0.33640749099864009</v>
      </c>
      <c r="AE79" s="5">
        <v>0.19110206696945964</v>
      </c>
      <c r="AF79" s="5">
        <v>4.7116875957559201E-2</v>
      </c>
      <c r="AG79" s="5">
        <v>1.0281925889637604E-2</v>
      </c>
      <c r="AH79" s="5">
        <v>0.12973048986263869</v>
      </c>
      <c r="AI79" s="5">
        <v>3.5038906946421713E-2</v>
      </c>
      <c r="AJ79" s="5">
        <v>9.3913257849997309E-3</v>
      </c>
      <c r="AK79" s="5">
        <v>6.5639165137896137E-3</v>
      </c>
      <c r="AL79" s="82">
        <v>0.26910662013410558</v>
      </c>
      <c r="AM79" s="10"/>
      <c r="AN79" s="51"/>
      <c r="AO79" s="16"/>
      <c r="AP79" s="16"/>
      <c r="AR79" s="5">
        <v>0.35712154793571305</v>
      </c>
      <c r="AS79" s="5">
        <v>0.18792285651298568</v>
      </c>
      <c r="AT79" s="5">
        <v>4.4093083357824144E-2</v>
      </c>
      <c r="AU79" s="5">
        <v>1.0064790112068907E-2</v>
      </c>
      <c r="AV79" s="5">
        <v>0.13170041761513054</v>
      </c>
      <c r="AW79" s="5">
        <v>3.4289940215754225E-2</v>
      </c>
      <c r="AX79" s="5">
        <v>9.4762861923856669E-3</v>
      </c>
      <c r="AY79" s="5">
        <v>6.8044103344815955E-3</v>
      </c>
      <c r="AZ79" s="82">
        <v>0.29646635559536699</v>
      </c>
      <c r="BA79" s="10"/>
      <c r="BB79" s="51"/>
      <c r="BC79" s="16"/>
      <c r="BD79" s="16"/>
    </row>
    <row r="80" spans="1:62" s="4" customFormat="1" x14ac:dyDescent="0.2">
      <c r="A80" s="4" t="s">
        <v>55</v>
      </c>
      <c r="B80" s="5">
        <v>53.068000000000005</v>
      </c>
      <c r="C80" s="5">
        <v>14.341999999999999</v>
      </c>
      <c r="D80" s="5">
        <v>11.138</v>
      </c>
      <c r="E80" s="5">
        <v>0.10754</v>
      </c>
      <c r="F80" s="5">
        <v>19.678000000000001</v>
      </c>
      <c r="G80" s="5">
        <v>0.32788000000000006</v>
      </c>
      <c r="H80" s="5">
        <v>5.5899999999999991E-2</v>
      </c>
      <c r="I80" s="5">
        <v>1.8160000000000003E-2</v>
      </c>
      <c r="J80" s="82">
        <v>98.735579999999999</v>
      </c>
      <c r="K80" s="10">
        <v>0.13903042256166123</v>
      </c>
      <c r="L80" s="51">
        <v>1030.3520943377616</v>
      </c>
      <c r="M80" s="16">
        <v>-1.1910770412075093</v>
      </c>
      <c r="N80" s="16">
        <v>-0.68512033742121758</v>
      </c>
      <c r="P80" s="5">
        <v>54.783999999999992</v>
      </c>
      <c r="Q80" s="5">
        <v>14.436000000000002</v>
      </c>
      <c r="R80" s="5">
        <v>10.978</v>
      </c>
      <c r="S80" s="5">
        <v>0.10764</v>
      </c>
      <c r="T80" s="5">
        <v>20.308</v>
      </c>
      <c r="U80" s="5">
        <v>0.32804</v>
      </c>
      <c r="V80" s="5">
        <v>5.5999999999999994E-2</v>
      </c>
      <c r="W80" s="5">
        <v>1.8220000000000004E-2</v>
      </c>
      <c r="X80" s="82">
        <v>101.01581999999999</v>
      </c>
      <c r="Y80" s="10">
        <v>0.12340713408161179</v>
      </c>
      <c r="Z80" s="51">
        <v>1046.2792443133121</v>
      </c>
      <c r="AA80" s="16">
        <v>-1.4791201670868348</v>
      </c>
      <c r="AB80" s="16">
        <v>-0.96443124197796326</v>
      </c>
      <c r="AD80" s="5">
        <v>54.152000000000001</v>
      </c>
      <c r="AE80" s="5">
        <v>14.346</v>
      </c>
      <c r="AF80" s="5">
        <v>10.942</v>
      </c>
      <c r="AG80" s="5">
        <v>0.10672</v>
      </c>
      <c r="AH80" s="5">
        <v>20.05</v>
      </c>
      <c r="AI80" s="5">
        <v>0.32174000000000003</v>
      </c>
      <c r="AJ80" s="5">
        <v>5.5200000000000006E-2</v>
      </c>
      <c r="AK80" s="5">
        <v>1.8020000000000001E-2</v>
      </c>
      <c r="AL80" s="82">
        <v>99.991640000000004</v>
      </c>
      <c r="AM80" s="10">
        <v>0.12301470749453601</v>
      </c>
      <c r="AN80" s="51">
        <v>1038.5055583470298</v>
      </c>
      <c r="AO80" s="16">
        <v>-1.462209772747618</v>
      </c>
      <c r="AP80" s="16">
        <v>-0.9471048278648917</v>
      </c>
      <c r="AR80" s="5">
        <v>54.219799999999999</v>
      </c>
      <c r="AS80" s="5">
        <v>14.2082</v>
      </c>
      <c r="AT80" s="5">
        <v>10.775600000000001</v>
      </c>
      <c r="AU80" s="5">
        <v>0.1048</v>
      </c>
      <c r="AV80" s="5">
        <v>20.163399999999996</v>
      </c>
      <c r="AW80" s="5">
        <v>0.31640000000000001</v>
      </c>
      <c r="AX80" s="5">
        <v>5.4400000000000004E-2</v>
      </c>
      <c r="AY80" s="5">
        <v>1.8200000000000001E-2</v>
      </c>
      <c r="AZ80" s="82">
        <v>99.860799999999998</v>
      </c>
      <c r="BA80" s="10">
        <v>0.12782414904357745</v>
      </c>
      <c r="BB80" s="51">
        <v>1060.9531647627537</v>
      </c>
      <c r="BC80" s="16">
        <v>-1.4513479046254087</v>
      </c>
      <c r="BD80" s="16">
        <v>-0.93868548349959902</v>
      </c>
    </row>
    <row r="81" spans="1:62" s="4" customFormat="1" x14ac:dyDescent="0.2">
      <c r="A81" s="4" t="s">
        <v>44</v>
      </c>
      <c r="B81" s="5">
        <v>0.39789445836804499</v>
      </c>
      <c r="C81" s="5">
        <v>0.10256705123966423</v>
      </c>
      <c r="D81" s="5">
        <v>0.24590648629102924</v>
      </c>
      <c r="E81" s="5">
        <v>1.1161899479927241E-2</v>
      </c>
      <c r="F81" s="5">
        <v>7.7910204723130386E-2</v>
      </c>
      <c r="G81" s="5">
        <v>2.6615070918560416E-2</v>
      </c>
      <c r="H81" s="5">
        <v>5.5529271560142051E-3</v>
      </c>
      <c r="I81" s="5">
        <v>4.8706262431026217E-3</v>
      </c>
      <c r="J81" s="82">
        <v>0.26144114442833877</v>
      </c>
      <c r="K81" s="10"/>
      <c r="L81" s="51"/>
      <c r="M81" s="16"/>
      <c r="N81" s="16"/>
      <c r="P81" s="5">
        <v>0.40654643031270171</v>
      </c>
      <c r="Q81" s="5">
        <v>0.10261578825892245</v>
      </c>
      <c r="R81" s="5">
        <v>0.24590648629102924</v>
      </c>
      <c r="S81" s="5">
        <v>1.1231340080328797E-2</v>
      </c>
      <c r="T81" s="5">
        <v>8.4083292038312357E-2</v>
      </c>
      <c r="U81" s="5">
        <v>2.665019699739573E-2</v>
      </c>
      <c r="V81" s="5">
        <v>5.5529271560142016E-3</v>
      </c>
      <c r="W81" s="5">
        <v>4.8664155186338093E-3</v>
      </c>
      <c r="X81" s="82">
        <v>0.27216764502784335</v>
      </c>
      <c r="Y81" s="10"/>
      <c r="Z81" s="51"/>
      <c r="AA81" s="16"/>
      <c r="AB81" s="16"/>
      <c r="AD81" s="5">
        <v>0.39776877705521235</v>
      </c>
      <c r="AE81" s="5">
        <v>0.10261578825892245</v>
      </c>
      <c r="AF81" s="5">
        <v>0.24273442277518062</v>
      </c>
      <c r="AG81" s="5">
        <v>1.1092204469806709E-2</v>
      </c>
      <c r="AH81" s="5">
        <v>7.5828754440516358E-2</v>
      </c>
      <c r="AI81" s="5">
        <v>2.6135760941667661E-2</v>
      </c>
      <c r="AJ81" s="5">
        <v>5.487257967327578E-3</v>
      </c>
      <c r="AK81" s="5">
        <v>4.8007291112913252E-3</v>
      </c>
      <c r="AL81" s="82">
        <v>0.25854069892378684</v>
      </c>
      <c r="AM81" s="10"/>
      <c r="AN81" s="51"/>
      <c r="AO81" s="16"/>
      <c r="AP81" s="16"/>
      <c r="AR81" s="5">
        <v>0.41544337760999223</v>
      </c>
      <c r="AS81" s="5">
        <v>0.10357461078855208</v>
      </c>
      <c r="AT81" s="5">
        <v>0.24071622296804188</v>
      </c>
      <c r="AU81" s="5">
        <v>1.1122050170719426E-2</v>
      </c>
      <c r="AV81" s="5">
        <v>8.05872198304423E-2</v>
      </c>
      <c r="AW81" s="5">
        <v>2.5706030420895389E-2</v>
      </c>
      <c r="AX81" s="5">
        <v>5.6833088953531291E-3</v>
      </c>
      <c r="AY81" s="5">
        <v>4.9699094559156661E-3</v>
      </c>
      <c r="AZ81" s="82">
        <v>0.28175822969347231</v>
      </c>
      <c r="BA81" s="10"/>
      <c r="BB81" s="51"/>
      <c r="BC81" s="16"/>
      <c r="BD81" s="16"/>
    </row>
    <row r="82" spans="1:62" s="4" customFormat="1" x14ac:dyDescent="0.2">
      <c r="A82" s="4" t="s">
        <v>56</v>
      </c>
      <c r="B82" s="5">
        <v>53.305999999999997</v>
      </c>
      <c r="C82" s="5">
        <v>13.942000000000002</v>
      </c>
      <c r="D82" s="5">
        <v>11.181999999999999</v>
      </c>
      <c r="E82" s="5">
        <v>0.11202000000000001</v>
      </c>
      <c r="F82" s="5">
        <v>19.794</v>
      </c>
      <c r="G82" s="5">
        <v>0.34374000000000005</v>
      </c>
      <c r="H82" s="5">
        <v>5.4360000000000006E-2</v>
      </c>
      <c r="I82" s="5">
        <v>1.5779999999999999E-2</v>
      </c>
      <c r="J82" s="82">
        <v>98.749979999999994</v>
      </c>
      <c r="K82" s="10">
        <v>0.15639344191766641</v>
      </c>
      <c r="L82" s="51">
        <v>1047.0296746846675</v>
      </c>
      <c r="M82" s="16">
        <v>-1.0013829111141193</v>
      </c>
      <c r="N82" s="16">
        <v>-0.50151356783536194</v>
      </c>
      <c r="P82" s="5">
        <v>55.025999999999996</v>
      </c>
      <c r="Q82" s="5">
        <v>14.032</v>
      </c>
      <c r="R82" s="5">
        <v>11.022</v>
      </c>
      <c r="S82" s="5">
        <v>0.11212</v>
      </c>
      <c r="T82" s="5">
        <v>20.428000000000001</v>
      </c>
      <c r="U82" s="5">
        <v>0.34392</v>
      </c>
      <c r="V82" s="5">
        <v>5.4459999999999995E-2</v>
      </c>
      <c r="W82" s="5">
        <v>1.584E-2</v>
      </c>
      <c r="X82" s="82">
        <v>101.03428</v>
      </c>
      <c r="Y82" s="10">
        <v>0.14146089077363094</v>
      </c>
      <c r="Z82" s="51">
        <v>1064.1140167430112</v>
      </c>
      <c r="AA82" s="16">
        <v>-1.2579231472339996</v>
      </c>
      <c r="AB82" s="16">
        <v>-0.74979189463837059</v>
      </c>
      <c r="AD82" s="5">
        <v>54.384</v>
      </c>
      <c r="AE82" s="5">
        <v>13.945999999999998</v>
      </c>
      <c r="AF82" s="5">
        <v>10.982000000000001</v>
      </c>
      <c r="AG82" s="5">
        <v>0.11118000000000001</v>
      </c>
      <c r="AH82" s="5">
        <v>20.166000000000004</v>
      </c>
      <c r="AI82" s="5">
        <v>0.33731999999999995</v>
      </c>
      <c r="AJ82" s="5">
        <v>5.3660000000000006E-2</v>
      </c>
      <c r="AK82" s="5">
        <v>1.5640000000000001E-2</v>
      </c>
      <c r="AL82" s="82">
        <v>99.995800000000003</v>
      </c>
      <c r="AM82" s="10">
        <v>0.14079915741914201</v>
      </c>
      <c r="AN82" s="51">
        <v>1055.9251243907911</v>
      </c>
      <c r="AO82" s="16">
        <v>-1.2436793212442148</v>
      </c>
      <c r="AP82" s="16">
        <v>-0.73493495834846811</v>
      </c>
      <c r="AR82" s="5">
        <v>54.457799999999999</v>
      </c>
      <c r="AS82" s="5">
        <v>13.811000000000002</v>
      </c>
      <c r="AT82" s="5">
        <v>10.818000000000001</v>
      </c>
      <c r="AU82" s="5">
        <v>0.10900000000000001</v>
      </c>
      <c r="AV82" s="5">
        <v>20.283799999999999</v>
      </c>
      <c r="AW82" s="5">
        <v>0.33160000000000001</v>
      </c>
      <c r="AX82" s="5">
        <v>5.3000000000000005E-2</v>
      </c>
      <c r="AY82" s="5">
        <v>1.5799999999999998E-2</v>
      </c>
      <c r="AZ82" s="82">
        <v>99.88</v>
      </c>
      <c r="BA82" s="10">
        <v>0.14606988460787818</v>
      </c>
      <c r="BB82" s="51">
        <v>1079.8751611625967</v>
      </c>
      <c r="BC82" s="16">
        <v>-1.2366906074752722</v>
      </c>
      <c r="BD82" s="16">
        <v>-0.73086825246308607</v>
      </c>
    </row>
    <row r="83" spans="1:62" s="4" customFormat="1" x14ac:dyDescent="0.2">
      <c r="A83" s="4" t="s">
        <v>44</v>
      </c>
      <c r="B83" s="5">
        <v>0.15709869509324495</v>
      </c>
      <c r="C83" s="5">
        <v>0.15706686474237702</v>
      </c>
      <c r="D83" s="5">
        <v>0.21487205495363956</v>
      </c>
      <c r="E83" s="5">
        <v>1.1794998940228864E-2</v>
      </c>
      <c r="F83" s="5">
        <v>9.5551033484729916E-2</v>
      </c>
      <c r="G83" s="5">
        <v>7.2569277245953002E-3</v>
      </c>
      <c r="H83" s="5">
        <v>1.0405671530468324E-2</v>
      </c>
      <c r="I83" s="5">
        <v>6.3148238296883681E-3</v>
      </c>
      <c r="J83" s="82">
        <v>0.24534957102061716</v>
      </c>
      <c r="K83" s="10"/>
      <c r="L83" s="51"/>
      <c r="M83" s="16"/>
      <c r="N83" s="16"/>
      <c r="P83" s="5">
        <v>0.16471186963907572</v>
      </c>
      <c r="Q83" s="5">
        <v>0.1570668647423768</v>
      </c>
      <c r="R83" s="5">
        <v>0.21487205495363995</v>
      </c>
      <c r="S83" s="5">
        <v>1.1864105528863095E-2</v>
      </c>
      <c r="T83" s="5">
        <v>9.9599196783910368E-2</v>
      </c>
      <c r="U83" s="5">
        <v>7.2627129917132299E-3</v>
      </c>
      <c r="V83" s="5">
        <v>1.0405671530468386E-2</v>
      </c>
      <c r="W83" s="5">
        <v>6.3614463764147177E-3</v>
      </c>
      <c r="X83" s="82">
        <v>0.25143575123677386</v>
      </c>
      <c r="Y83" s="10"/>
      <c r="Z83" s="51"/>
      <c r="AA83" s="16"/>
      <c r="AB83" s="16"/>
      <c r="AD83" s="5">
        <v>0.15836666315863412</v>
      </c>
      <c r="AE83" s="5">
        <v>0.15517731793016645</v>
      </c>
      <c r="AF83" s="5">
        <v>0.21487205495363956</v>
      </c>
      <c r="AG83" s="5">
        <v>1.1752531642161191E-2</v>
      </c>
      <c r="AH83" s="5">
        <v>9.9146356463562665E-2</v>
      </c>
      <c r="AI83" s="5">
        <v>7.1099929676477075E-3</v>
      </c>
      <c r="AJ83" s="5">
        <v>1.0248316934989824E-2</v>
      </c>
      <c r="AK83" s="5">
        <v>6.2640242655979533E-3</v>
      </c>
      <c r="AL83" s="82">
        <v>0.25204749552415889</v>
      </c>
      <c r="AM83" s="10"/>
      <c r="AN83" s="51"/>
      <c r="AO83" s="16"/>
      <c r="AP83" s="16"/>
      <c r="AR83" s="5">
        <v>0.1745098851068323</v>
      </c>
      <c r="AS83" s="5">
        <v>0.15340958249079512</v>
      </c>
      <c r="AT83" s="5">
        <v>0.21180061378570181</v>
      </c>
      <c r="AU83" s="5">
        <v>1.1618950038622251E-2</v>
      </c>
      <c r="AV83" s="5">
        <v>0.10068117996924698</v>
      </c>
      <c r="AW83" s="5">
        <v>6.877499545619766E-3</v>
      </c>
      <c r="AX83" s="5">
        <v>1.0024968827881705E-2</v>
      </c>
      <c r="AY83" s="5">
        <v>6.0991802727907701E-3</v>
      </c>
      <c r="AZ83" s="82">
        <v>0.26911614592960009</v>
      </c>
      <c r="BA83" s="10"/>
      <c r="BB83" s="51"/>
      <c r="BC83" s="16"/>
      <c r="BD83" s="16"/>
    </row>
    <row r="84" spans="1:62" s="4" customFormat="1" x14ac:dyDescent="0.2">
      <c r="A84" s="4" t="s">
        <v>57</v>
      </c>
      <c r="B84" s="5">
        <v>53.260000000000005</v>
      </c>
      <c r="C84" s="5">
        <v>13.969999999999999</v>
      </c>
      <c r="D84" s="5">
        <v>11.148</v>
      </c>
      <c r="E84" s="5">
        <v>0.10642</v>
      </c>
      <c r="F84" s="5">
        <v>19.836000000000002</v>
      </c>
      <c r="G84" s="5">
        <v>0.3478</v>
      </c>
      <c r="H84" s="5">
        <v>5.4600000000000003E-2</v>
      </c>
      <c r="I84" s="5">
        <v>1.5879999999999998E-2</v>
      </c>
      <c r="J84" s="82">
        <v>98.738799999999998</v>
      </c>
      <c r="K84" s="10">
        <v>0.16031542892992245</v>
      </c>
      <c r="L84" s="51">
        <v>1057.3131685817525</v>
      </c>
      <c r="M84" s="16">
        <v>-0.97936152344851446</v>
      </c>
      <c r="N84" s="16">
        <v>-0.48210999165501622</v>
      </c>
      <c r="P84" s="5">
        <v>54.982000000000006</v>
      </c>
      <c r="Q84" s="5">
        <v>14.061999999999998</v>
      </c>
      <c r="R84" s="5">
        <v>10.988</v>
      </c>
      <c r="S84" s="5">
        <v>0.10651999999999999</v>
      </c>
      <c r="T84" s="5">
        <v>20.468</v>
      </c>
      <c r="U84" s="5">
        <v>0.34800000000000003</v>
      </c>
      <c r="V84" s="5">
        <v>5.4700000000000006E-2</v>
      </c>
      <c r="W84" s="5">
        <v>1.5900000000000001E-2</v>
      </c>
      <c r="X84" s="82">
        <v>101.02506000000001</v>
      </c>
      <c r="Y84" s="10">
        <v>0.14504158838632358</v>
      </c>
      <c r="Z84" s="51">
        <v>1074.0670081910307</v>
      </c>
      <c r="AA84" s="16">
        <v>-1.2348303835454375</v>
      </c>
      <c r="AB84" s="16">
        <v>-0.72928443837258605</v>
      </c>
      <c r="AD84" s="5">
        <v>54.339999999999996</v>
      </c>
      <c r="AE84" s="5">
        <v>13.974</v>
      </c>
      <c r="AF84" s="5">
        <v>10.956</v>
      </c>
      <c r="AG84" s="5">
        <v>0.1056</v>
      </c>
      <c r="AH84" s="5">
        <v>20.206</v>
      </c>
      <c r="AI84" s="5">
        <v>0.34129999999999999</v>
      </c>
      <c r="AJ84" s="5">
        <v>5.3900000000000003E-2</v>
      </c>
      <c r="AK84" s="5">
        <v>1.5739999999999997E-2</v>
      </c>
      <c r="AL84" s="82">
        <v>99.992559999999997</v>
      </c>
      <c r="AM84" s="10">
        <v>0.14481932976105594</v>
      </c>
      <c r="AN84" s="51">
        <v>1065.6622009811649</v>
      </c>
      <c r="AO84" s="16">
        <v>-1.2138701141605903</v>
      </c>
      <c r="AP84" s="16">
        <v>-0.70783523536553083</v>
      </c>
      <c r="AR84" s="5">
        <v>54.412599999999998</v>
      </c>
      <c r="AS84" s="5">
        <v>13.838200000000001</v>
      </c>
      <c r="AT84" s="5">
        <v>10.7858</v>
      </c>
      <c r="AU84" s="5">
        <v>0.1036</v>
      </c>
      <c r="AV84" s="5">
        <v>20.322600000000001</v>
      </c>
      <c r="AW84" s="5">
        <v>0.33560000000000001</v>
      </c>
      <c r="AX84" s="5">
        <v>5.319999999999999E-2</v>
      </c>
      <c r="AY84" s="5">
        <v>1.5800000000000002E-2</v>
      </c>
      <c r="AZ84" s="82">
        <v>99.867400000000004</v>
      </c>
      <c r="BA84" s="10">
        <v>0.14984205532483108</v>
      </c>
      <c r="BB84" s="51">
        <v>1090.1681676428602</v>
      </c>
      <c r="BC84" s="16">
        <v>-1.2126183836947864</v>
      </c>
      <c r="BD84" s="16">
        <v>-0.70952245260415125</v>
      </c>
    </row>
    <row r="85" spans="1:62" s="4" customFormat="1" x14ac:dyDescent="0.2">
      <c r="A85" s="4" t="s">
        <v>44</v>
      </c>
      <c r="B85" s="5">
        <v>0.23843238035132669</v>
      </c>
      <c r="C85" s="5">
        <v>5.7008771254956542E-2</v>
      </c>
      <c r="D85" s="5">
        <v>0.22117866081518825</v>
      </c>
      <c r="E85" s="5">
        <v>7.8110178594085929E-3</v>
      </c>
      <c r="F85" s="5">
        <v>0.1492648652563614</v>
      </c>
      <c r="G85" s="5">
        <v>1.680996728134829E-2</v>
      </c>
      <c r="H85" s="5">
        <v>7.2273785012271219E-3</v>
      </c>
      <c r="I85" s="5">
        <v>7.3886399289720397E-3</v>
      </c>
      <c r="J85" s="82">
        <v>0.15883280517575757</v>
      </c>
      <c r="K85" s="10"/>
      <c r="L85" s="51"/>
      <c r="M85" s="16"/>
      <c r="N85" s="16"/>
      <c r="P85" s="5">
        <v>0.24263140769488087</v>
      </c>
      <c r="Q85" s="5">
        <v>5.8051701094800123E-2</v>
      </c>
      <c r="R85" s="5">
        <v>0.21498837177856886</v>
      </c>
      <c r="S85" s="5">
        <v>7.8110178594085937E-3</v>
      </c>
      <c r="T85" s="5">
        <v>0.15336231610144604</v>
      </c>
      <c r="U85" s="5">
        <v>1.6809967281348284E-2</v>
      </c>
      <c r="V85" s="5">
        <v>7.2273785012271219E-3</v>
      </c>
      <c r="W85" s="5">
        <v>7.3959448348402367E-3</v>
      </c>
      <c r="X85" s="82">
        <v>0.16292198439743807</v>
      </c>
      <c r="Y85" s="10"/>
      <c r="Z85" s="51"/>
      <c r="AA85" s="16"/>
      <c r="AB85" s="16"/>
      <c r="AD85" s="5">
        <v>0.23441416339461846</v>
      </c>
      <c r="AE85" s="5">
        <v>5.8991524815010132E-2</v>
      </c>
      <c r="AF85" s="5">
        <v>0.21938550544646265</v>
      </c>
      <c r="AG85" s="5">
        <v>7.7366013209936085E-3</v>
      </c>
      <c r="AH85" s="5">
        <v>0.14926486525636221</v>
      </c>
      <c r="AI85" s="5">
        <v>1.651923121697859E-2</v>
      </c>
      <c r="AJ85" s="5">
        <v>7.1084456810191626E-3</v>
      </c>
      <c r="AK85" s="5">
        <v>7.3432281729495542E-3</v>
      </c>
      <c r="AL85" s="82">
        <v>0.15591120229156122</v>
      </c>
      <c r="AM85" s="10"/>
      <c r="AN85" s="51"/>
      <c r="AO85" s="16"/>
      <c r="AP85" s="16"/>
      <c r="AR85" s="5">
        <v>0.24507611062688323</v>
      </c>
      <c r="AS85" s="5">
        <v>5.8079256193583798E-2</v>
      </c>
      <c r="AT85" s="5">
        <v>0.21425382143616445</v>
      </c>
      <c r="AU85" s="5">
        <v>7.5033325929216299E-3</v>
      </c>
      <c r="AV85" s="5">
        <v>0.15282113728146335</v>
      </c>
      <c r="AW85" s="5">
        <v>1.6087262041752155E-2</v>
      </c>
      <c r="AX85" s="5">
        <v>7.1203932475671586E-3</v>
      </c>
      <c r="AY85" s="5">
        <v>7.3959448348402367E-3</v>
      </c>
      <c r="AZ85" s="82">
        <v>0.17247840444531301</v>
      </c>
      <c r="BA85" s="10"/>
      <c r="BB85" s="51"/>
      <c r="BC85" s="16"/>
      <c r="BD85" s="16"/>
    </row>
    <row r="86" spans="1:62" s="4" customFormat="1" ht="6.75" customHeight="1" x14ac:dyDescent="0.2">
      <c r="J86" s="82"/>
      <c r="K86" s="10"/>
      <c r="M86" s="16"/>
      <c r="N86" s="16"/>
      <c r="X86" s="82"/>
      <c r="Y86" s="10"/>
      <c r="Z86" s="49"/>
      <c r="AA86" s="16"/>
      <c r="AB86" s="16"/>
      <c r="AL86" s="82"/>
      <c r="AM86" s="10"/>
      <c r="AO86" s="16"/>
      <c r="AP86" s="16"/>
      <c r="AZ86" s="82"/>
      <c r="BA86" s="10"/>
      <c r="BC86" s="16"/>
      <c r="BD86" s="16"/>
    </row>
    <row r="87" spans="1:62" s="4" customFormat="1" x14ac:dyDescent="0.2">
      <c r="A87" s="4" t="s">
        <v>7</v>
      </c>
      <c r="B87" s="5">
        <v>53.206000000000003</v>
      </c>
      <c r="C87" s="5">
        <v>14.03</v>
      </c>
      <c r="D87" s="5">
        <v>11.141999999999999</v>
      </c>
      <c r="E87" s="5">
        <v>0.10783500000000001</v>
      </c>
      <c r="F87" s="5">
        <v>19.765500000000003</v>
      </c>
      <c r="G87" s="5">
        <v>0.34127500000000005</v>
      </c>
      <c r="H87" s="5">
        <v>5.4989999999999997E-2</v>
      </c>
      <c r="I87" s="5">
        <v>1.6305E-2</v>
      </c>
      <c r="J87" s="82">
        <v>98.663995</v>
      </c>
      <c r="K87" s="10">
        <v>0.15271058352985276</v>
      </c>
      <c r="L87" s="51">
        <v>1045.8842629719775</v>
      </c>
      <c r="M87" s="16">
        <v>-1.0466917713034516</v>
      </c>
      <c r="N87" s="16">
        <v>-0.54569699781333991</v>
      </c>
      <c r="P87" s="5">
        <v>54.924499999999995</v>
      </c>
      <c r="Q87" s="5">
        <v>14.122</v>
      </c>
      <c r="R87" s="5">
        <v>10.981999999999999</v>
      </c>
      <c r="S87" s="5">
        <v>0.10793</v>
      </c>
      <c r="T87" s="5">
        <v>20.398</v>
      </c>
      <c r="U87" s="5">
        <v>0.34145500000000006</v>
      </c>
      <c r="V87" s="5">
        <v>5.509E-2</v>
      </c>
      <c r="W87" s="5">
        <v>1.6345000000000002E-2</v>
      </c>
      <c r="X87" s="82">
        <v>100.947255</v>
      </c>
      <c r="Y87" s="10">
        <v>0.13751703912801344</v>
      </c>
      <c r="Z87" s="49">
        <v>1062.6709181551578</v>
      </c>
      <c r="AA87" s="16">
        <v>-1.3106591293371905</v>
      </c>
      <c r="AB87" s="16">
        <v>-0.80131401360500387</v>
      </c>
      <c r="AD87" s="5">
        <v>54.285999999999994</v>
      </c>
      <c r="AE87" s="5">
        <v>14.0335</v>
      </c>
      <c r="AF87" s="5">
        <v>10.945500000000001</v>
      </c>
      <c r="AG87" s="5">
        <v>0.107015</v>
      </c>
      <c r="AH87" s="5">
        <v>20.137</v>
      </c>
      <c r="AI87" s="5">
        <v>0.33489000000000002</v>
      </c>
      <c r="AJ87" s="5">
        <v>5.4295000000000003E-2</v>
      </c>
      <c r="AK87" s="5">
        <v>1.6174999999999998E-2</v>
      </c>
      <c r="AL87" s="82">
        <v>99.914389999999997</v>
      </c>
      <c r="AM87" s="10">
        <v>0.13703690245738531</v>
      </c>
      <c r="AN87" s="49">
        <v>1054.4709536364485</v>
      </c>
      <c r="AO87" s="16">
        <v>-1.2938490597801591</v>
      </c>
      <c r="AP87" s="16">
        <v>-0.78395561264952107</v>
      </c>
      <c r="AR87" s="5">
        <v>54.351899999999993</v>
      </c>
      <c r="AS87" s="5">
        <v>13.89785</v>
      </c>
      <c r="AT87" s="5">
        <v>10.7789</v>
      </c>
      <c r="AU87" s="5">
        <v>0.10495</v>
      </c>
      <c r="AV87" s="5">
        <v>20.252199999999998</v>
      </c>
      <c r="AW87" s="5">
        <v>0.32925000000000004</v>
      </c>
      <c r="AX87" s="5">
        <v>5.355E-2</v>
      </c>
      <c r="AY87" s="5">
        <v>1.6300000000000002E-2</v>
      </c>
      <c r="AZ87" s="82">
        <v>99.784900000000007</v>
      </c>
      <c r="BA87" s="10">
        <v>0.14224499402314314</v>
      </c>
      <c r="BB87" s="49">
        <v>1078.3840305332042</v>
      </c>
      <c r="BC87" s="16">
        <v>-1.2862143013133054</v>
      </c>
      <c r="BD87" s="16">
        <v>-0.77921320116079773</v>
      </c>
      <c r="BF87" s="28">
        <f>AVERAGE(K87, Y87, AM87, BA87)</f>
        <v>0.14237737978459866</v>
      </c>
      <c r="BG87" s="29">
        <f>AVERAGE(M87, AA87, AO87, BC87)</f>
        <v>-1.2343535654335267</v>
      </c>
      <c r="BH87" s="29">
        <f>AVERAGE(N87, AB87, AP87, BD87)</f>
        <v>-0.72754495630716565</v>
      </c>
      <c r="BJ87" s="32">
        <f>BF87-BF76</f>
        <v>4.884737561817909E-2</v>
      </c>
    </row>
    <row r="88" spans="1:62" s="4" customFormat="1" x14ac:dyDescent="0.2">
      <c r="A88" s="4" t="s">
        <v>44</v>
      </c>
      <c r="B88" s="5">
        <v>0.10362753816754547</v>
      </c>
      <c r="C88" s="5">
        <v>0.21259037293976032</v>
      </c>
      <c r="D88" s="5">
        <v>3.374413529291629E-2</v>
      </c>
      <c r="E88" s="5">
        <v>2.9285434377291854E-3</v>
      </c>
      <c r="F88" s="5">
        <v>6.7258208916583129E-2</v>
      </c>
      <c r="G88" s="5">
        <v>9.0826189321509022E-3</v>
      </c>
      <c r="H88" s="5">
        <v>6.8049001952024107E-4</v>
      </c>
      <c r="I88" s="5">
        <v>1.2538341198101138E-3</v>
      </c>
      <c r="J88" s="82">
        <v>0.15503952302558274</v>
      </c>
      <c r="K88" s="16">
        <f>STDEVA(K78, K80, K82, K84)</f>
        <v>9.3844634202114204E-3</v>
      </c>
      <c r="L88" s="54">
        <f>STDEVA(L78, L80, L82, L84)</f>
        <v>11.338880263243048</v>
      </c>
      <c r="M88" s="16">
        <f t="shared" ref="M88:N88" si="30">STDEVA(M78, M80, M82, M84)</f>
        <v>9.6338633823224995E-2</v>
      </c>
      <c r="N88" s="16">
        <f t="shared" si="30"/>
        <v>9.2796139887438248E-2</v>
      </c>
      <c r="P88" s="5">
        <v>0.10597326706926702</v>
      </c>
      <c r="Q88" s="5">
        <v>0.21384729754352033</v>
      </c>
      <c r="R88" s="5">
        <v>3.3744135292916991E-2</v>
      </c>
      <c r="S88" s="5">
        <v>2.934189269059966E-3</v>
      </c>
      <c r="T88" s="5">
        <v>6.8313005106397429E-2</v>
      </c>
      <c r="U88" s="5">
        <v>9.0972431721557008E-3</v>
      </c>
      <c r="V88" s="5">
        <v>6.8049001952024573E-4</v>
      </c>
      <c r="W88" s="5">
        <v>1.2681088281373978E-3</v>
      </c>
      <c r="X88" s="82">
        <v>0.15577906780651571</v>
      </c>
      <c r="Y88" s="16">
        <f>STDEVA(Y78, Y80, Y82, Y84)</f>
        <v>9.6292652450769706E-3</v>
      </c>
      <c r="Z88" s="54">
        <f>STDEVA(Z78, Z80, Z82, Z84)</f>
        <v>11.804567159025909</v>
      </c>
      <c r="AA88" s="16">
        <f t="shared" ref="AA88:AB88" si="31">STDEVA(AA78, AA80, AA82, AA84)</f>
        <v>0.11185380587660575</v>
      </c>
      <c r="AB88" s="16">
        <f t="shared" si="31"/>
        <v>0.10808527456498149</v>
      </c>
      <c r="AD88" s="5">
        <v>0.10132456102380297</v>
      </c>
      <c r="AE88" s="5">
        <v>0.21310638970554971</v>
      </c>
      <c r="AF88" s="5">
        <v>3.3401596768219202E-2</v>
      </c>
      <c r="AG88" s="5">
        <v>2.9133886341051983E-3</v>
      </c>
      <c r="AH88" s="5">
        <v>6.6563253125630037E-2</v>
      </c>
      <c r="AI88" s="5">
        <v>8.9161202324777918E-3</v>
      </c>
      <c r="AJ88" s="5">
        <v>6.8164017878447687E-4</v>
      </c>
      <c r="AK88" s="5">
        <v>1.2443338244485156E-3</v>
      </c>
      <c r="AL88" s="82">
        <v>0.15789674727492092</v>
      </c>
      <c r="AM88" s="16">
        <f>STDEVA(AM78, AM80, AM82, AM84)</f>
        <v>9.6160983588008293E-3</v>
      </c>
      <c r="AN88" s="54">
        <f>STDEVA(AN78, AN80, AN82, AN84)</f>
        <v>11.512268408418677</v>
      </c>
      <c r="AO88" s="16">
        <f t="shared" ref="AO88:AP88" si="32">STDEVA(AO78, AO80, AO82, AO84)</f>
        <v>0.11224305823221757</v>
      </c>
      <c r="AP88" s="16">
        <f t="shared" si="32"/>
        <v>0.10852526776921378</v>
      </c>
      <c r="AR88" s="5">
        <v>0.10573545605267216</v>
      </c>
      <c r="AS88" s="5">
        <v>0.21155376779123194</v>
      </c>
      <c r="AT88" s="5">
        <v>3.3717453442789778E-2</v>
      </c>
      <c r="AU88" s="5">
        <v>2.8722813232690196E-3</v>
      </c>
      <c r="AV88" s="5">
        <v>6.8348128479622544E-2</v>
      </c>
      <c r="AW88" s="5">
        <v>8.721429546429493E-3</v>
      </c>
      <c r="AX88" s="5">
        <v>6.191391873668924E-4</v>
      </c>
      <c r="AY88" s="5">
        <v>1.2806248474865702E-3</v>
      </c>
      <c r="AZ88" s="82">
        <v>0.16918758819724022</v>
      </c>
      <c r="BA88" s="16">
        <f>STDEVA(BA78, BA80, BA82, BA84)</f>
        <v>9.818884408630069E-3</v>
      </c>
      <c r="BB88" s="54">
        <f>STDEVA(BB78, BB80, BB82, BB84)</f>
        <v>12.493925186660109</v>
      </c>
      <c r="BC88" s="16">
        <f t="shared" ref="BC88:BD88" si="33">STDEVA(BC78, BC80, BC82, BC84)</f>
        <v>0.10939300061971352</v>
      </c>
      <c r="BD88" s="16">
        <f t="shared" si="33"/>
        <v>0.10542714783144205</v>
      </c>
      <c r="BF88" s="28">
        <f>STDEVA(K87, Y87, AM87, BA87)</f>
        <v>7.2786499437579883E-3</v>
      </c>
      <c r="BG88" s="29">
        <f>STDEVA(M87, AA87, AO87, BC87)</f>
        <v>0.12552388595046649</v>
      </c>
      <c r="BH88" s="29">
        <f>STDEVA(N87, AB87, AP87, BD87)</f>
        <v>0.12160362316177706</v>
      </c>
    </row>
    <row r="89" spans="1:62" s="4" customFormat="1" x14ac:dyDescent="0.2">
      <c r="A89" s="7"/>
      <c r="B89" s="7"/>
      <c r="C89" s="7"/>
      <c r="D89" s="7"/>
      <c r="E89" s="7"/>
      <c r="F89" s="7"/>
      <c r="G89" s="7"/>
      <c r="H89" s="7"/>
      <c r="I89" s="7"/>
      <c r="J89" s="83"/>
      <c r="K89" s="10"/>
      <c r="L89" s="52"/>
      <c r="M89" s="16"/>
      <c r="N89" s="16"/>
      <c r="P89" s="7"/>
      <c r="Q89" s="7"/>
      <c r="R89" s="7"/>
      <c r="S89" s="7"/>
      <c r="T89" s="7"/>
      <c r="U89" s="7"/>
      <c r="V89" s="7"/>
      <c r="W89" s="7"/>
      <c r="X89" s="83"/>
      <c r="Y89" s="10"/>
      <c r="Z89" s="52"/>
      <c r="AA89" s="16"/>
      <c r="AB89" s="16"/>
      <c r="AD89" s="7"/>
      <c r="AE89" s="7"/>
      <c r="AF89" s="7"/>
      <c r="AG89" s="7"/>
      <c r="AH89" s="7"/>
      <c r="AI89" s="7"/>
      <c r="AJ89" s="7"/>
      <c r="AK89" s="7"/>
      <c r="AL89" s="83"/>
      <c r="AM89" s="10"/>
      <c r="AN89" s="52"/>
      <c r="AO89" s="16"/>
      <c r="AP89" s="16"/>
      <c r="AR89" s="7"/>
      <c r="AS89" s="7"/>
      <c r="AT89" s="7"/>
      <c r="AU89" s="7"/>
      <c r="AV89" s="7"/>
      <c r="AW89" s="7"/>
      <c r="AX89" s="7"/>
      <c r="AY89" s="7"/>
      <c r="AZ89" s="83"/>
      <c r="BA89" s="10"/>
      <c r="BB89" s="52"/>
      <c r="BC89" s="16"/>
      <c r="BD89" s="16"/>
    </row>
    <row r="90" spans="1:62" s="4" customFormat="1" x14ac:dyDescent="0.2">
      <c r="A90" s="6" t="s">
        <v>101</v>
      </c>
      <c r="C90" s="5"/>
      <c r="D90" s="5"/>
      <c r="E90" s="5"/>
      <c r="F90" s="5"/>
      <c r="G90" s="5"/>
      <c r="H90" s="5"/>
      <c r="I90" s="5"/>
      <c r="J90" s="82"/>
      <c r="K90" s="10"/>
      <c r="L90" s="51"/>
      <c r="M90" s="16"/>
      <c r="N90" s="16"/>
      <c r="Q90" s="5"/>
      <c r="R90" s="5"/>
      <c r="S90" s="5"/>
      <c r="T90" s="5"/>
      <c r="U90" s="5"/>
      <c r="V90" s="5"/>
      <c r="W90" s="5"/>
      <c r="X90" s="82"/>
      <c r="Y90" s="10"/>
      <c r="Z90" s="51"/>
      <c r="AA90" s="16"/>
      <c r="AB90" s="16"/>
      <c r="AE90" s="5"/>
      <c r="AF90" s="5"/>
      <c r="AG90" s="5"/>
      <c r="AH90" s="5"/>
      <c r="AI90" s="5"/>
      <c r="AJ90" s="5"/>
      <c r="AK90" s="5"/>
      <c r="AL90" s="82"/>
      <c r="AM90" s="10"/>
      <c r="AN90" s="51"/>
      <c r="AO90" s="16"/>
      <c r="AP90" s="16"/>
      <c r="AS90" s="5"/>
      <c r="AT90" s="5"/>
      <c r="AU90" s="5"/>
      <c r="AV90" s="5"/>
      <c r="AW90" s="5"/>
      <c r="AX90" s="5"/>
      <c r="AY90" s="5"/>
      <c r="AZ90" s="82"/>
      <c r="BA90" s="10"/>
      <c r="BB90" s="51"/>
      <c r="BC90" s="16"/>
      <c r="BD90" s="16"/>
    </row>
    <row r="91" spans="1:62" s="4" customFormat="1" x14ac:dyDescent="0.2">
      <c r="A91" s="22" t="s">
        <v>196</v>
      </c>
      <c r="B91" s="4">
        <v>59.48</v>
      </c>
      <c r="C91" s="4">
        <v>8.2200000000000006</v>
      </c>
      <c r="D91" s="4">
        <v>10.78</v>
      </c>
      <c r="E91" s="4">
        <v>0.13</v>
      </c>
      <c r="F91" s="4">
        <v>20.29</v>
      </c>
      <c r="G91" s="4">
        <v>0.39</v>
      </c>
      <c r="H91" s="4">
        <v>0.08</v>
      </c>
      <c r="J91" s="82"/>
      <c r="K91" s="10">
        <v>9.3630784857785782E-2</v>
      </c>
      <c r="L91" s="51">
        <v>1021.5726769827828</v>
      </c>
      <c r="M91" s="16">
        <v>-1.9513330429828681</v>
      </c>
      <c r="N91" s="16">
        <v>-1.6279854191769214</v>
      </c>
      <c r="P91" s="4">
        <v>59.48</v>
      </c>
      <c r="Q91" s="4">
        <v>8.2200000000000006</v>
      </c>
      <c r="R91" s="4">
        <v>10.78</v>
      </c>
      <c r="S91" s="4">
        <v>0.13</v>
      </c>
      <c r="T91" s="4">
        <v>20.29</v>
      </c>
      <c r="U91" s="4">
        <v>0.39</v>
      </c>
      <c r="V91" s="4">
        <v>0.08</v>
      </c>
      <c r="X91" s="82"/>
      <c r="Y91" s="10">
        <v>9.3630784857785782E-2</v>
      </c>
      <c r="Z91" s="51">
        <v>1021.5726769827828</v>
      </c>
      <c r="AA91" s="16">
        <v>-1.9513330429828681</v>
      </c>
      <c r="AB91" s="16">
        <v>-1.6279854191769214</v>
      </c>
      <c r="AD91" s="4">
        <v>59.48</v>
      </c>
      <c r="AE91" s="4">
        <v>8.2200000000000006</v>
      </c>
      <c r="AF91" s="4">
        <v>10.78</v>
      </c>
      <c r="AG91" s="4">
        <v>0.13</v>
      </c>
      <c r="AH91" s="4">
        <v>20.29</v>
      </c>
      <c r="AI91" s="4">
        <v>0.39</v>
      </c>
      <c r="AJ91" s="4">
        <v>0.08</v>
      </c>
      <c r="AL91" s="82"/>
      <c r="AM91" s="10">
        <v>9.3630784857785782E-2</v>
      </c>
      <c r="AN91" s="51">
        <v>1021.5726769827828</v>
      </c>
      <c r="AO91" s="16">
        <v>-1.9513330429828681</v>
      </c>
      <c r="AP91" s="16">
        <v>-1.6279854191769214</v>
      </c>
      <c r="AR91" s="4">
        <v>59.48</v>
      </c>
      <c r="AS91" s="4">
        <v>8.2200000000000006</v>
      </c>
      <c r="AT91" s="4">
        <v>10.78</v>
      </c>
      <c r="AU91" s="4">
        <v>0.13</v>
      </c>
      <c r="AV91" s="4">
        <v>20.29</v>
      </c>
      <c r="AW91" s="4">
        <v>0.39</v>
      </c>
      <c r="AX91" s="4">
        <v>0.08</v>
      </c>
      <c r="AZ91" s="82"/>
      <c r="BA91" s="10">
        <v>9.3630784857785782E-2</v>
      </c>
      <c r="BB91" s="51">
        <v>1021.5726769827828</v>
      </c>
      <c r="BC91" s="16">
        <v>-1.9513330429828681</v>
      </c>
      <c r="BD91" s="16">
        <v>-1.6279854191769214</v>
      </c>
      <c r="BF91" s="10">
        <f>BA91</f>
        <v>9.3630784857785782E-2</v>
      </c>
      <c r="BG91" s="16">
        <f t="shared" ref="BG91" si="34">BC91</f>
        <v>-1.9513330429828681</v>
      </c>
      <c r="BH91" s="16">
        <f t="shared" ref="BH91" si="35">BD91</f>
        <v>-1.6279854191769214</v>
      </c>
    </row>
    <row r="92" spans="1:62" s="4" customFormat="1" ht="6.75" customHeight="1" x14ac:dyDescent="0.2">
      <c r="J92" s="82"/>
      <c r="K92" s="10"/>
      <c r="L92" s="51"/>
      <c r="M92" s="16"/>
      <c r="N92" s="16"/>
      <c r="X92" s="82"/>
      <c r="Y92" s="10"/>
      <c r="Z92" s="51"/>
      <c r="AA92" s="16"/>
      <c r="AB92" s="16"/>
      <c r="AL92" s="82"/>
      <c r="AM92" s="10"/>
      <c r="AN92" s="51"/>
      <c r="AO92" s="16"/>
      <c r="AP92" s="16"/>
      <c r="AZ92" s="82"/>
      <c r="BA92" s="10"/>
      <c r="BB92" s="51"/>
      <c r="BC92" s="16"/>
      <c r="BD92" s="16"/>
    </row>
    <row r="93" spans="1:62" s="4" customFormat="1" x14ac:dyDescent="0.2">
      <c r="A93" s="46" t="s">
        <v>58</v>
      </c>
      <c r="B93" s="5">
        <v>58.48</v>
      </c>
      <c r="C93" s="5">
        <v>8.661999999999999</v>
      </c>
      <c r="D93" s="5">
        <v>10.608000000000001</v>
      </c>
      <c r="E93" s="5">
        <v>9.8559999999999995E-2</v>
      </c>
      <c r="F93" s="5">
        <v>20.804000000000002</v>
      </c>
      <c r="G93" s="5">
        <v>0.39706000000000002</v>
      </c>
      <c r="H93" s="5">
        <v>0.11035999999999999</v>
      </c>
      <c r="I93" s="5">
        <v>2.8900000000000002E-2</v>
      </c>
      <c r="J93" s="82">
        <v>99.188959999999994</v>
      </c>
      <c r="K93" s="10">
        <v>0.16372258915590454</v>
      </c>
      <c r="L93" s="51">
        <v>1187.7660825545072</v>
      </c>
      <c r="M93" s="16">
        <v>-1.261653079599323</v>
      </c>
      <c r="N93" s="16">
        <v>-0.99887512976921489</v>
      </c>
      <c r="P93" s="5">
        <v>60.339999999999996</v>
      </c>
      <c r="Q93" s="5">
        <v>8.7219999999999995</v>
      </c>
      <c r="R93" s="5">
        <v>10.454000000000001</v>
      </c>
      <c r="S93" s="5">
        <v>9.8659999999999998E-2</v>
      </c>
      <c r="T93" s="5">
        <v>21.474000000000004</v>
      </c>
      <c r="U93" s="5">
        <v>0.39726</v>
      </c>
      <c r="V93" s="5">
        <v>0.1105</v>
      </c>
      <c r="W93" s="5">
        <v>2.8960000000000003E-2</v>
      </c>
      <c r="X93" s="82">
        <v>101.62531999999999</v>
      </c>
      <c r="Y93" s="10">
        <v>0.14708191007016266</v>
      </c>
      <c r="Z93" s="51">
        <v>1212.522961297896</v>
      </c>
      <c r="AA93" s="16">
        <v>-1.5408847767182188</v>
      </c>
      <c r="AB93" s="16">
        <v>-1.2734540176231866</v>
      </c>
      <c r="AD93" s="5">
        <v>59.525999999999996</v>
      </c>
      <c r="AE93" s="5">
        <v>8.6560000000000006</v>
      </c>
      <c r="AF93" s="5">
        <v>10.412000000000001</v>
      </c>
      <c r="AG93" s="5">
        <v>9.7699999999999995E-2</v>
      </c>
      <c r="AH93" s="5">
        <v>21.154</v>
      </c>
      <c r="AI93" s="5">
        <v>0.38935999999999998</v>
      </c>
      <c r="AJ93" s="5">
        <v>0.10884000000000001</v>
      </c>
      <c r="AK93" s="5">
        <v>2.8560000000000002E-2</v>
      </c>
      <c r="AL93" s="82">
        <v>100.37237999999999</v>
      </c>
      <c r="AM93" s="10">
        <v>0.1468889858928949</v>
      </c>
      <c r="AN93" s="51">
        <v>1198.9364810302764</v>
      </c>
      <c r="AO93" s="16">
        <v>-1.5125470694985732</v>
      </c>
      <c r="AP93" s="16">
        <v>-1.2431058093530414</v>
      </c>
      <c r="AR93" s="5">
        <v>59.68480000000001</v>
      </c>
      <c r="AS93" s="5">
        <v>8.5667999999999971</v>
      </c>
      <c r="AT93" s="5">
        <v>10.241200000000001</v>
      </c>
      <c r="AU93" s="5">
        <v>9.5799999999999996E-2</v>
      </c>
      <c r="AV93" s="5">
        <v>21.305399999999999</v>
      </c>
      <c r="AW93" s="5">
        <v>0.3826</v>
      </c>
      <c r="AX93" s="5">
        <v>0.10700000000000001</v>
      </c>
      <c r="AY93" s="5">
        <v>2.8800000000000003E-2</v>
      </c>
      <c r="AZ93" s="82">
        <v>100.41240000000001</v>
      </c>
      <c r="BA93" s="10">
        <v>0.15087877956102055</v>
      </c>
      <c r="BB93" s="51">
        <v>1235.3479240286647</v>
      </c>
      <c r="BC93" s="16">
        <v>-1.5388726180685126</v>
      </c>
      <c r="BD93" s="16">
        <v>-1.2753369761353124</v>
      </c>
    </row>
    <row r="94" spans="1:62" s="4" customFormat="1" x14ac:dyDescent="0.2">
      <c r="A94" s="46" t="s">
        <v>44</v>
      </c>
      <c r="B94" s="5">
        <v>0.27577164466275261</v>
      </c>
      <c r="C94" s="5">
        <v>2.217355782608298E-2</v>
      </c>
      <c r="D94" s="5">
        <v>3.5939764421413056E-2</v>
      </c>
      <c r="E94" s="5">
        <v>1.6616733533800668E-2</v>
      </c>
      <c r="F94" s="5">
        <v>6.6833125519211403E-2</v>
      </c>
      <c r="G94" s="5">
        <v>1.8381580454357015E-2</v>
      </c>
      <c r="H94" s="5">
        <v>1.0553040636075775E-2</v>
      </c>
      <c r="I94" s="5">
        <v>7.3626874622427455E-3</v>
      </c>
      <c r="J94" s="82">
        <v>0.35852455053083226</v>
      </c>
      <c r="K94" s="10"/>
      <c r="L94" s="51"/>
      <c r="M94" s="16"/>
      <c r="N94" s="16"/>
      <c r="P94" s="5">
        <v>0.28160255680657542</v>
      </c>
      <c r="Q94" s="5">
        <v>2.217355782608298E-2</v>
      </c>
      <c r="R94" s="5">
        <v>3.8297084310253637E-2</v>
      </c>
      <c r="S94" s="5">
        <v>1.6616733533800526E-2</v>
      </c>
      <c r="T94" s="5">
        <v>6.6833125519211403E-2</v>
      </c>
      <c r="U94" s="5">
        <v>1.8381580454357033E-2</v>
      </c>
      <c r="V94" s="5">
        <v>1.0578122076562869E-2</v>
      </c>
      <c r="W94" s="5">
        <v>7.401970458375708E-3</v>
      </c>
      <c r="X94" s="82">
        <v>0.36870375981267267</v>
      </c>
      <c r="Y94" s="10"/>
      <c r="Z94" s="51"/>
      <c r="AA94" s="16"/>
      <c r="AB94" s="16"/>
      <c r="AD94" s="5">
        <v>0.28201063809721755</v>
      </c>
      <c r="AE94" s="5">
        <v>2.7537852736429922E-2</v>
      </c>
      <c r="AF94" s="5">
        <v>3.4034296427769506E-2</v>
      </c>
      <c r="AG94" s="5">
        <v>1.6427898019324729E-2</v>
      </c>
      <c r="AH94" s="5">
        <v>6.6833125519211403E-2</v>
      </c>
      <c r="AI94" s="5">
        <v>1.8052608306465479E-2</v>
      </c>
      <c r="AJ94" s="5">
        <v>1.0433080401619964E-2</v>
      </c>
      <c r="AK94" s="5">
        <v>7.32455914486781E-3</v>
      </c>
      <c r="AL94" s="82">
        <v>0.36897008008780163</v>
      </c>
      <c r="AM94" s="10"/>
      <c r="AN94" s="51"/>
      <c r="AO94" s="16"/>
      <c r="AP94" s="16"/>
      <c r="AR94" s="5">
        <v>0.30677141327053464</v>
      </c>
      <c r="AS94" s="5">
        <v>2.3851974062258717E-2</v>
      </c>
      <c r="AT94" s="5">
        <v>3.5273928048914174E-2</v>
      </c>
      <c r="AU94" s="5">
        <v>1.6132265804901715E-2</v>
      </c>
      <c r="AV94" s="5">
        <v>7.1742595436742065E-2</v>
      </c>
      <c r="AW94" s="5">
        <v>1.7644640357154743E-2</v>
      </c>
      <c r="AX94" s="5">
        <v>1.0436314802968848E-2</v>
      </c>
      <c r="AY94" s="5">
        <v>7.3257536586119635E-3</v>
      </c>
      <c r="AZ94" s="82">
        <v>0.40289814676499519</v>
      </c>
      <c r="BA94" s="10"/>
      <c r="BB94" s="51"/>
      <c r="BC94" s="16"/>
      <c r="BD94" s="16"/>
    </row>
    <row r="95" spans="1:62" s="4" customFormat="1" x14ac:dyDescent="0.2">
      <c r="A95" s="46" t="s">
        <v>59</v>
      </c>
      <c r="B95" s="5">
        <v>58.603999999999999</v>
      </c>
      <c r="C95" s="5">
        <v>8.7239999999999984</v>
      </c>
      <c r="D95" s="5">
        <v>10.491999999999999</v>
      </c>
      <c r="E95" s="5">
        <v>9.7379999999999994E-2</v>
      </c>
      <c r="F95" s="5">
        <v>20.768000000000001</v>
      </c>
      <c r="G95" s="5">
        <v>0.38750000000000001</v>
      </c>
      <c r="H95" s="5">
        <v>0.11801999999999999</v>
      </c>
      <c r="I95" s="5">
        <v>3.2820000000000002E-2</v>
      </c>
      <c r="J95" s="82">
        <v>99.223780000000005</v>
      </c>
      <c r="K95" s="10">
        <v>0.14453898621867467</v>
      </c>
      <c r="L95" s="51">
        <v>1165.9771050546174</v>
      </c>
      <c r="M95" s="16">
        <v>-1.4672849317821821</v>
      </c>
      <c r="N95" s="16">
        <v>-1.1950507129401498</v>
      </c>
      <c r="P95" s="5">
        <v>60.463999999999999</v>
      </c>
      <c r="Q95" s="5">
        <v>8.7840000000000007</v>
      </c>
      <c r="R95" s="5">
        <v>10.34</v>
      </c>
      <c r="S95" s="5">
        <v>9.7480000000000011E-2</v>
      </c>
      <c r="T95" s="5">
        <v>21.440000000000005</v>
      </c>
      <c r="U95" s="5">
        <v>0.38772000000000001</v>
      </c>
      <c r="V95" s="5">
        <v>0.1182</v>
      </c>
      <c r="W95" s="5">
        <v>3.2899999999999999E-2</v>
      </c>
      <c r="X95" s="82">
        <v>101.66422</v>
      </c>
      <c r="Y95" s="10">
        <v>0.12775349487380955</v>
      </c>
      <c r="Z95" s="51">
        <v>1190.5809460403193</v>
      </c>
      <c r="AA95" s="16">
        <v>-1.7755247245413366</v>
      </c>
      <c r="AB95" s="16">
        <v>-1.498727417175485</v>
      </c>
      <c r="AD95" s="5">
        <v>59.652000000000008</v>
      </c>
      <c r="AE95" s="5">
        <v>8.718</v>
      </c>
      <c r="AF95" s="5">
        <v>10.3</v>
      </c>
      <c r="AG95" s="5">
        <v>9.6520000000000009E-2</v>
      </c>
      <c r="AH95" s="5">
        <v>21.118000000000002</v>
      </c>
      <c r="AI95" s="5">
        <v>0.38002000000000002</v>
      </c>
      <c r="AJ95" s="5">
        <v>0.11638000000000001</v>
      </c>
      <c r="AK95" s="5">
        <v>3.2439999999999997E-2</v>
      </c>
      <c r="AL95" s="82">
        <v>100.41326000000001</v>
      </c>
      <c r="AM95" s="10">
        <v>0.1273027065987388</v>
      </c>
      <c r="AN95" s="51">
        <v>1176.6237271575469</v>
      </c>
      <c r="AO95" s="16">
        <v>-1.7497545364243345</v>
      </c>
      <c r="AP95" s="16">
        <v>-1.4707496330924164</v>
      </c>
      <c r="AR95" s="5">
        <v>59.811999999999998</v>
      </c>
      <c r="AS95" s="5">
        <v>8.6278000000000006</v>
      </c>
      <c r="AT95" s="5">
        <v>10.130199999999999</v>
      </c>
      <c r="AU95" s="5">
        <v>9.459999999999999E-2</v>
      </c>
      <c r="AV95" s="5">
        <v>21.271000000000001</v>
      </c>
      <c r="AW95" s="5">
        <v>0.37319999999999998</v>
      </c>
      <c r="AX95" s="5">
        <v>0.11439999999999999</v>
      </c>
      <c r="AY95" s="5">
        <v>3.2600000000000004E-2</v>
      </c>
      <c r="AZ95" s="82">
        <v>100.4558</v>
      </c>
      <c r="BA95" s="10">
        <v>0.13124641981942112</v>
      </c>
      <c r="BB95" s="51">
        <v>1211.8773142808814</v>
      </c>
      <c r="BC95" s="16">
        <v>-1.7699010101196124</v>
      </c>
      <c r="BD95" s="16">
        <v>-1.4966530857579494</v>
      </c>
    </row>
    <row r="96" spans="1:62" s="4" customFormat="1" x14ac:dyDescent="0.2">
      <c r="A96" s="46" t="s">
        <v>44</v>
      </c>
      <c r="B96" s="5">
        <v>0.29305289624912395</v>
      </c>
      <c r="C96" s="5">
        <v>5.1283525619832009E-2</v>
      </c>
      <c r="D96" s="5">
        <v>0.11476062042355768</v>
      </c>
      <c r="E96" s="5">
        <v>7.3165565671291033E-3</v>
      </c>
      <c r="F96" s="5">
        <v>0.11562871615649765</v>
      </c>
      <c r="G96" s="5">
        <v>1.459897256658836E-2</v>
      </c>
      <c r="H96" s="5">
        <v>1.1821886482283618E-2</v>
      </c>
      <c r="I96" s="5">
        <v>7.9521695152957993E-3</v>
      </c>
      <c r="J96" s="82">
        <v>0.29832644368208533</v>
      </c>
      <c r="K96" s="10"/>
      <c r="L96" s="51"/>
      <c r="M96" s="16"/>
      <c r="N96" s="16"/>
      <c r="P96" s="5">
        <v>0.29904849105119907</v>
      </c>
      <c r="Q96" s="5">
        <v>5.1283525619832133E-2</v>
      </c>
      <c r="R96" s="5">
        <v>0.11224972160321779</v>
      </c>
      <c r="S96" s="5">
        <v>7.3165565671291025E-3</v>
      </c>
      <c r="T96" s="5">
        <v>0.1199999999999992</v>
      </c>
      <c r="U96" s="5">
        <v>1.4570415230871091E-2</v>
      </c>
      <c r="V96" s="5">
        <v>1.1789189963691311E-2</v>
      </c>
      <c r="W96" s="5">
        <v>7.941977083824929E-3</v>
      </c>
      <c r="X96" s="82">
        <v>0.30930621881882481</v>
      </c>
      <c r="Y96" s="10"/>
      <c r="Z96" s="51"/>
      <c r="AA96" s="16"/>
      <c r="AB96" s="16"/>
      <c r="AD96" s="5">
        <v>0.29566873355158646</v>
      </c>
      <c r="AE96" s="5">
        <v>5.6302753041036692E-2</v>
      </c>
      <c r="AF96" s="5">
        <v>0.11224972160321854</v>
      </c>
      <c r="AG96" s="5">
        <v>7.2337403879320986E-3</v>
      </c>
      <c r="AH96" s="5">
        <v>0.11562871615649817</v>
      </c>
      <c r="AI96" s="5">
        <v>1.4285377138878765E-2</v>
      </c>
      <c r="AJ96" s="5">
        <v>1.1659631212006664E-2</v>
      </c>
      <c r="AK96" s="5">
        <v>7.8315388015383312E-3</v>
      </c>
      <c r="AL96" s="82">
        <v>0.30539345605300616</v>
      </c>
      <c r="AM96" s="10"/>
      <c r="AN96" s="51"/>
      <c r="AO96" s="16"/>
      <c r="AP96" s="16"/>
      <c r="AR96" s="5">
        <v>0.32076081431496434</v>
      </c>
      <c r="AS96" s="5">
        <v>5.249476164342496E-2</v>
      </c>
      <c r="AT96" s="5">
        <v>0.11103467926733532</v>
      </c>
      <c r="AU96" s="5">
        <v>7.1972216861786341E-3</v>
      </c>
      <c r="AV96" s="5">
        <v>0.11919941275023069</v>
      </c>
      <c r="AW96" s="5">
        <v>1.4113823011501892E-2</v>
      </c>
      <c r="AX96" s="5">
        <v>1.152388823271035E-2</v>
      </c>
      <c r="AY96" s="5">
        <v>8.2036577207974717E-3</v>
      </c>
      <c r="AZ96" s="82">
        <v>0.33305735241846801</v>
      </c>
      <c r="BA96" s="10"/>
      <c r="BB96" s="51"/>
      <c r="BC96" s="16"/>
      <c r="BD96" s="16"/>
    </row>
    <row r="97" spans="1:62" s="4" customFormat="1" x14ac:dyDescent="0.2">
      <c r="A97" s="46" t="s">
        <v>60</v>
      </c>
      <c r="B97" s="5">
        <v>58.673999999999999</v>
      </c>
      <c r="C97" s="5">
        <v>8.5659999999999989</v>
      </c>
      <c r="D97" s="5">
        <v>10.577999999999999</v>
      </c>
      <c r="E97" s="5">
        <v>8.5599999999999982E-2</v>
      </c>
      <c r="F97" s="5">
        <v>20.721999999999998</v>
      </c>
      <c r="G97" s="5">
        <v>0.40234000000000003</v>
      </c>
      <c r="H97" s="5">
        <v>0.11956</v>
      </c>
      <c r="I97" s="5">
        <v>3.1580000000000004E-2</v>
      </c>
      <c r="J97" s="82">
        <v>99.179180000000002</v>
      </c>
      <c r="K97" s="10">
        <v>0.14537446477281799</v>
      </c>
      <c r="L97" s="51">
        <v>1151.9606058778318</v>
      </c>
      <c r="M97" s="16">
        <v>-1.4215141509789486</v>
      </c>
      <c r="N97" s="16">
        <v>-1.1465722426891851</v>
      </c>
      <c r="P97" s="5">
        <v>60.535999999999987</v>
      </c>
      <c r="Q97" s="5">
        <v>8.6219999999999999</v>
      </c>
      <c r="R97" s="5">
        <v>10.426</v>
      </c>
      <c r="S97" s="5">
        <v>8.5680000000000006E-2</v>
      </c>
      <c r="T97" s="5">
        <v>21.389999999999997</v>
      </c>
      <c r="U97" s="5">
        <v>0.40254000000000001</v>
      </c>
      <c r="V97" s="5">
        <v>0.11972000000000001</v>
      </c>
      <c r="W97" s="5">
        <v>3.1619999999999995E-2</v>
      </c>
      <c r="X97" s="82">
        <v>101.61346</v>
      </c>
      <c r="Y97" s="10">
        <v>0.12832036705517103</v>
      </c>
      <c r="Z97" s="51">
        <v>1175.282399692313</v>
      </c>
      <c r="AA97" s="16">
        <v>-1.7305530695862945</v>
      </c>
      <c r="AB97" s="16">
        <v>-1.4505329704995074</v>
      </c>
      <c r="AD97" s="5">
        <v>59.722000000000001</v>
      </c>
      <c r="AE97" s="5">
        <v>8.5560000000000009</v>
      </c>
      <c r="AF97" s="5">
        <v>10.385999999999999</v>
      </c>
      <c r="AG97" s="5">
        <v>8.4860000000000005E-2</v>
      </c>
      <c r="AH97" s="5">
        <v>21.068000000000001</v>
      </c>
      <c r="AI97" s="5">
        <v>0.39454</v>
      </c>
      <c r="AJ97" s="5">
        <v>0.11786000000000001</v>
      </c>
      <c r="AK97" s="5">
        <v>3.1200000000000006E-2</v>
      </c>
      <c r="AL97" s="82">
        <v>100.36037999999999</v>
      </c>
      <c r="AM97" s="10">
        <v>0.12795501158871583</v>
      </c>
      <c r="AN97" s="51">
        <v>1161.6072356044938</v>
      </c>
      <c r="AO97" s="16">
        <v>-1.7034811986486751</v>
      </c>
      <c r="AP97" s="16">
        <v>-1.4213422487064831</v>
      </c>
      <c r="AR97" s="5">
        <v>59.879600000000003</v>
      </c>
      <c r="AS97" s="5">
        <v>8.4689999999999994</v>
      </c>
      <c r="AT97" s="5">
        <v>10.212</v>
      </c>
      <c r="AU97" s="5">
        <v>8.3199999999999996E-2</v>
      </c>
      <c r="AV97" s="5">
        <v>21.221</v>
      </c>
      <c r="AW97" s="5">
        <v>0.38759999999999994</v>
      </c>
      <c r="AX97" s="5">
        <v>0.11579999999999999</v>
      </c>
      <c r="AY97" s="5">
        <v>3.1600000000000003E-2</v>
      </c>
      <c r="AZ97" s="82">
        <v>100.3998</v>
      </c>
      <c r="BA97" s="10">
        <v>0.13164965407697765</v>
      </c>
      <c r="BB97" s="51">
        <v>1196.23004613992</v>
      </c>
      <c r="BC97" s="16">
        <v>-1.7277274443989401</v>
      </c>
      <c r="BD97" s="16">
        <v>-1.4511577624801388</v>
      </c>
    </row>
    <row r="98" spans="1:62" s="4" customFormat="1" x14ac:dyDescent="0.2">
      <c r="A98" s="46" t="s">
        <v>44</v>
      </c>
      <c r="B98" s="5">
        <v>0.22523321247098568</v>
      </c>
      <c r="C98" s="5">
        <v>3.9749213828703542E-2</v>
      </c>
      <c r="D98" s="5">
        <v>7.6288924491042534E-2</v>
      </c>
      <c r="E98" s="5">
        <v>8.745856161634492E-3</v>
      </c>
      <c r="F98" s="5">
        <v>5.6302753041037108E-2</v>
      </c>
      <c r="G98" s="5">
        <v>2.2431740904352477E-2</v>
      </c>
      <c r="H98" s="5">
        <v>3.6452709089997699E-3</v>
      </c>
      <c r="I98" s="5">
        <v>8.9876025724327478E-3</v>
      </c>
      <c r="J98" s="82">
        <v>0.27352362238021982</v>
      </c>
      <c r="K98" s="10"/>
      <c r="L98" s="51"/>
      <c r="M98" s="16"/>
      <c r="N98" s="16"/>
      <c r="P98" s="5">
        <v>0.23222833591101569</v>
      </c>
      <c r="Q98" s="5">
        <v>4.2071367935925273E-2</v>
      </c>
      <c r="R98" s="5">
        <v>7.5033325929216008E-2</v>
      </c>
      <c r="S98" s="5">
        <v>8.7542561077455366E-3</v>
      </c>
      <c r="T98" s="5">
        <v>5.9581876439065588E-2</v>
      </c>
      <c r="U98" s="5">
        <v>2.243174090435247E-2</v>
      </c>
      <c r="V98" s="5">
        <v>3.6279470778940522E-3</v>
      </c>
      <c r="W98" s="5">
        <v>8.9984443099904842E-3</v>
      </c>
      <c r="X98" s="82">
        <v>0.27745483956852968</v>
      </c>
      <c r="Y98" s="10"/>
      <c r="Z98" s="51"/>
      <c r="AA98" s="16"/>
      <c r="AB98" s="16"/>
      <c r="AD98" s="5">
        <v>0.22753021777337615</v>
      </c>
      <c r="AE98" s="5">
        <v>3.9749213828703535E-2</v>
      </c>
      <c r="AF98" s="5">
        <v>7.503332592921623E-2</v>
      </c>
      <c r="AG98" s="5">
        <v>8.6791704672739313E-3</v>
      </c>
      <c r="AH98" s="5">
        <v>5.6745043836444693E-2</v>
      </c>
      <c r="AI98" s="5">
        <v>2.1986882452953622E-2</v>
      </c>
      <c r="AJ98" s="5">
        <v>3.5934662931492744E-3</v>
      </c>
      <c r="AK98" s="5">
        <v>8.8789075904640302E-3</v>
      </c>
      <c r="AL98" s="82">
        <v>0.27149456163982522</v>
      </c>
      <c r="AM98" s="10"/>
      <c r="AN98" s="51"/>
      <c r="AO98" s="16"/>
      <c r="AP98" s="16"/>
      <c r="AR98" s="5">
        <v>0.25114597348952356</v>
      </c>
      <c r="AS98" s="5">
        <v>3.8813657390151149E-2</v>
      </c>
      <c r="AT98" s="5">
        <v>7.5528140451092685E-2</v>
      </c>
      <c r="AU98" s="5">
        <v>8.3186537372341631E-3</v>
      </c>
      <c r="AV98" s="5">
        <v>5.8021547721515437E-2</v>
      </c>
      <c r="AW98" s="5">
        <v>2.1663333076883621E-2</v>
      </c>
      <c r="AX98" s="5">
        <v>3.7013511046643469E-3</v>
      </c>
      <c r="AY98" s="5">
        <v>8.8769364084688562E-3</v>
      </c>
      <c r="AZ98" s="82">
        <v>0.30238584622961229</v>
      </c>
      <c r="BA98" s="10"/>
      <c r="BB98" s="51"/>
      <c r="BC98" s="16"/>
      <c r="BD98" s="16"/>
    </row>
    <row r="99" spans="1:62" s="4" customFormat="1" x14ac:dyDescent="0.2">
      <c r="A99" s="46" t="s">
        <v>61</v>
      </c>
      <c r="B99" s="5">
        <v>58.711999999999989</v>
      </c>
      <c r="C99" s="5">
        <v>8.4420000000000002</v>
      </c>
      <c r="D99" s="5">
        <v>10.423999999999999</v>
      </c>
      <c r="E99" s="5">
        <v>9.6159999999999995E-2</v>
      </c>
      <c r="F99" s="5">
        <v>20.744</v>
      </c>
      <c r="G99" s="5">
        <v>0.38125999999999999</v>
      </c>
      <c r="H99" s="5">
        <v>0.11826</v>
      </c>
      <c r="I99" s="5">
        <v>2.802E-2</v>
      </c>
      <c r="J99" s="82">
        <v>98.945780000000013</v>
      </c>
      <c r="K99" s="10">
        <v>0.1422986780299634</v>
      </c>
      <c r="L99" s="51">
        <v>1163.3423761458384</v>
      </c>
      <c r="M99" s="16">
        <v>-1.4928767994986696</v>
      </c>
      <c r="N99" s="16">
        <v>-1.2166005054821039</v>
      </c>
      <c r="P99" s="5">
        <v>60.573999999999998</v>
      </c>
      <c r="Q99" s="5">
        <v>8.5</v>
      </c>
      <c r="R99" s="5">
        <v>10.274000000000001</v>
      </c>
      <c r="S99" s="5">
        <v>9.6240000000000006E-2</v>
      </c>
      <c r="T99" s="5">
        <v>21.413999999999998</v>
      </c>
      <c r="U99" s="5">
        <v>0.38145999999999997</v>
      </c>
      <c r="V99" s="5">
        <v>0.11844000000000002</v>
      </c>
      <c r="W99" s="5">
        <v>2.8060000000000002E-2</v>
      </c>
      <c r="X99" s="82">
        <v>101.38614</v>
      </c>
      <c r="Y99" s="10">
        <v>0.12521649841154645</v>
      </c>
      <c r="Z99" s="51">
        <v>1187.5173492370814</v>
      </c>
      <c r="AA99" s="16">
        <v>-1.8084088861582197</v>
      </c>
      <c r="AB99" s="16">
        <v>-1.5275627390680899</v>
      </c>
      <c r="AD99" s="5">
        <v>59.751999999999995</v>
      </c>
      <c r="AE99" s="5">
        <v>8.4340000000000011</v>
      </c>
      <c r="AF99" s="5">
        <v>10.234</v>
      </c>
      <c r="AG99" s="5">
        <v>9.530000000000001E-2</v>
      </c>
      <c r="AH99" s="5">
        <v>21.09</v>
      </c>
      <c r="AI99" s="5">
        <v>0.37384000000000001</v>
      </c>
      <c r="AJ99" s="5">
        <v>0.1166</v>
      </c>
      <c r="AK99" s="5">
        <v>2.768E-2</v>
      </c>
      <c r="AL99" s="82">
        <v>100.12336000000001</v>
      </c>
      <c r="AM99" s="10">
        <v>0.1249758725090661</v>
      </c>
      <c r="AN99" s="51">
        <v>1173.7298939914199</v>
      </c>
      <c r="AO99" s="16">
        <v>-1.7797208695813969</v>
      </c>
      <c r="AP99" s="16">
        <v>-1.496705885143065</v>
      </c>
      <c r="AR99" s="5">
        <v>59.894000000000005</v>
      </c>
      <c r="AS99" s="5">
        <v>8.3464000000000009</v>
      </c>
      <c r="AT99" s="5">
        <v>10.063600000000001</v>
      </c>
      <c r="AU99" s="5">
        <v>9.3599999999999989E-2</v>
      </c>
      <c r="AV99" s="5">
        <v>21.241800000000001</v>
      </c>
      <c r="AW99" s="5">
        <v>0.36719999999999997</v>
      </c>
      <c r="AX99" s="5">
        <v>0.11459999999999999</v>
      </c>
      <c r="AY99" s="5">
        <v>2.8200000000000003E-2</v>
      </c>
      <c r="AZ99" s="82">
        <v>100.14939999999999</v>
      </c>
      <c r="BA99" s="10">
        <v>0.12946280160762602</v>
      </c>
      <c r="BB99" s="51">
        <v>1210.3199585410216</v>
      </c>
      <c r="BC99" s="16">
        <v>-1.7936608065954762</v>
      </c>
      <c r="BD99" s="16">
        <v>-1.5170349117104065</v>
      </c>
    </row>
    <row r="100" spans="1:62" s="4" customFormat="1" x14ac:dyDescent="0.2">
      <c r="A100" s="46" t="s">
        <v>44</v>
      </c>
      <c r="B100" s="5">
        <v>0.3627257917490847</v>
      </c>
      <c r="C100" s="5">
        <v>3.4928498393145956E-2</v>
      </c>
      <c r="D100" s="5">
        <v>0.24855582873873613</v>
      </c>
      <c r="E100" s="5">
        <v>1.0062951853208877E-2</v>
      </c>
      <c r="F100" s="5">
        <v>7.0922492905988094E-2</v>
      </c>
      <c r="G100" s="5">
        <v>2.2706232624546064E-2</v>
      </c>
      <c r="H100" s="5">
        <v>5.7190908368376188E-3</v>
      </c>
      <c r="I100" s="5">
        <v>5.142664678938343E-3</v>
      </c>
      <c r="J100" s="82">
        <v>0.13225640627205765</v>
      </c>
      <c r="K100" s="10"/>
      <c r="L100" s="51"/>
      <c r="M100" s="16"/>
      <c r="N100" s="16"/>
      <c r="P100" s="5">
        <v>0.37280021459221147</v>
      </c>
      <c r="Q100" s="5">
        <v>3.6742346141747616E-2</v>
      </c>
      <c r="R100" s="5">
        <v>0.24855582873873619</v>
      </c>
      <c r="S100" s="5">
        <v>1.0069409118711984E-2</v>
      </c>
      <c r="T100" s="5">
        <v>7.0922492905988871E-2</v>
      </c>
      <c r="U100" s="5">
        <v>2.2706232624546064E-2</v>
      </c>
      <c r="V100" s="5">
        <v>5.7561271702421613E-3</v>
      </c>
      <c r="W100" s="5">
        <v>5.1369251503209585E-3</v>
      </c>
      <c r="X100" s="82">
        <v>0.13428552788741108</v>
      </c>
      <c r="Y100" s="10"/>
      <c r="Z100" s="51"/>
      <c r="AA100" s="16"/>
      <c r="AB100" s="16"/>
      <c r="AD100" s="5">
        <v>0.36286361074100465</v>
      </c>
      <c r="AE100" s="5">
        <v>3.3615472627943246E-2</v>
      </c>
      <c r="AF100" s="5">
        <v>0.24855582873873613</v>
      </c>
      <c r="AG100" s="5">
        <v>9.9609236519511597E-3</v>
      </c>
      <c r="AH100" s="5">
        <v>7.1763500472036945E-2</v>
      </c>
      <c r="AI100" s="5">
        <v>2.2250910093746735E-2</v>
      </c>
      <c r="AJ100" s="5">
        <v>5.6736231810017137E-3</v>
      </c>
      <c r="AK100" s="5">
        <v>5.1011763349251126E-3</v>
      </c>
      <c r="AL100" s="82">
        <v>0.138411805854848</v>
      </c>
      <c r="AM100" s="10"/>
      <c r="AN100" s="51"/>
      <c r="AO100" s="16"/>
      <c r="AP100" s="16"/>
      <c r="AR100" s="5">
        <v>0.37039235953243016</v>
      </c>
      <c r="AS100" s="5">
        <v>3.4319090897050451E-2</v>
      </c>
      <c r="AT100" s="5">
        <v>0.24253102894268999</v>
      </c>
      <c r="AU100" s="5">
        <v>9.5812316536027873E-3</v>
      </c>
      <c r="AV100" s="5">
        <v>7.1555572808831375E-2</v>
      </c>
      <c r="AW100" s="5">
        <v>2.1649480363278947E-2</v>
      </c>
      <c r="AX100" s="5">
        <v>5.5946402922797452E-3</v>
      </c>
      <c r="AY100" s="5">
        <v>5.1672042731055251E-3</v>
      </c>
      <c r="AZ100" s="82">
        <v>0.14829126744350199</v>
      </c>
      <c r="BA100" s="10"/>
      <c r="BB100" s="51"/>
      <c r="BC100" s="16"/>
      <c r="BD100" s="16"/>
    </row>
    <row r="101" spans="1:62" s="4" customFormat="1" ht="6.75" customHeight="1" x14ac:dyDescent="0.2">
      <c r="A101" s="46"/>
      <c r="J101" s="82"/>
      <c r="K101" s="10"/>
      <c r="M101" s="16"/>
      <c r="N101" s="16"/>
      <c r="X101" s="82"/>
      <c r="Y101" s="10"/>
      <c r="Z101" s="49"/>
      <c r="AA101" s="16"/>
      <c r="AB101" s="16"/>
      <c r="AL101" s="82"/>
      <c r="AM101" s="10"/>
      <c r="AO101" s="16"/>
      <c r="AP101" s="16"/>
      <c r="AZ101" s="82"/>
      <c r="BA101" s="10"/>
      <c r="BC101" s="16"/>
      <c r="BD101" s="16"/>
    </row>
    <row r="102" spans="1:62" s="4" customFormat="1" x14ac:dyDescent="0.2">
      <c r="A102" s="46" t="s">
        <v>41</v>
      </c>
      <c r="B102" s="5">
        <v>58.6175</v>
      </c>
      <c r="C102" s="5">
        <v>8.5984999999999996</v>
      </c>
      <c r="D102" s="5">
        <v>10.525500000000001</v>
      </c>
      <c r="E102" s="5">
        <v>9.4424999999999981E-2</v>
      </c>
      <c r="F102" s="5">
        <v>20.759499999999999</v>
      </c>
      <c r="G102" s="5">
        <v>0.39204</v>
      </c>
      <c r="H102" s="5">
        <v>0.11654999999999999</v>
      </c>
      <c r="I102" s="5">
        <v>3.0330000000000003E-2</v>
      </c>
      <c r="J102" s="82">
        <v>99.134425000000007</v>
      </c>
      <c r="K102" s="10">
        <v>0.14902771310919044</v>
      </c>
      <c r="L102" s="51">
        <v>1167.1342762401241</v>
      </c>
      <c r="M102" s="16">
        <v>-1.4075255252101362</v>
      </c>
      <c r="N102" s="16">
        <v>-1.1359625409933782</v>
      </c>
      <c r="P102" s="5">
        <v>60.478499999999997</v>
      </c>
      <c r="Q102" s="5">
        <v>8.657</v>
      </c>
      <c r="R102" s="5">
        <v>10.3735</v>
      </c>
      <c r="S102" s="5">
        <v>9.4515000000000016E-2</v>
      </c>
      <c r="T102" s="5">
        <v>21.429500000000001</v>
      </c>
      <c r="U102" s="5">
        <v>0.39224500000000001</v>
      </c>
      <c r="V102" s="5">
        <v>0.116715</v>
      </c>
      <c r="W102" s="5">
        <v>3.0384999999999999E-2</v>
      </c>
      <c r="X102" s="82">
        <v>101.57228499999999</v>
      </c>
      <c r="Y102" s="10">
        <v>0.13213736628106459</v>
      </c>
      <c r="Z102" s="49">
        <v>1191.3413555363936</v>
      </c>
      <c r="AA102" s="16">
        <v>-1.7096069812758907</v>
      </c>
      <c r="AB102" s="16">
        <v>-1.4333272353982593</v>
      </c>
      <c r="AD102" s="5">
        <v>59.662999999999997</v>
      </c>
      <c r="AE102" s="5">
        <v>8.5910000000000011</v>
      </c>
      <c r="AF102" s="5">
        <v>10.333</v>
      </c>
      <c r="AG102" s="5">
        <v>9.3595000000000012E-2</v>
      </c>
      <c r="AH102" s="5">
        <v>21.107500000000002</v>
      </c>
      <c r="AI102" s="5">
        <v>0.38444</v>
      </c>
      <c r="AJ102" s="5">
        <v>0.11492000000000001</v>
      </c>
      <c r="AK102" s="5">
        <v>2.997E-2</v>
      </c>
      <c r="AL102" s="82">
        <v>100.31734500000002</v>
      </c>
      <c r="AM102" s="10">
        <v>0.13182449019408213</v>
      </c>
      <c r="AN102" s="49">
        <v>1177.5873823217744</v>
      </c>
      <c r="AO102" s="16">
        <v>-1.6820803345938409</v>
      </c>
      <c r="AP102" s="16">
        <v>-1.403673656590037</v>
      </c>
      <c r="AR102" s="5">
        <v>59.817599999999999</v>
      </c>
      <c r="AS102" s="5">
        <v>8.5024999999999995</v>
      </c>
      <c r="AT102" s="5">
        <v>10.16175</v>
      </c>
      <c r="AU102" s="5">
        <v>9.1799999999999993E-2</v>
      </c>
      <c r="AV102" s="5">
        <v>21.259799999999998</v>
      </c>
      <c r="AW102" s="5">
        <v>0.37764999999999999</v>
      </c>
      <c r="AX102" s="5">
        <v>0.11294999999999999</v>
      </c>
      <c r="AY102" s="5">
        <v>3.0300000000000004E-2</v>
      </c>
      <c r="AZ102" s="82">
        <v>100.35435</v>
      </c>
      <c r="BA102" s="10">
        <v>0.1358525932292039</v>
      </c>
      <c r="BB102" s="49">
        <v>1213.2962811498851</v>
      </c>
      <c r="BC102" s="16">
        <v>-1.7035224520004093</v>
      </c>
      <c r="BD102" s="16">
        <v>-1.431019801525526</v>
      </c>
      <c r="BF102" s="28">
        <f>AVERAGE(K102, Y102, AM102, BA102)</f>
        <v>0.13721054070338529</v>
      </c>
      <c r="BG102" s="29">
        <f>AVERAGE(M102, AA102, AO102, BC102)</f>
        <v>-1.6256838232700692</v>
      </c>
      <c r="BH102" s="29">
        <f>AVERAGE(N102, AB102, AP102, BD102)</f>
        <v>-1.3509958086268001</v>
      </c>
      <c r="BJ102" s="32">
        <f>BF102-BF91</f>
        <v>4.3579755845599505E-2</v>
      </c>
    </row>
    <row r="103" spans="1:62" s="4" customFormat="1" x14ac:dyDescent="0.2">
      <c r="A103" s="4" t="s">
        <v>44</v>
      </c>
      <c r="B103" s="5">
        <v>0.10199836599998185</v>
      </c>
      <c r="C103" s="5">
        <v>0.12292409582068589</v>
      </c>
      <c r="D103" s="5">
        <v>8.3640102024487809E-2</v>
      </c>
      <c r="E103" s="5">
        <v>5.9643692038638986E-3</v>
      </c>
      <c r="F103" s="5">
        <v>3.5114099732160627E-2</v>
      </c>
      <c r="G103" s="5">
        <v>9.4535778059596943E-3</v>
      </c>
      <c r="H103" s="5">
        <v>4.1817540179530785E-3</v>
      </c>
      <c r="I103" s="5">
        <v>2.246745794847889E-3</v>
      </c>
      <c r="J103" s="82">
        <v>0.12721154075003763</v>
      </c>
      <c r="K103" s="16">
        <f>STDEVA(K93, K95, K97, K99)</f>
        <v>9.9113811989260375E-3</v>
      </c>
      <c r="L103" s="54">
        <f>STDEVA(L93, L95, L97, L99)</f>
        <v>14.961778735890015</v>
      </c>
      <c r="M103" s="16">
        <f t="shared" ref="M103:N103" si="36">STDEVA(M93, M95, M97, M99)</f>
        <v>0.10374125067171991</v>
      </c>
      <c r="N103" s="16">
        <f t="shared" si="36"/>
        <v>9.807401501457054E-2</v>
      </c>
      <c r="P103" s="5">
        <v>0.10298705420261846</v>
      </c>
      <c r="Q103" s="5">
        <v>0.12413433583555107</v>
      </c>
      <c r="R103" s="5">
        <v>8.217663901620692E-2</v>
      </c>
      <c r="S103" s="5">
        <v>5.9722999478146318E-3</v>
      </c>
      <c r="T103" s="5">
        <v>3.601388621074162E-2</v>
      </c>
      <c r="U103" s="5">
        <v>9.4503809447027201E-3</v>
      </c>
      <c r="V103" s="5">
        <v>4.1967090281155662E-3</v>
      </c>
      <c r="W103" s="5">
        <v>2.2573361882242209E-3</v>
      </c>
      <c r="X103" s="82">
        <v>0.12597631668955345</v>
      </c>
      <c r="Y103" s="16">
        <f>STDEVA(Y93, Y95, Y97, Y99)</f>
        <v>1.0083282587956988E-2</v>
      </c>
      <c r="Z103" s="54">
        <f>STDEVA(Z93, Z95, Z97, Z99)</f>
        <v>15.509989342616283</v>
      </c>
      <c r="AA103" s="16">
        <f t="shared" ref="AA103:AB103" si="37">STDEVA(AA93, AA95, AA97, AA99)</f>
        <v>0.11963989773981237</v>
      </c>
      <c r="AB103" s="16">
        <f t="shared" si="37"/>
        <v>0.11393129074752702</v>
      </c>
      <c r="AD103" s="5">
        <v>0.10048548817283713</v>
      </c>
      <c r="AE103" s="5">
        <v>0.12413433583555045</v>
      </c>
      <c r="AF103" s="5">
        <v>8.1527091611725402E-2</v>
      </c>
      <c r="AG103" s="5">
        <v>5.9051926302196092E-3</v>
      </c>
      <c r="AH103" s="5">
        <v>3.7143864455205032E-2</v>
      </c>
      <c r="AI103" s="5">
        <v>9.2756455300965351E-3</v>
      </c>
      <c r="AJ103" s="5">
        <v>4.1054435407963732E-3</v>
      </c>
      <c r="AK103" s="5">
        <v>2.2245598815645905E-3</v>
      </c>
      <c r="AL103" s="82">
        <v>0.13128941300297606</v>
      </c>
      <c r="AM103" s="16">
        <f>STDEVA(AM93, AM95, AM97, AM99)</f>
        <v>1.0153066802897725E-2</v>
      </c>
      <c r="AN103" s="54">
        <f>STDEVA(AN93, AN95, AN97, AN99)</f>
        <v>15.565805779852735</v>
      </c>
      <c r="AO103" s="16">
        <f t="shared" ref="AO103:AP103" si="38">STDEVA(AO93, AO95, AO97, AO99)</f>
        <v>0.12005441607386856</v>
      </c>
      <c r="AP103" s="16">
        <f t="shared" si="38"/>
        <v>0.11427212826921239</v>
      </c>
      <c r="AR103" s="5">
        <v>9.5478025395024244E-2</v>
      </c>
      <c r="AS103" s="5">
        <v>0.1229146587406611</v>
      </c>
      <c r="AT103" s="5">
        <v>8.0552653587575934E-2</v>
      </c>
      <c r="AU103" s="5">
        <v>5.8034472514187623E-3</v>
      </c>
      <c r="AV103" s="5">
        <v>3.6670787647207929E-2</v>
      </c>
      <c r="AW103" s="5">
        <v>9.1744209626548039E-3</v>
      </c>
      <c r="AX103" s="5">
        <v>4.0145568456140431E-3</v>
      </c>
      <c r="AY103" s="5">
        <v>2.1322914122292639E-3</v>
      </c>
      <c r="AZ103" s="82">
        <v>0.13872287722891471</v>
      </c>
      <c r="BA103" s="16">
        <f>STDEVA(BA93, BA95, BA97, BA99)</f>
        <v>1.0091081636439949E-2</v>
      </c>
      <c r="BB103" s="54">
        <f>STDEVA(BB93, BB95, BB97, BB99)</f>
        <v>16.210246084777356</v>
      </c>
      <c r="BC103" s="16">
        <f t="shared" ref="BC103:BD103" si="39">STDEVA(BC93, BC95, BC97, BC99)</f>
        <v>0.11570351125454741</v>
      </c>
      <c r="BD103" s="16">
        <f t="shared" si="39"/>
        <v>0.10997602140568728</v>
      </c>
      <c r="BF103" s="28">
        <f>STDEVA(K102, Y102, AM102, BA102)</f>
        <v>8.0877731549793136E-3</v>
      </c>
      <c r="BG103" s="29">
        <f>STDEVA(M102, AA102, AO102, BC102)</f>
        <v>0.14591728030427456</v>
      </c>
      <c r="BH103" s="29">
        <f>STDEVA(N102, AB102, AP102, BD102)</f>
        <v>0.14398676458714788</v>
      </c>
    </row>
    <row r="104" spans="1:62" s="4" customFormat="1" x14ac:dyDescent="0.2">
      <c r="J104" s="82"/>
      <c r="K104" s="10"/>
      <c r="L104" s="51"/>
      <c r="M104" s="16"/>
      <c r="N104" s="16"/>
      <c r="X104" s="82"/>
      <c r="Y104" s="10"/>
      <c r="Z104" s="51"/>
      <c r="AA104" s="16"/>
      <c r="AB104" s="16"/>
      <c r="AL104" s="82"/>
      <c r="AM104" s="10"/>
      <c r="AN104" s="51"/>
      <c r="AO104" s="16"/>
      <c r="AP104" s="16"/>
      <c r="AZ104" s="82"/>
      <c r="BA104" s="10"/>
      <c r="BB104" s="51"/>
      <c r="BC104" s="16"/>
      <c r="BD104" s="16"/>
    </row>
    <row r="105" spans="1:62" s="4" customFormat="1" x14ac:dyDescent="0.2">
      <c r="A105" s="6" t="s">
        <v>102</v>
      </c>
      <c r="J105" s="82"/>
      <c r="K105" s="10"/>
      <c r="L105" s="51"/>
      <c r="M105" s="16"/>
      <c r="N105" s="16"/>
      <c r="X105" s="82"/>
      <c r="Y105" s="10"/>
      <c r="Z105" s="51"/>
      <c r="AA105" s="16"/>
      <c r="AB105" s="16"/>
      <c r="AL105" s="82"/>
      <c r="AM105" s="10"/>
      <c r="AN105" s="51"/>
      <c r="AO105" s="16"/>
      <c r="AP105" s="16"/>
      <c r="AZ105" s="82"/>
      <c r="BA105" s="10"/>
      <c r="BB105" s="51"/>
      <c r="BC105" s="16"/>
      <c r="BD105" s="16"/>
    </row>
    <row r="106" spans="1:62" s="4" customFormat="1" x14ac:dyDescent="0.2">
      <c r="A106" s="22" t="s">
        <v>196</v>
      </c>
      <c r="B106" s="4">
        <v>57.72</v>
      </c>
      <c r="C106" s="4">
        <v>9.92</v>
      </c>
      <c r="D106" s="4">
        <v>10.99</v>
      </c>
      <c r="E106" s="4">
        <v>0.14000000000000001</v>
      </c>
      <c r="F106" s="4">
        <v>20.09</v>
      </c>
      <c r="G106" s="4">
        <v>0.36</v>
      </c>
      <c r="H106" s="4">
        <v>0.1</v>
      </c>
      <c r="J106" s="82"/>
      <c r="K106" s="10">
        <v>0.10611825954128243</v>
      </c>
      <c r="L106" s="51">
        <v>1047.6667595480912</v>
      </c>
      <c r="M106" s="16">
        <v>-1.7789684649561723</v>
      </c>
      <c r="N106" s="16">
        <v>-1.4553032180856675</v>
      </c>
      <c r="P106" s="4">
        <v>57.72</v>
      </c>
      <c r="Q106" s="4">
        <v>9.92</v>
      </c>
      <c r="R106" s="4">
        <v>10.99</v>
      </c>
      <c r="S106" s="4">
        <v>0.14000000000000001</v>
      </c>
      <c r="T106" s="4">
        <v>20.09</v>
      </c>
      <c r="U106" s="4">
        <v>0.36</v>
      </c>
      <c r="V106" s="4">
        <v>0.1</v>
      </c>
      <c r="X106" s="82"/>
      <c r="Y106" s="10">
        <v>0.10611825954128243</v>
      </c>
      <c r="Z106" s="51">
        <v>1047.6667595480912</v>
      </c>
      <c r="AA106" s="16">
        <v>-1.7789684649561723</v>
      </c>
      <c r="AB106" s="16">
        <v>-1.4553032180856675</v>
      </c>
      <c r="AD106" s="4">
        <v>57.72</v>
      </c>
      <c r="AE106" s="4">
        <v>9.92</v>
      </c>
      <c r="AF106" s="4">
        <v>10.99</v>
      </c>
      <c r="AG106" s="4">
        <v>0.14000000000000001</v>
      </c>
      <c r="AH106" s="4">
        <v>20.09</v>
      </c>
      <c r="AI106" s="4">
        <v>0.36</v>
      </c>
      <c r="AJ106" s="4">
        <v>0.1</v>
      </c>
      <c r="AL106" s="82"/>
      <c r="AM106" s="10">
        <v>0.10611825954128243</v>
      </c>
      <c r="AN106" s="51">
        <v>1047.6667595480912</v>
      </c>
      <c r="AO106" s="16">
        <v>-1.7789684649561723</v>
      </c>
      <c r="AP106" s="16">
        <v>-1.4553032180856675</v>
      </c>
      <c r="AR106" s="4">
        <v>57.72</v>
      </c>
      <c r="AS106" s="4">
        <v>9.92</v>
      </c>
      <c r="AT106" s="4">
        <v>10.99</v>
      </c>
      <c r="AU106" s="4">
        <v>0.14000000000000001</v>
      </c>
      <c r="AV106" s="4">
        <v>20.09</v>
      </c>
      <c r="AW106" s="4">
        <v>0.36</v>
      </c>
      <c r="AX106" s="4">
        <v>0.1</v>
      </c>
      <c r="AZ106" s="82"/>
      <c r="BA106" s="10">
        <v>0.10611825954128243</v>
      </c>
      <c r="BB106" s="51">
        <v>1047.6667595480912</v>
      </c>
      <c r="BC106" s="16">
        <v>-1.7789684649561723</v>
      </c>
      <c r="BD106" s="16">
        <v>-1.4553032180856675</v>
      </c>
      <c r="BF106" s="10">
        <f>BA106</f>
        <v>0.10611825954128243</v>
      </c>
      <c r="BG106" s="16">
        <f t="shared" ref="BG106" si="40">BC106</f>
        <v>-1.7789684649561723</v>
      </c>
      <c r="BH106" s="16">
        <f t="shared" ref="BH106" si="41">BD106</f>
        <v>-1.4553032180856675</v>
      </c>
    </row>
    <row r="107" spans="1:62" s="4" customFormat="1" ht="6.75" customHeight="1" x14ac:dyDescent="0.2">
      <c r="J107" s="82"/>
      <c r="K107" s="10"/>
      <c r="L107" s="51"/>
      <c r="M107" s="16"/>
      <c r="N107" s="16"/>
      <c r="X107" s="82"/>
      <c r="Y107" s="10"/>
      <c r="Z107" s="51"/>
      <c r="AA107" s="16"/>
      <c r="AB107" s="16"/>
      <c r="AL107" s="82"/>
      <c r="AM107" s="10"/>
      <c r="AN107" s="51"/>
      <c r="AO107" s="16"/>
      <c r="AP107" s="16"/>
      <c r="AZ107" s="82"/>
      <c r="BA107" s="10"/>
      <c r="BB107" s="51"/>
      <c r="BC107" s="16"/>
      <c r="BD107" s="16"/>
    </row>
    <row r="108" spans="1:62" s="4" customFormat="1" x14ac:dyDescent="0.2">
      <c r="A108" s="4" t="s">
        <v>50</v>
      </c>
      <c r="B108" s="5">
        <v>56.92</v>
      </c>
      <c r="C108" s="5">
        <v>9.895999999999999</v>
      </c>
      <c r="D108" s="5">
        <v>11.006</v>
      </c>
      <c r="E108" s="5">
        <v>9.2179999999999998E-2</v>
      </c>
      <c r="F108" s="5">
        <v>20.46</v>
      </c>
      <c r="G108" s="5">
        <v>0.37314000000000003</v>
      </c>
      <c r="H108" s="5">
        <v>9.0479999999999991E-2</v>
      </c>
      <c r="I108" s="5">
        <v>2.6800000000000001E-2</v>
      </c>
      <c r="J108" s="82">
        <v>98.864659999999986</v>
      </c>
      <c r="K108" s="10">
        <v>0.17670330473296106</v>
      </c>
      <c r="L108" s="51">
        <v>1177.1938093537005</v>
      </c>
      <c r="M108" s="16">
        <v>-1.0757568468122809</v>
      </c>
      <c r="N108" s="16">
        <v>-0.79715719286190723</v>
      </c>
      <c r="P108" s="5">
        <v>58.732000000000006</v>
      </c>
      <c r="Q108" s="5">
        <v>9.9600000000000009</v>
      </c>
      <c r="R108" s="5">
        <v>10.847999999999999</v>
      </c>
      <c r="S108" s="5">
        <v>9.2260000000000009E-2</v>
      </c>
      <c r="T108" s="5">
        <v>21.12</v>
      </c>
      <c r="U108" s="5">
        <v>0.37334000000000001</v>
      </c>
      <c r="V108" s="5">
        <v>9.0620000000000006E-2</v>
      </c>
      <c r="W108" s="5">
        <v>2.6840000000000003E-2</v>
      </c>
      <c r="X108" s="82">
        <v>101.24296000000001</v>
      </c>
      <c r="Y108" s="10">
        <v>0.16153920307143502</v>
      </c>
      <c r="Z108" s="51">
        <v>1201.8927237322969</v>
      </c>
      <c r="AA108" s="16">
        <v>-1.3231803596909726</v>
      </c>
      <c r="AB108" s="16">
        <v>-1.0393130493234022</v>
      </c>
      <c r="AD108" s="5">
        <v>57.974000000000004</v>
      </c>
      <c r="AE108" s="5">
        <v>9.89</v>
      </c>
      <c r="AF108" s="5">
        <v>10.808000000000002</v>
      </c>
      <c r="AG108" s="5">
        <v>9.1439999999999994E-2</v>
      </c>
      <c r="AH108" s="5">
        <v>20.818000000000001</v>
      </c>
      <c r="AI108" s="5">
        <v>0.36599999999999999</v>
      </c>
      <c r="AJ108" s="5">
        <v>8.9260000000000006E-2</v>
      </c>
      <c r="AK108" s="5">
        <v>2.6500000000000003E-2</v>
      </c>
      <c r="AL108" s="82">
        <v>100.06318</v>
      </c>
      <c r="AM108" s="10">
        <v>0.16116465395513654</v>
      </c>
      <c r="AN108" s="51">
        <v>1189.1181418118222</v>
      </c>
      <c r="AO108" s="16">
        <v>-1.2982598342239235</v>
      </c>
      <c r="AP108" s="16">
        <v>-1.0127921731276803</v>
      </c>
      <c r="AR108" s="5">
        <v>58.090999999999994</v>
      </c>
      <c r="AS108" s="5">
        <v>9.7913999999999994</v>
      </c>
      <c r="AT108" s="5">
        <v>10.632200000000001</v>
      </c>
      <c r="AU108" s="5">
        <v>0.09</v>
      </c>
      <c r="AV108" s="5">
        <v>20.958199999999998</v>
      </c>
      <c r="AW108" s="5">
        <v>0.35960000000000003</v>
      </c>
      <c r="AX108" s="5">
        <v>8.7799999999999989E-2</v>
      </c>
      <c r="AY108" s="5">
        <v>2.6799999999999997E-2</v>
      </c>
      <c r="AZ108" s="82">
        <v>100.03700000000001</v>
      </c>
      <c r="BA108" s="10">
        <v>0.16587197427744513</v>
      </c>
      <c r="BB108" s="51">
        <v>1224.360184612066</v>
      </c>
      <c r="BC108" s="16">
        <v>-1.3183582226203878</v>
      </c>
      <c r="BD108" s="16">
        <v>-1.0382023630163992</v>
      </c>
    </row>
    <row r="109" spans="1:62" s="4" customFormat="1" x14ac:dyDescent="0.2">
      <c r="A109" s="4" t="s">
        <v>44</v>
      </c>
      <c r="B109" s="5">
        <v>0.32802438933713546</v>
      </c>
      <c r="C109" s="5">
        <v>3.2093613071762103E-2</v>
      </c>
      <c r="D109" s="5">
        <v>7.9874902190863462E-2</v>
      </c>
      <c r="E109" s="5">
        <v>9.287464670188525E-3</v>
      </c>
      <c r="F109" s="5">
        <v>5.3385391260157247E-2</v>
      </c>
      <c r="G109" s="5">
        <v>1.4807194197416332E-2</v>
      </c>
      <c r="H109" s="5">
        <v>8.0673415695630482E-3</v>
      </c>
      <c r="I109" s="5">
        <v>8.3522452071284389E-3</v>
      </c>
      <c r="J109" s="82">
        <v>0.35017864440882268</v>
      </c>
      <c r="K109" s="10"/>
      <c r="L109" s="51"/>
      <c r="M109" s="16"/>
      <c r="N109" s="16"/>
      <c r="P109" s="5">
        <v>0.33840803772960121</v>
      </c>
      <c r="Q109" s="5">
        <v>3.00000000000001E-2</v>
      </c>
      <c r="R109" s="5">
        <v>7.7265775088327507E-2</v>
      </c>
      <c r="S109" s="5">
        <v>9.3036551956744377E-3</v>
      </c>
      <c r="T109" s="5">
        <v>5.3385391260157247E-2</v>
      </c>
      <c r="U109" s="5">
        <v>1.4807194197416332E-2</v>
      </c>
      <c r="V109" s="5">
        <v>8.0334923912330942E-3</v>
      </c>
      <c r="W109" s="5">
        <v>8.3748432821157837E-3</v>
      </c>
      <c r="X109" s="82">
        <v>0.36469033850652099</v>
      </c>
      <c r="Y109" s="10"/>
      <c r="Z109" s="51"/>
      <c r="AA109" s="16"/>
      <c r="AB109" s="16"/>
      <c r="AD109" s="5">
        <v>0.33276117561999152</v>
      </c>
      <c r="AE109" s="5">
        <v>2.9999999999999805E-2</v>
      </c>
      <c r="AF109" s="5">
        <v>7.7265775088327215E-2</v>
      </c>
      <c r="AG109" s="5">
        <v>9.2267545756891094E-3</v>
      </c>
      <c r="AH109" s="5">
        <v>5.0199601592043709E-2</v>
      </c>
      <c r="AI109" s="5">
        <v>1.4537365648562331E-2</v>
      </c>
      <c r="AJ109" s="5">
        <v>7.9226258273377998E-3</v>
      </c>
      <c r="AK109" s="5">
        <v>8.2628687512267679E-3</v>
      </c>
      <c r="AL109" s="82">
        <v>0.35603224151753754</v>
      </c>
      <c r="AM109" s="10"/>
      <c r="AN109" s="51"/>
      <c r="AO109" s="16"/>
      <c r="AP109" s="16"/>
      <c r="AR109" s="5">
        <v>0.3600742978886452</v>
      </c>
      <c r="AS109" s="5">
        <v>3.1029018676071725E-2</v>
      </c>
      <c r="AT109" s="5">
        <v>7.6191863082615122E-2</v>
      </c>
      <c r="AU109" s="5">
        <v>9.1378334412485288E-3</v>
      </c>
      <c r="AV109" s="5">
        <v>5.3978699502673914E-2</v>
      </c>
      <c r="AW109" s="5">
        <v>1.4432601983010543E-2</v>
      </c>
      <c r="AX109" s="5">
        <v>7.5960516059331781E-3</v>
      </c>
      <c r="AY109" s="5">
        <v>8.3486525858967337E-3</v>
      </c>
      <c r="AZ109" s="82">
        <v>0.39007371098293481</v>
      </c>
      <c r="BA109" s="10"/>
      <c r="BB109" s="51"/>
      <c r="BC109" s="16"/>
      <c r="BD109" s="16"/>
    </row>
    <row r="110" spans="1:62" s="4" customFormat="1" x14ac:dyDescent="0.2">
      <c r="A110" s="4" t="s">
        <v>51</v>
      </c>
      <c r="B110" s="5">
        <v>56.305999999999997</v>
      </c>
      <c r="C110" s="5">
        <v>10.416</v>
      </c>
      <c r="D110" s="5">
        <v>11.077999999999999</v>
      </c>
      <c r="E110" s="5">
        <v>9.6879999999999994E-2</v>
      </c>
      <c r="F110" s="5">
        <v>20.283999999999999</v>
      </c>
      <c r="G110" s="5">
        <v>0.35443999999999998</v>
      </c>
      <c r="H110" s="5">
        <v>0.10231999999999999</v>
      </c>
      <c r="I110" s="5">
        <v>2.1700000000000004E-2</v>
      </c>
      <c r="J110" s="82">
        <v>98.659440000000018</v>
      </c>
      <c r="K110" s="10">
        <v>0.17090787305000282</v>
      </c>
      <c r="L110" s="51">
        <v>1160.1564320113375</v>
      </c>
      <c r="M110" s="16">
        <v>-1.1049050365254092</v>
      </c>
      <c r="N110" s="16">
        <v>-0.82602398177376646</v>
      </c>
      <c r="P110" s="5">
        <v>58.103999999999999</v>
      </c>
      <c r="Q110" s="5">
        <v>10.486000000000001</v>
      </c>
      <c r="R110" s="5">
        <v>10.92</v>
      </c>
      <c r="S110" s="5">
        <v>9.6960000000000005E-2</v>
      </c>
      <c r="T110" s="5">
        <v>20.937999999999999</v>
      </c>
      <c r="U110" s="5">
        <v>0.35463999999999996</v>
      </c>
      <c r="V110" s="5">
        <v>0.10251999999999999</v>
      </c>
      <c r="W110" s="5">
        <v>2.1739999999999999E-2</v>
      </c>
      <c r="X110" s="82">
        <v>101.02378</v>
      </c>
      <c r="Y110" s="10">
        <v>0.15552946096616277</v>
      </c>
      <c r="Z110" s="51">
        <v>1183.3372885940767</v>
      </c>
      <c r="AA110" s="16">
        <v>-1.3584337234171076</v>
      </c>
      <c r="AB110" s="16">
        <v>-1.0736279487097011</v>
      </c>
      <c r="AD110" s="5">
        <v>57.366000000000007</v>
      </c>
      <c r="AE110" s="5">
        <v>10.412000000000001</v>
      </c>
      <c r="AF110" s="5">
        <v>10.88</v>
      </c>
      <c r="AG110" s="5">
        <v>9.6079999999999985E-2</v>
      </c>
      <c r="AH110" s="5">
        <v>20.64</v>
      </c>
      <c r="AI110" s="5">
        <v>0.34765999999999997</v>
      </c>
      <c r="AJ110" s="5">
        <v>0.10095999999999998</v>
      </c>
      <c r="AK110" s="5">
        <v>2.1479999999999999E-2</v>
      </c>
      <c r="AL110" s="82">
        <v>99.864239999999995</v>
      </c>
      <c r="AM110" s="10">
        <v>0.15485235551191778</v>
      </c>
      <c r="AN110" s="51">
        <v>1170.6202328947707</v>
      </c>
      <c r="AO110" s="16">
        <v>-1.3370126806487233</v>
      </c>
      <c r="AP110" s="16">
        <v>-1.0506110032484468</v>
      </c>
      <c r="AR110" s="5">
        <v>57.46</v>
      </c>
      <c r="AS110" s="5">
        <v>10.307</v>
      </c>
      <c r="AT110" s="5">
        <v>10.703799999999999</v>
      </c>
      <c r="AU110" s="5">
        <v>9.4E-2</v>
      </c>
      <c r="AV110" s="5">
        <v>20.775599999999997</v>
      </c>
      <c r="AW110" s="5">
        <v>0.34179999999999999</v>
      </c>
      <c r="AX110" s="5">
        <v>9.9199999999999997E-2</v>
      </c>
      <c r="AY110" s="5">
        <v>2.1600000000000001E-2</v>
      </c>
      <c r="AZ110" s="82">
        <v>99.802999999999997</v>
      </c>
      <c r="BA110" s="10">
        <v>0.16014489916618588</v>
      </c>
      <c r="BB110" s="51">
        <v>1205.0881959497665</v>
      </c>
      <c r="BC110" s="16">
        <v>-1.3480695019159949</v>
      </c>
      <c r="BD110" s="16">
        <v>-1.0667576411833259</v>
      </c>
    </row>
    <row r="111" spans="1:62" s="4" customFormat="1" x14ac:dyDescent="0.2">
      <c r="A111" s="4" t="s">
        <v>44</v>
      </c>
      <c r="B111" s="5">
        <v>0.11844830095868696</v>
      </c>
      <c r="C111" s="5">
        <v>6.4652919500978304E-2</v>
      </c>
      <c r="D111" s="5">
        <v>5.6302753041036969E-2</v>
      </c>
      <c r="E111" s="5">
        <v>9.2394263891217871E-3</v>
      </c>
      <c r="F111" s="5">
        <v>5.8566201857385224E-2</v>
      </c>
      <c r="G111" s="5">
        <v>2.422659695458693E-2</v>
      </c>
      <c r="H111" s="5">
        <v>1.1857993084835299E-2</v>
      </c>
      <c r="I111" s="5">
        <v>2.9410882339705484E-3</v>
      </c>
      <c r="J111" s="82">
        <v>0.22273826119461457</v>
      </c>
      <c r="K111" s="10"/>
      <c r="L111" s="51"/>
      <c r="M111" s="16"/>
      <c r="N111" s="16"/>
      <c r="P111" s="5">
        <v>0.12218837915284653</v>
      </c>
      <c r="Q111" s="5">
        <v>6.4652919500978304E-2</v>
      </c>
      <c r="R111" s="5">
        <v>5.5226805085936331E-2</v>
      </c>
      <c r="S111" s="5">
        <v>9.2427268703559589E-3</v>
      </c>
      <c r="T111" s="5">
        <v>6.1400325732034709E-2</v>
      </c>
      <c r="U111" s="5">
        <v>2.4226596954586913E-2</v>
      </c>
      <c r="V111" s="5">
        <v>1.1857993084835372E-2</v>
      </c>
      <c r="W111" s="5">
        <v>2.9381967258847726E-3</v>
      </c>
      <c r="X111" s="82">
        <v>0.22822578075230532</v>
      </c>
      <c r="Y111" s="10"/>
      <c r="Z111" s="51"/>
      <c r="AA111" s="16"/>
      <c r="AB111" s="16"/>
      <c r="AD111" s="5">
        <v>0.12421755109484342</v>
      </c>
      <c r="AE111" s="5">
        <v>6.4961527075646702E-2</v>
      </c>
      <c r="AF111" s="5">
        <v>5.5226805085935936E-2</v>
      </c>
      <c r="AG111" s="5">
        <v>9.1786164534748936E-3</v>
      </c>
      <c r="AH111" s="5">
        <v>6.3639610306789315E-2</v>
      </c>
      <c r="AI111" s="5">
        <v>2.3761586647360066E-2</v>
      </c>
      <c r="AJ111" s="5">
        <v>1.1692861069900879E-2</v>
      </c>
      <c r="AK111" s="5">
        <v>2.9141036357686395E-3</v>
      </c>
      <c r="AL111" s="82">
        <v>0.23430041186476677</v>
      </c>
      <c r="AM111" s="10"/>
      <c r="AN111" s="51"/>
      <c r="AO111" s="16"/>
      <c r="AP111" s="16"/>
      <c r="AR111" s="5">
        <v>0.13760813929415472</v>
      </c>
      <c r="AS111" s="5">
        <v>6.4046857846423944E-2</v>
      </c>
      <c r="AT111" s="5">
        <v>5.1231826045925799E-2</v>
      </c>
      <c r="AU111" s="5">
        <v>8.9999999999999959E-3</v>
      </c>
      <c r="AV111" s="5">
        <v>6.3101505528790597E-2</v>
      </c>
      <c r="AW111" s="5">
        <v>2.3112767034693175E-2</v>
      </c>
      <c r="AX111" s="5">
        <v>1.1256109452204264E-2</v>
      </c>
      <c r="AY111" s="5">
        <v>3.049590136395382E-3</v>
      </c>
      <c r="AZ111" s="82">
        <v>0.24407785643109844</v>
      </c>
      <c r="BA111" s="10"/>
      <c r="BB111" s="51"/>
      <c r="BC111" s="16"/>
      <c r="BD111" s="16"/>
    </row>
    <row r="112" spans="1:62" s="4" customFormat="1" x14ac:dyDescent="0.2">
      <c r="A112" s="4" t="s">
        <v>52</v>
      </c>
      <c r="B112" s="5">
        <v>56.906666666666666</v>
      </c>
      <c r="C112" s="5">
        <v>9.8966666666666665</v>
      </c>
      <c r="D112" s="5">
        <v>10.993333333333334</v>
      </c>
      <c r="E112" s="5">
        <v>8.9766666666666661E-2</v>
      </c>
      <c r="F112" s="5">
        <v>20.456666666666667</v>
      </c>
      <c r="G112" s="5">
        <v>0.36703333333333332</v>
      </c>
      <c r="H112" s="5">
        <v>9.4633333333333333E-2</v>
      </c>
      <c r="I112" s="5">
        <v>3.3299999999999996E-2</v>
      </c>
      <c r="J112" s="82">
        <v>98.838099999999997</v>
      </c>
      <c r="K112" s="10">
        <v>0.17442881661276391</v>
      </c>
      <c r="L112" s="51">
        <v>1174.4412024288154</v>
      </c>
      <c r="M112" s="16">
        <v>-1.0956281527572342</v>
      </c>
      <c r="N112" s="16">
        <v>-0.8165786322285431</v>
      </c>
      <c r="P112" s="5">
        <v>58.72</v>
      </c>
      <c r="Q112" s="5">
        <v>9.9600000000000009</v>
      </c>
      <c r="R112" s="5">
        <v>10.836666666666666</v>
      </c>
      <c r="S112" s="5">
        <v>8.9799999999999991E-2</v>
      </c>
      <c r="T112" s="5">
        <v>21.116666666666671</v>
      </c>
      <c r="U112" s="5">
        <v>0.36723333333333336</v>
      </c>
      <c r="V112" s="5">
        <v>9.4733333333333336E-2</v>
      </c>
      <c r="W112" s="5">
        <v>3.3400000000000006E-2</v>
      </c>
      <c r="X112" s="82">
        <v>101.21843333333334</v>
      </c>
      <c r="Y112" s="10">
        <v>0.15923053885669911</v>
      </c>
      <c r="Z112" s="51">
        <v>1198.9168608297455</v>
      </c>
      <c r="AA112" s="16">
        <v>-1.3452435596119658</v>
      </c>
      <c r="AB112" s="16">
        <v>-1.0608657834969915</v>
      </c>
      <c r="AD112" s="5">
        <v>57.963333333333331</v>
      </c>
      <c r="AE112" s="5">
        <v>9.89</v>
      </c>
      <c r="AF112" s="5">
        <v>10.793333333333335</v>
      </c>
      <c r="AG112" s="5">
        <v>8.900000000000001E-2</v>
      </c>
      <c r="AH112" s="5">
        <v>20.816666666666666</v>
      </c>
      <c r="AI112" s="5">
        <v>0.36003333333333337</v>
      </c>
      <c r="AJ112" s="5">
        <v>9.3299999999999994E-2</v>
      </c>
      <c r="AK112" s="5">
        <v>3.2966666666666665E-2</v>
      </c>
      <c r="AL112" s="82">
        <v>100.03863333333334</v>
      </c>
      <c r="AM112" s="10">
        <v>0.15888389085154475</v>
      </c>
      <c r="AN112" s="51">
        <v>1186.731336612022</v>
      </c>
      <c r="AO112" s="16">
        <v>-1.3212847326363595</v>
      </c>
      <c r="AP112" s="16">
        <v>-1.03539329008394</v>
      </c>
      <c r="AR112" s="5">
        <v>58.079000000000001</v>
      </c>
      <c r="AS112" s="5">
        <v>9.7903333333333329</v>
      </c>
      <c r="AT112" s="5">
        <v>10.619</v>
      </c>
      <c r="AU112" s="5">
        <v>8.7333333333333332E-2</v>
      </c>
      <c r="AV112" s="5">
        <v>20.954999999999998</v>
      </c>
      <c r="AW112" s="5">
        <v>0.35366666666666663</v>
      </c>
      <c r="AX112" s="5">
        <v>9.1666666666666674E-2</v>
      </c>
      <c r="AY112" s="5">
        <v>3.3333333333333333E-2</v>
      </c>
      <c r="AZ112" s="82">
        <v>100.00933333333334</v>
      </c>
      <c r="BA112" s="10">
        <v>0.16350834602452066</v>
      </c>
      <c r="BB112" s="51">
        <v>1221.4093416487235</v>
      </c>
      <c r="BC112" s="16">
        <v>-1.3407657665274704</v>
      </c>
      <c r="BD112" s="16">
        <v>-1.0600513730050567</v>
      </c>
    </row>
    <row r="113" spans="1:62" s="4" customFormat="1" x14ac:dyDescent="0.2">
      <c r="A113" s="4" t="s">
        <v>44</v>
      </c>
      <c r="B113" s="5">
        <v>0.23459184413217274</v>
      </c>
      <c r="C113" s="5">
        <v>1.527525231651914E-2</v>
      </c>
      <c r="D113" s="5">
        <v>9.0737717258774483E-2</v>
      </c>
      <c r="E113" s="5">
        <v>1.3591296234477945E-2</v>
      </c>
      <c r="F113" s="5">
        <v>2.5166114784236235E-2</v>
      </c>
      <c r="G113" s="5">
        <v>2.3744543232779455E-2</v>
      </c>
      <c r="H113" s="5">
        <v>4.0265783654777369E-3</v>
      </c>
      <c r="I113" s="5">
        <v>7.7788173908378E-3</v>
      </c>
      <c r="J113" s="82">
        <v>0.10434668178719887</v>
      </c>
      <c r="K113" s="10"/>
      <c r="L113" s="51"/>
      <c r="M113" s="16"/>
      <c r="N113" s="16"/>
      <c r="P113" s="5">
        <v>0.23895606290697016</v>
      </c>
      <c r="Q113" s="5">
        <v>1.7320508075689429E-2</v>
      </c>
      <c r="R113" s="5">
        <v>9.0184995056457731E-2</v>
      </c>
      <c r="S113" s="5">
        <v>1.353366173657386E-2</v>
      </c>
      <c r="T113" s="5">
        <v>2.5166114784236235E-2</v>
      </c>
      <c r="U113" s="5">
        <v>2.3744543232779469E-2</v>
      </c>
      <c r="V113" s="5">
        <v>4.0265783654777369E-3</v>
      </c>
      <c r="W113" s="5">
        <v>7.7788173908377306E-3</v>
      </c>
      <c r="X113" s="82">
        <v>0.11064765398928696</v>
      </c>
      <c r="Y113" s="10"/>
      <c r="Z113" s="51"/>
      <c r="AA113" s="16"/>
      <c r="AB113" s="16"/>
      <c r="AD113" s="5">
        <v>0.23352373184182668</v>
      </c>
      <c r="AE113" s="5">
        <v>1.7320508075689429E-2</v>
      </c>
      <c r="AF113" s="5">
        <v>9.0737717258774622E-2</v>
      </c>
      <c r="AG113" s="5">
        <v>1.3444329659748702E-2</v>
      </c>
      <c r="AH113" s="5">
        <v>2.5166114784236235E-2</v>
      </c>
      <c r="AI113" s="5">
        <v>2.3309297143700711E-2</v>
      </c>
      <c r="AJ113" s="5">
        <v>3.9736632972611078E-3</v>
      </c>
      <c r="AK113" s="5">
        <v>7.7216146843347329E-3</v>
      </c>
      <c r="AL113" s="82">
        <v>0.10475067223332507</v>
      </c>
      <c r="AM113" s="10"/>
      <c r="AN113" s="51"/>
      <c r="AO113" s="16"/>
      <c r="AP113" s="16"/>
      <c r="AR113" s="5">
        <v>0.24320567427591061</v>
      </c>
      <c r="AS113" s="5">
        <v>1.3428824718989044E-2</v>
      </c>
      <c r="AT113" s="5">
        <v>8.7846456957580629E-2</v>
      </c>
      <c r="AU113" s="5">
        <v>1.3316656236958714E-2</v>
      </c>
      <c r="AV113" s="5">
        <v>2.42487113059652E-2</v>
      </c>
      <c r="AW113" s="5">
        <v>2.2854612955229253E-2</v>
      </c>
      <c r="AX113" s="5">
        <v>4.0414518843273836E-3</v>
      </c>
      <c r="AY113" s="5">
        <v>7.571877794400347E-3</v>
      </c>
      <c r="AZ113" s="82">
        <v>0.11638442049232263</v>
      </c>
      <c r="BA113" s="10"/>
      <c r="BB113" s="51"/>
      <c r="BC113" s="16"/>
      <c r="BD113" s="16"/>
    </row>
    <row r="114" spans="1:62" s="4" customFormat="1" x14ac:dyDescent="0.2">
      <c r="A114" s="4" t="s">
        <v>53</v>
      </c>
      <c r="B114" s="5">
        <v>56.826000000000001</v>
      </c>
      <c r="C114" s="5">
        <v>10.047999999999998</v>
      </c>
      <c r="D114" s="5">
        <v>11.055999999999999</v>
      </c>
      <c r="E114" s="5">
        <v>9.8780000000000007E-2</v>
      </c>
      <c r="F114" s="5">
        <v>20.402000000000001</v>
      </c>
      <c r="G114" s="5">
        <v>0.39411999999999997</v>
      </c>
      <c r="H114" s="5">
        <v>8.7180000000000007E-2</v>
      </c>
      <c r="I114" s="5">
        <v>2.3899999999999998E-2</v>
      </c>
      <c r="J114" s="82">
        <v>98.936059999999998</v>
      </c>
      <c r="K114" s="10">
        <v>0.17474249803627884</v>
      </c>
      <c r="L114" s="51">
        <v>1167.9115819104532</v>
      </c>
      <c r="M114" s="16">
        <v>-1.0789065562372702</v>
      </c>
      <c r="N114" s="16">
        <v>-0.80013565566135636</v>
      </c>
      <c r="P114" s="5">
        <v>58.637999999999998</v>
      </c>
      <c r="Q114" s="5">
        <v>10.114000000000001</v>
      </c>
      <c r="R114" s="5">
        <v>10.898</v>
      </c>
      <c r="S114" s="5">
        <v>9.8860000000000017E-2</v>
      </c>
      <c r="T114" s="5">
        <v>21.06</v>
      </c>
      <c r="U114" s="5">
        <v>0.39431999999999995</v>
      </c>
      <c r="V114" s="5">
        <v>8.7300000000000003E-2</v>
      </c>
      <c r="W114" s="5">
        <v>2.3939999999999999E-2</v>
      </c>
      <c r="X114" s="82">
        <v>101.31434</v>
      </c>
      <c r="Y114" s="10">
        <v>0.15934582103959891</v>
      </c>
      <c r="Z114" s="51">
        <v>1191.6615343671956</v>
      </c>
      <c r="AA114" s="16">
        <v>-1.3296036009619125</v>
      </c>
      <c r="AB114" s="16">
        <v>-1.0451644222536416</v>
      </c>
      <c r="AD114" s="5">
        <v>57.886000000000003</v>
      </c>
      <c r="AE114" s="5">
        <v>10.044</v>
      </c>
      <c r="AF114" s="5">
        <v>10.858000000000001</v>
      </c>
      <c r="AG114" s="5">
        <v>9.7939999999999999E-2</v>
      </c>
      <c r="AH114" s="5">
        <v>20.757999999999999</v>
      </c>
      <c r="AI114" s="5">
        <v>0.38653999999999999</v>
      </c>
      <c r="AJ114" s="5">
        <v>8.6020000000000013E-2</v>
      </c>
      <c r="AK114" s="5">
        <v>2.3619999999999999E-2</v>
      </c>
      <c r="AL114" s="82">
        <v>100.1401</v>
      </c>
      <c r="AM114" s="10">
        <v>0.15866135948039126</v>
      </c>
      <c r="AN114" s="51">
        <v>1178.5335747612139</v>
      </c>
      <c r="AO114" s="16">
        <v>-1.3075331681656874</v>
      </c>
      <c r="AP114" s="16">
        <v>-1.0213718281914659</v>
      </c>
      <c r="AR114" s="5">
        <v>58.005600000000001</v>
      </c>
      <c r="AS114" s="5">
        <v>9.942400000000001</v>
      </c>
      <c r="AT114" s="5">
        <v>10.684799999999999</v>
      </c>
      <c r="AU114" s="5">
        <v>9.6000000000000002E-2</v>
      </c>
      <c r="AV114" s="5">
        <v>20.897600000000001</v>
      </c>
      <c r="AW114" s="5">
        <v>0.37959999999999999</v>
      </c>
      <c r="AX114" s="5">
        <v>8.4800000000000014E-2</v>
      </c>
      <c r="AY114" s="5">
        <v>2.3799999999999998E-2</v>
      </c>
      <c r="AZ114" s="82">
        <v>100.1146</v>
      </c>
      <c r="BA114" s="10">
        <v>0.16326233491236852</v>
      </c>
      <c r="BB114" s="51">
        <v>1212.4226783410027</v>
      </c>
      <c r="BC114" s="16">
        <v>-1.3263209797547046</v>
      </c>
      <c r="BD114" s="16">
        <v>-1.045079675614776</v>
      </c>
    </row>
    <row r="115" spans="1:62" s="4" customFormat="1" x14ac:dyDescent="0.2">
      <c r="A115" s="4" t="s">
        <v>44</v>
      </c>
      <c r="B115" s="5">
        <v>0.17038192392387133</v>
      </c>
      <c r="C115" s="5">
        <v>3.1144823004795121E-2</v>
      </c>
      <c r="D115" s="5">
        <v>4.615192303685705E-2</v>
      </c>
      <c r="E115" s="5">
        <v>8.565161994965419E-3</v>
      </c>
      <c r="F115" s="5">
        <v>0.11497825881443884</v>
      </c>
      <c r="G115" s="5">
        <v>1.8276679129426109E-2</v>
      </c>
      <c r="H115" s="5">
        <v>1.138033391425745E-2</v>
      </c>
      <c r="I115" s="5">
        <v>6.4042954335352172E-3</v>
      </c>
      <c r="J115" s="82">
        <v>0.29647909369802117</v>
      </c>
      <c r="K115" s="10"/>
      <c r="L115" s="51"/>
      <c r="M115" s="16"/>
      <c r="N115" s="16"/>
      <c r="P115" s="5">
        <v>0.17340703561274676</v>
      </c>
      <c r="Q115" s="5">
        <v>2.8809720581776211E-2</v>
      </c>
      <c r="R115" s="5">
        <v>4.6043457732885124E-2</v>
      </c>
      <c r="S115" s="5">
        <v>8.5704725657340507E-3</v>
      </c>
      <c r="T115" s="5">
        <v>0.11853269591129663</v>
      </c>
      <c r="U115" s="5">
        <v>1.8276679129426102E-2</v>
      </c>
      <c r="V115" s="5">
        <v>1.1419719786404534E-2</v>
      </c>
      <c r="W115" s="5">
        <v>6.414280941773598E-3</v>
      </c>
      <c r="X115" s="82">
        <v>0.29850041541009492</v>
      </c>
      <c r="Y115" s="10"/>
      <c r="Z115" s="51"/>
      <c r="AA115" s="16"/>
      <c r="AB115" s="16"/>
      <c r="AD115" s="5">
        <v>0.17038192392387347</v>
      </c>
      <c r="AE115" s="5">
        <v>2.8809720581776211E-2</v>
      </c>
      <c r="AF115" s="5">
        <v>4.6043457732885741E-2</v>
      </c>
      <c r="AG115" s="5">
        <v>8.4869311296840409E-3</v>
      </c>
      <c r="AH115" s="5">
        <v>0.11144505372603948</v>
      </c>
      <c r="AI115" s="5">
        <v>1.7942770131727143E-2</v>
      </c>
      <c r="AJ115" s="5">
        <v>1.1231518152057553E-2</v>
      </c>
      <c r="AK115" s="5">
        <v>6.3322192002488358E-3</v>
      </c>
      <c r="AL115" s="82">
        <v>0.28973755365848097</v>
      </c>
      <c r="AM115" s="10"/>
      <c r="AN115" s="51"/>
      <c r="AO115" s="16"/>
      <c r="AP115" s="16"/>
      <c r="AR115" s="5">
        <v>0.19267796967998146</v>
      </c>
      <c r="AS115" s="5">
        <v>2.8535942248329681E-2</v>
      </c>
      <c r="AT115" s="5">
        <v>4.5438970058750243E-2</v>
      </c>
      <c r="AU115" s="5">
        <v>8.0932070281193175E-3</v>
      </c>
      <c r="AV115" s="5">
        <v>0.11674031009038888</v>
      </c>
      <c r="AW115" s="5">
        <v>1.7714400921284349E-2</v>
      </c>
      <c r="AX115" s="5">
        <v>1.103177229641716E-2</v>
      </c>
      <c r="AY115" s="5">
        <v>6.4961527075646985E-3</v>
      </c>
      <c r="AZ115" s="82">
        <v>0.31752055051602751</v>
      </c>
      <c r="BA115" s="10"/>
      <c r="BB115" s="51"/>
      <c r="BC115" s="16"/>
      <c r="BD115" s="16"/>
    </row>
    <row r="116" spans="1:62" s="4" customFormat="1" ht="6.75" customHeight="1" x14ac:dyDescent="0.2">
      <c r="J116" s="82"/>
      <c r="K116" s="10"/>
      <c r="M116" s="16"/>
      <c r="N116" s="16"/>
      <c r="X116" s="82"/>
      <c r="Y116" s="10"/>
      <c r="Z116" s="49"/>
      <c r="AA116" s="16"/>
      <c r="AB116" s="16"/>
      <c r="AL116" s="82"/>
      <c r="AM116" s="10"/>
      <c r="AO116" s="16"/>
      <c r="AP116" s="16"/>
      <c r="AZ116" s="82"/>
      <c r="BA116" s="10"/>
      <c r="BC116" s="16"/>
      <c r="BD116" s="16"/>
    </row>
    <row r="117" spans="1:62" s="4" customFormat="1" x14ac:dyDescent="0.2">
      <c r="A117" s="4" t="s">
        <v>8</v>
      </c>
      <c r="B117" s="5">
        <v>56.739666666666665</v>
      </c>
      <c r="C117" s="5">
        <v>10.064166666666665</v>
      </c>
      <c r="D117" s="5">
        <v>11.033333333333333</v>
      </c>
      <c r="E117" s="5">
        <v>9.4401666666666662E-2</v>
      </c>
      <c r="F117" s="5">
        <v>20.400666666666666</v>
      </c>
      <c r="G117" s="5">
        <v>0.37218333333333337</v>
      </c>
      <c r="H117" s="5">
        <v>9.3653333333333338E-2</v>
      </c>
      <c r="I117" s="5">
        <v>2.6425000000000001E-2</v>
      </c>
      <c r="J117" s="82">
        <v>98.824565000000007</v>
      </c>
      <c r="K117" s="10">
        <v>0.17419081204963832</v>
      </c>
      <c r="L117" s="51">
        <v>1169.8413788623425</v>
      </c>
      <c r="M117" s="16">
        <v>-1.0886343636847333</v>
      </c>
      <c r="N117" s="16">
        <v>-0.80978145859644446</v>
      </c>
      <c r="P117" s="5">
        <v>58.548499999999997</v>
      </c>
      <c r="Q117" s="5">
        <v>10.130000000000001</v>
      </c>
      <c r="R117" s="5">
        <v>10.875666666666666</v>
      </c>
      <c r="S117" s="5">
        <v>9.4469999999999998E-2</v>
      </c>
      <c r="T117" s="5">
        <v>21.058666666666667</v>
      </c>
      <c r="U117" s="5">
        <v>0.37238333333333334</v>
      </c>
      <c r="V117" s="5">
        <v>9.379333333333334E-2</v>
      </c>
      <c r="W117" s="5">
        <v>2.648E-2</v>
      </c>
      <c r="X117" s="82">
        <v>101.19987833333334</v>
      </c>
      <c r="Y117" s="10">
        <v>0.15890607516250047</v>
      </c>
      <c r="Z117" s="49">
        <v>1193.8586653884486</v>
      </c>
      <c r="AA117" s="16">
        <v>-1.3389198433372491</v>
      </c>
      <c r="AB117" s="16">
        <v>-1.0545175787490955</v>
      </c>
      <c r="AD117" s="5">
        <v>57.797333333333341</v>
      </c>
      <c r="AE117" s="5">
        <v>10.059000000000001</v>
      </c>
      <c r="AF117" s="5">
        <v>10.834833333333334</v>
      </c>
      <c r="AG117" s="5">
        <v>9.3615000000000004E-2</v>
      </c>
      <c r="AH117" s="5">
        <v>20.758166666666668</v>
      </c>
      <c r="AI117" s="5">
        <v>0.36505833333333337</v>
      </c>
      <c r="AJ117" s="5">
        <v>9.2384999999999995E-2</v>
      </c>
      <c r="AK117" s="5">
        <v>2.6141666666666667E-2</v>
      </c>
      <c r="AL117" s="82">
        <v>100.02653833333333</v>
      </c>
      <c r="AM117" s="10">
        <v>0.15838483235581305</v>
      </c>
      <c r="AN117" s="49">
        <v>1181.1543082135049</v>
      </c>
      <c r="AO117" s="16">
        <v>-1.3158117755255996</v>
      </c>
      <c r="AP117" s="16">
        <v>-1.0298003068796726</v>
      </c>
      <c r="AR117" s="5">
        <v>57.908900000000003</v>
      </c>
      <c r="AS117" s="5">
        <v>9.9577833333333352</v>
      </c>
      <c r="AT117" s="5">
        <v>10.659949999999998</v>
      </c>
      <c r="AU117" s="5">
        <v>9.1833333333333322E-2</v>
      </c>
      <c r="AV117" s="5">
        <v>20.896599999999999</v>
      </c>
      <c r="AW117" s="5">
        <v>0.35866666666666669</v>
      </c>
      <c r="AX117" s="5">
        <v>9.0866666666666665E-2</v>
      </c>
      <c r="AY117" s="5">
        <v>2.6383333333333328E-2</v>
      </c>
      <c r="AZ117" s="82">
        <v>99.990983333333332</v>
      </c>
      <c r="BA117" s="10">
        <v>0.16319174806434694</v>
      </c>
      <c r="BB117" s="49">
        <v>1215.7210123129021</v>
      </c>
      <c r="BC117" s="16">
        <v>-1.3332054346319406</v>
      </c>
      <c r="BD117" s="16">
        <v>-1.0523189702927791</v>
      </c>
      <c r="BF117" s="28">
        <f>AVERAGE(K117, Y117, AM117, BA117)</f>
        <v>0.16366836690807468</v>
      </c>
      <c r="BG117" s="29">
        <f>AVERAGE(M117, AA117, AO117, BC117)</f>
        <v>-1.2691428542948806</v>
      </c>
      <c r="BH117" s="29">
        <f>AVERAGE(N117, AB117, AP117, BD117)</f>
        <v>-0.98660457862949791</v>
      </c>
      <c r="BJ117" s="32">
        <f>BF117-BF106</f>
        <v>5.7550107366792252E-2</v>
      </c>
    </row>
    <row r="118" spans="1:62" s="4" customFormat="1" x14ac:dyDescent="0.2">
      <c r="A118" s="4" t="s">
        <v>44</v>
      </c>
      <c r="B118" s="5">
        <v>0.29207837608727338</v>
      </c>
      <c r="C118" s="5">
        <v>0.24521034054686874</v>
      </c>
      <c r="D118" s="5">
        <v>4.0232656718971624E-2</v>
      </c>
      <c r="E118" s="5">
        <v>4.1525480798607966E-3</v>
      </c>
      <c r="F118" s="5">
        <v>8.2197593909095507E-2</v>
      </c>
      <c r="G118" s="5">
        <v>1.6567849723016091E-2</v>
      </c>
      <c r="H118" s="5">
        <v>6.5331360514431823E-3</v>
      </c>
      <c r="I118" s="5">
        <v>5.0367813796775652E-3</v>
      </c>
      <c r="J118" s="82">
        <v>0.11759847773957002</v>
      </c>
      <c r="K118" s="16">
        <f>STDEVA(K108, K110, K112, K114)</f>
        <v>2.4118608979977699E-3</v>
      </c>
      <c r="L118" s="54">
        <f>STDEVA(L108, L110, L112, L114)</f>
        <v>7.587499466495232</v>
      </c>
      <c r="M118" s="16">
        <f t="shared" ref="M118:N118" si="42">STDEVA(M108, M110, M112, M114)</f>
        <v>1.3832328596714339E-2</v>
      </c>
      <c r="N118" s="16">
        <f t="shared" si="42"/>
        <v>1.369046683257019E-2</v>
      </c>
      <c r="P118" s="5">
        <v>0.29926298356685233</v>
      </c>
      <c r="Q118" s="5">
        <v>0.24818810070858208</v>
      </c>
      <c r="R118" s="5">
        <v>3.9793913549129402E-2</v>
      </c>
      <c r="S118" s="5">
        <v>4.1699400475306691E-3</v>
      </c>
      <c r="T118" s="5">
        <v>8.5025486375166492E-2</v>
      </c>
      <c r="U118" s="5">
        <v>1.6567849723016084E-2</v>
      </c>
      <c r="V118" s="5">
        <v>6.5643413818735601E-3</v>
      </c>
      <c r="W118" s="5">
        <v>5.0640958390088453E-3</v>
      </c>
      <c r="X118" s="82">
        <v>0.12424762126048569</v>
      </c>
      <c r="Y118" s="16">
        <f>STDEVA(Y108, Y110, Y112, Y114)</f>
        <v>2.4922166691102908E-3</v>
      </c>
      <c r="Z118" s="54">
        <f>STDEVA(Z108, Z110, Z112, Z114)</f>
        <v>8.2789545929419166</v>
      </c>
      <c r="AA118" s="16">
        <f t="shared" ref="AA118:AB118" si="43">STDEVA(AA108, AA110, AA112, AA114)</f>
        <v>1.5865600003752822E-2</v>
      </c>
      <c r="AB118" s="16">
        <f t="shared" si="43"/>
        <v>1.5534502404710373E-2</v>
      </c>
      <c r="AD118" s="5">
        <v>0.29021677721623229</v>
      </c>
      <c r="AE118" s="5">
        <v>0.246276267634541</v>
      </c>
      <c r="AF118" s="5">
        <v>4.0902322672434668E-2</v>
      </c>
      <c r="AG118" s="5">
        <v>4.1154465128342942E-3</v>
      </c>
      <c r="AH118" s="5">
        <v>8.3597581038900623E-2</v>
      </c>
      <c r="AI118" s="5">
        <v>1.6230643514318497E-2</v>
      </c>
      <c r="AJ118" s="5">
        <v>6.4458436220559846E-3</v>
      </c>
      <c r="AK118" s="5">
        <v>4.9932943923715221E-3</v>
      </c>
      <c r="AL118" s="82">
        <v>0.11651309211129124</v>
      </c>
      <c r="AM118" s="16">
        <f>STDEVA(AM108, AM110, AM112, AM114)</f>
        <v>2.6160527491482471E-3</v>
      </c>
      <c r="AN118" s="54">
        <f>STDEVA(AN108, AN110, AN112, AN114)</f>
        <v>8.4127605202847846</v>
      </c>
      <c r="AO118" s="16">
        <f t="shared" ref="AO118:AP118" si="44">STDEVA(AO108, AO110, AO112, AO114)</f>
        <v>1.6890429503199706E-2</v>
      </c>
      <c r="AP118" s="16">
        <f t="shared" si="44"/>
        <v>1.6577581312220896E-2</v>
      </c>
      <c r="AR118" s="5">
        <v>0.30163803915730825</v>
      </c>
      <c r="AS118" s="5">
        <v>0.24352401889295844</v>
      </c>
      <c r="AT118" s="5">
        <v>4.0772989425189574E-2</v>
      </c>
      <c r="AU118" s="5">
        <v>3.9015666369065435E-3</v>
      </c>
      <c r="AV118" s="5">
        <v>8.5336822845319307E-2</v>
      </c>
      <c r="AW118" s="5">
        <v>1.5796202075182505E-2</v>
      </c>
      <c r="AX118" s="5">
        <v>6.2261098965922853E-3</v>
      </c>
      <c r="AY118" s="5">
        <v>5.0999999999999995E-3</v>
      </c>
      <c r="AZ118" s="82">
        <v>0.13300760629878902</v>
      </c>
      <c r="BA118" s="16">
        <f>STDEVA(BA108, BA110, BA112, BA114)</f>
        <v>2.3503199663646359E-3</v>
      </c>
      <c r="BB118" s="54">
        <f>STDEVA(BB108, BB110, BB112, BB114)</f>
        <v>8.7728540749578521</v>
      </c>
      <c r="BC118" s="16">
        <f t="shared" ref="BC118:BD118" si="45">STDEVA(BC108, BC110, BC112, BC114)</f>
        <v>1.3488446519910748E-2</v>
      </c>
      <c r="BD118" s="16">
        <f t="shared" si="45"/>
        <v>1.3162891412562846E-2</v>
      </c>
      <c r="BF118" s="28">
        <f>STDEVA(K117, Y117, AM117, BA117)</f>
        <v>7.3381236773969105E-3</v>
      </c>
      <c r="BG118" s="29">
        <f>STDEVA(M117, AA117, AO117, BC117)</f>
        <v>0.12073959001428622</v>
      </c>
      <c r="BH118" s="29">
        <f>STDEVA(N117, AB117, AP117, BD117)</f>
        <v>0.1184100834307142</v>
      </c>
    </row>
    <row r="119" spans="1:62" s="4" customFormat="1" x14ac:dyDescent="0.2">
      <c r="J119" s="82"/>
      <c r="K119" s="10"/>
      <c r="L119" s="51"/>
      <c r="M119" s="16"/>
      <c r="N119" s="16"/>
      <c r="X119" s="82"/>
      <c r="Y119" s="10"/>
      <c r="Z119" s="51"/>
      <c r="AA119" s="16"/>
      <c r="AB119" s="16"/>
      <c r="AL119" s="82"/>
      <c r="AM119" s="10"/>
      <c r="AN119" s="51"/>
      <c r="AO119" s="16"/>
      <c r="AP119" s="16"/>
      <c r="AZ119" s="82"/>
      <c r="BA119" s="10"/>
      <c r="BB119" s="51"/>
      <c r="BC119" s="16"/>
      <c r="BD119" s="16"/>
    </row>
    <row r="120" spans="1:62" s="4" customFormat="1" x14ac:dyDescent="0.2">
      <c r="A120" s="47" t="s">
        <v>103</v>
      </c>
      <c r="C120" s="5"/>
      <c r="D120" s="5"/>
      <c r="E120" s="5"/>
      <c r="F120" s="5"/>
      <c r="G120" s="5"/>
      <c r="H120" s="5"/>
      <c r="I120" s="5"/>
      <c r="J120" s="82"/>
      <c r="K120" s="10"/>
      <c r="L120" s="51"/>
      <c r="M120" s="16"/>
      <c r="N120" s="16"/>
      <c r="Q120" s="5"/>
      <c r="R120" s="5"/>
      <c r="S120" s="5"/>
      <c r="T120" s="5"/>
      <c r="U120" s="5"/>
      <c r="V120" s="5"/>
      <c r="W120" s="5"/>
      <c r="X120" s="82"/>
      <c r="Y120" s="10"/>
      <c r="Z120" s="51"/>
      <c r="AA120" s="16"/>
      <c r="AB120" s="16"/>
      <c r="AE120" s="5"/>
      <c r="AF120" s="5"/>
      <c r="AG120" s="5"/>
      <c r="AH120" s="5"/>
      <c r="AI120" s="5"/>
      <c r="AJ120" s="5"/>
      <c r="AK120" s="5"/>
      <c r="AL120" s="82"/>
      <c r="AM120" s="10"/>
      <c r="AN120" s="51"/>
      <c r="AO120" s="16"/>
      <c r="AP120" s="16"/>
      <c r="AS120" s="5"/>
      <c r="AT120" s="5"/>
      <c r="AU120" s="5"/>
      <c r="AV120" s="5"/>
      <c r="AW120" s="5"/>
      <c r="AX120" s="5"/>
      <c r="AY120" s="5"/>
      <c r="AZ120" s="82"/>
      <c r="BA120" s="10"/>
      <c r="BB120" s="51"/>
      <c r="BC120" s="16"/>
      <c r="BD120" s="16"/>
    </row>
    <row r="121" spans="1:62" s="4" customFormat="1" x14ac:dyDescent="0.2">
      <c r="A121" s="22" t="s">
        <v>196</v>
      </c>
      <c r="B121" s="4">
        <v>25.03</v>
      </c>
      <c r="C121" s="4">
        <v>44.29</v>
      </c>
      <c r="D121" s="4">
        <v>16.600000000000001</v>
      </c>
      <c r="E121" s="4">
        <v>0.27</v>
      </c>
      <c r="F121" s="4">
        <v>13.59</v>
      </c>
      <c r="G121" s="4">
        <v>0.14000000000000001</v>
      </c>
      <c r="H121" s="4">
        <v>0.14000000000000001</v>
      </c>
      <c r="J121" s="82"/>
      <c r="K121" s="10">
        <v>9.6737392041986878E-2</v>
      </c>
      <c r="L121" s="51">
        <v>992.77949457509078</v>
      </c>
      <c r="M121" s="16">
        <v>-1.4565316444787539</v>
      </c>
      <c r="N121" s="16">
        <v>-1.2807657877340901</v>
      </c>
      <c r="P121" s="4">
        <v>25.03</v>
      </c>
      <c r="Q121" s="4">
        <v>44.29</v>
      </c>
      <c r="R121" s="4">
        <v>16.600000000000001</v>
      </c>
      <c r="S121" s="4">
        <v>0.27</v>
      </c>
      <c r="T121" s="4">
        <v>13.59</v>
      </c>
      <c r="U121" s="4">
        <v>0.14000000000000001</v>
      </c>
      <c r="V121" s="4">
        <v>0.14000000000000001</v>
      </c>
      <c r="X121" s="82"/>
      <c r="Y121" s="10">
        <v>9.6737392041986878E-2</v>
      </c>
      <c r="Z121" s="51">
        <v>992.77949457509078</v>
      </c>
      <c r="AA121" s="16">
        <v>-1.4565316444787539</v>
      </c>
      <c r="AB121" s="16">
        <v>-1.2807657877340901</v>
      </c>
      <c r="AD121" s="4">
        <v>25.03</v>
      </c>
      <c r="AE121" s="4">
        <v>44.29</v>
      </c>
      <c r="AF121" s="4">
        <v>16.600000000000001</v>
      </c>
      <c r="AG121" s="4">
        <v>0.27</v>
      </c>
      <c r="AH121" s="4">
        <v>13.59</v>
      </c>
      <c r="AI121" s="4">
        <v>0.14000000000000001</v>
      </c>
      <c r="AJ121" s="4">
        <v>0.14000000000000001</v>
      </c>
      <c r="AL121" s="82"/>
      <c r="AM121" s="10">
        <v>9.6737392041986878E-2</v>
      </c>
      <c r="AN121" s="51">
        <v>992.77949457509078</v>
      </c>
      <c r="AO121" s="16">
        <v>-1.4565316444787539</v>
      </c>
      <c r="AP121" s="16">
        <v>-1.2807657877340901</v>
      </c>
      <c r="AR121" s="4">
        <v>25.03</v>
      </c>
      <c r="AS121" s="4">
        <v>44.29</v>
      </c>
      <c r="AT121" s="4">
        <v>16.600000000000001</v>
      </c>
      <c r="AU121" s="4">
        <v>0.27</v>
      </c>
      <c r="AV121" s="4">
        <v>13.59</v>
      </c>
      <c r="AW121" s="4">
        <v>0.14000000000000001</v>
      </c>
      <c r="AX121" s="4">
        <v>0.14000000000000001</v>
      </c>
      <c r="AZ121" s="82"/>
      <c r="BA121" s="10">
        <v>9.6737392041986878E-2</v>
      </c>
      <c r="BB121" s="51">
        <v>992.77949457509078</v>
      </c>
      <c r="BC121" s="16">
        <v>-1.4565316444787539</v>
      </c>
      <c r="BD121" s="16">
        <v>-1.2807657877340901</v>
      </c>
      <c r="BF121" s="10">
        <f>BA121</f>
        <v>9.6737392041986878E-2</v>
      </c>
      <c r="BG121" s="16">
        <f t="shared" ref="BG121" si="46">BC121</f>
        <v>-1.4565316444787539</v>
      </c>
      <c r="BH121" s="16">
        <f t="shared" ref="BH121" si="47">BD121</f>
        <v>-1.2807657877340901</v>
      </c>
    </row>
    <row r="122" spans="1:62" s="4" customFormat="1" ht="6.75" customHeight="1" x14ac:dyDescent="0.2">
      <c r="J122" s="82"/>
      <c r="K122" s="10"/>
      <c r="L122" s="51"/>
      <c r="M122" s="16"/>
      <c r="N122" s="16"/>
      <c r="X122" s="82"/>
      <c r="Y122" s="10"/>
      <c r="Z122" s="51"/>
      <c r="AA122" s="16"/>
      <c r="AB122" s="16"/>
      <c r="AL122" s="82"/>
      <c r="AM122" s="10"/>
      <c r="AN122" s="51"/>
      <c r="AO122" s="16"/>
      <c r="AP122" s="16"/>
      <c r="AZ122" s="82"/>
      <c r="BA122" s="10"/>
      <c r="BB122" s="51"/>
      <c r="BC122" s="16"/>
      <c r="BD122" s="16"/>
    </row>
    <row r="123" spans="1:62" s="4" customFormat="1" x14ac:dyDescent="0.2">
      <c r="A123" s="4" t="s">
        <v>88</v>
      </c>
      <c r="B123" s="5">
        <v>23.726000000000003</v>
      </c>
      <c r="C123" s="5">
        <v>44.134</v>
      </c>
      <c r="D123" s="5">
        <v>15.541999999999998</v>
      </c>
      <c r="E123" s="5">
        <v>0.20080000000000001</v>
      </c>
      <c r="F123" s="5">
        <v>14.141999999999999</v>
      </c>
      <c r="G123" s="5">
        <v>0.13252000000000003</v>
      </c>
      <c r="H123" s="5">
        <v>0.16221999999999998</v>
      </c>
      <c r="I123" s="5">
        <v>3.4619999999999998E-2</v>
      </c>
      <c r="J123" s="82">
        <v>98.07419999999999</v>
      </c>
      <c r="K123" s="10">
        <v>0.13414215639175942</v>
      </c>
      <c r="L123" s="51">
        <v>1076.9079592150465</v>
      </c>
      <c r="M123" s="16">
        <v>-1.0691426644034392</v>
      </c>
      <c r="N123" s="16">
        <v>-0.8837479847779095</v>
      </c>
      <c r="P123" s="5">
        <v>24.560000000000002</v>
      </c>
      <c r="Q123" s="5">
        <v>44.408000000000001</v>
      </c>
      <c r="R123" s="5">
        <v>15.321999999999999</v>
      </c>
      <c r="S123" s="5">
        <v>0.20099999999999998</v>
      </c>
      <c r="T123" s="5">
        <v>14.602</v>
      </c>
      <c r="U123" s="5">
        <v>0.13262000000000002</v>
      </c>
      <c r="V123" s="5">
        <v>0.16252000000000003</v>
      </c>
      <c r="W123" s="5">
        <v>3.4680000000000002E-2</v>
      </c>
      <c r="X123" s="82">
        <v>99.422879999999992</v>
      </c>
      <c r="Y123" s="10">
        <v>0.13095191978387916</v>
      </c>
      <c r="Z123" s="51">
        <v>1092.0115494492957</v>
      </c>
      <c r="AA123" s="16">
        <v>-1.1760702766934474</v>
      </c>
      <c r="AB123" s="16">
        <v>-0.98354653869368658</v>
      </c>
      <c r="AD123" s="5">
        <v>24.582000000000001</v>
      </c>
      <c r="AE123" s="5">
        <v>44.423999999999999</v>
      </c>
      <c r="AF123" s="5">
        <v>15.329999999999998</v>
      </c>
      <c r="AG123" s="5">
        <v>0.20060000000000003</v>
      </c>
      <c r="AH123" s="5">
        <v>14.613999999999999</v>
      </c>
      <c r="AI123" s="5">
        <v>0.13059999999999999</v>
      </c>
      <c r="AJ123" s="5">
        <v>0.16145999999999999</v>
      </c>
      <c r="AK123" s="5">
        <v>3.4859999999999995E-2</v>
      </c>
      <c r="AL123" s="82">
        <v>99.477580000000003</v>
      </c>
      <c r="AM123" s="10">
        <v>0.1311207759152469</v>
      </c>
      <c r="AN123" s="51">
        <v>1092.17262497926</v>
      </c>
      <c r="AO123" s="16">
        <v>-1.1740969441553537</v>
      </c>
      <c r="AP123" s="16">
        <v>-0.98146977443525696</v>
      </c>
      <c r="AR123" s="5">
        <v>24.3858</v>
      </c>
      <c r="AS123" s="5">
        <v>44.168799999999997</v>
      </c>
      <c r="AT123" s="5">
        <v>15.195400000000001</v>
      </c>
      <c r="AU123" s="5">
        <v>0.19800000000000001</v>
      </c>
      <c r="AV123" s="5">
        <v>14.491399999999999</v>
      </c>
      <c r="AW123" s="5">
        <v>0.12920000000000001</v>
      </c>
      <c r="AX123" s="5">
        <v>0.16040000000000001</v>
      </c>
      <c r="AY123" s="5">
        <v>3.4999999999999996E-2</v>
      </c>
      <c r="AZ123" s="82">
        <v>98.763999999999996</v>
      </c>
      <c r="BA123" s="10">
        <v>0.12804106239131721</v>
      </c>
      <c r="BB123" s="51">
        <v>1090.6571490528449</v>
      </c>
      <c r="BC123" s="16">
        <v>-1.2165723544143001</v>
      </c>
      <c r="BD123" s="16">
        <v>-1.0222541261732339</v>
      </c>
    </row>
    <row r="124" spans="1:62" s="4" customFormat="1" x14ac:dyDescent="0.2">
      <c r="A124" s="4" t="s">
        <v>44</v>
      </c>
      <c r="B124" s="5">
        <v>0.35851080876313884</v>
      </c>
      <c r="C124" s="5">
        <v>0.62440371555588736</v>
      </c>
      <c r="D124" s="5">
        <v>0.33700148367625882</v>
      </c>
      <c r="E124" s="5">
        <v>1.0072239075796404E-2</v>
      </c>
      <c r="F124" s="5">
        <v>0.11166915420114928</v>
      </c>
      <c r="G124" s="5">
        <v>1.9169689616683794E-2</v>
      </c>
      <c r="H124" s="5">
        <v>1.3054577741160383E-2</v>
      </c>
      <c r="I124" s="5">
        <v>1.2148744791129675E-2</v>
      </c>
      <c r="J124" s="82">
        <v>0.21838090575872338</v>
      </c>
      <c r="K124" s="10"/>
      <c r="L124" s="51"/>
      <c r="M124" s="16"/>
      <c r="N124" s="16"/>
      <c r="P124" s="5">
        <v>0.36925600875273529</v>
      </c>
      <c r="Q124" s="5">
        <v>0.62798885340426336</v>
      </c>
      <c r="R124" s="5">
        <v>0.33063575124296529</v>
      </c>
      <c r="S124" s="5">
        <v>1.0072239075796402E-2</v>
      </c>
      <c r="T124" s="5">
        <v>0.11166915420114877</v>
      </c>
      <c r="U124" s="5">
        <v>1.9169689616683704E-2</v>
      </c>
      <c r="V124" s="5">
        <v>1.3054577741160372E-2</v>
      </c>
      <c r="W124" s="5">
        <v>1.2175672466028313E-2</v>
      </c>
      <c r="X124" s="82">
        <v>0.22299999327354494</v>
      </c>
      <c r="Y124" s="10"/>
      <c r="Z124" s="51"/>
      <c r="AA124" s="16"/>
      <c r="AB124" s="16"/>
      <c r="AD124" s="5">
        <v>0.36663333181804469</v>
      </c>
      <c r="AE124" s="5">
        <v>0.62835499520573435</v>
      </c>
      <c r="AF124" s="5">
        <v>0.33264094756959794</v>
      </c>
      <c r="AG124" s="5">
        <v>1.0072239075796406E-2</v>
      </c>
      <c r="AH124" s="5">
        <v>0.11036303729057075</v>
      </c>
      <c r="AI124" s="5">
        <v>1.891441249418014E-2</v>
      </c>
      <c r="AJ124" s="5">
        <v>1.3015106607323659E-2</v>
      </c>
      <c r="AK124" s="5">
        <v>1.2253897339214169E-2</v>
      </c>
      <c r="AL124" s="82">
        <v>0.22095039488536819</v>
      </c>
      <c r="AM124" s="10"/>
      <c r="AN124" s="51"/>
      <c r="AO124" s="16"/>
      <c r="AP124" s="16"/>
      <c r="AR124" s="5">
        <v>0.36715146738097065</v>
      </c>
      <c r="AS124" s="5">
        <v>0.6268769416719675</v>
      </c>
      <c r="AT124" s="5">
        <v>0.32653529671384707</v>
      </c>
      <c r="AU124" s="5">
        <v>9.7467943448089657E-3</v>
      </c>
      <c r="AV124" s="5">
        <v>0.1139442846306912</v>
      </c>
      <c r="AW124" s="5">
        <v>1.8390214789392761E-2</v>
      </c>
      <c r="AX124" s="5">
        <v>1.3164345787011219E-2</v>
      </c>
      <c r="AY124" s="5">
        <v>1.2083045973594575E-2</v>
      </c>
      <c r="AZ124" s="82">
        <v>0.23104869616597984</v>
      </c>
      <c r="BA124" s="10"/>
      <c r="BB124" s="51"/>
      <c r="BC124" s="16"/>
      <c r="BD124" s="16"/>
    </row>
    <row r="125" spans="1:62" s="4" customFormat="1" x14ac:dyDescent="0.2">
      <c r="A125" s="4" t="s">
        <v>89</v>
      </c>
      <c r="B125" s="5">
        <v>23.506</v>
      </c>
      <c r="C125" s="5">
        <v>44.099999999999994</v>
      </c>
      <c r="D125" s="5">
        <v>16.186</v>
      </c>
      <c r="E125" s="5">
        <v>0.1986</v>
      </c>
      <c r="F125" s="5">
        <v>13.654</v>
      </c>
      <c r="G125" s="5">
        <v>0.12334000000000001</v>
      </c>
      <c r="H125" s="5">
        <v>0.15934000000000001</v>
      </c>
      <c r="I125" s="5">
        <v>3.0099999999999998E-2</v>
      </c>
      <c r="J125" s="82">
        <v>97.957399999999993</v>
      </c>
      <c r="K125" s="10">
        <v>0.12675123610535563</v>
      </c>
      <c r="L125" s="51">
        <v>1037.2587793054327</v>
      </c>
      <c r="M125" s="16">
        <v>-1.0492748321785217</v>
      </c>
      <c r="N125" s="16">
        <v>-0.87395589026284792</v>
      </c>
      <c r="P125" s="5">
        <v>24.33</v>
      </c>
      <c r="Q125" s="5">
        <v>44.381999999999998</v>
      </c>
      <c r="R125" s="5">
        <v>15.957999999999998</v>
      </c>
      <c r="S125" s="5">
        <v>0.19882</v>
      </c>
      <c r="T125" s="5">
        <v>14.103999999999999</v>
      </c>
      <c r="U125" s="5">
        <v>0.12342</v>
      </c>
      <c r="V125" s="5">
        <v>0.15964</v>
      </c>
      <c r="W125" s="5">
        <v>3.0179999999999995E-2</v>
      </c>
      <c r="X125" s="82">
        <v>99.286140000000003</v>
      </c>
      <c r="Y125" s="10">
        <v>0.12270533316151917</v>
      </c>
      <c r="Z125" s="51">
        <v>1050.8403296512342</v>
      </c>
      <c r="AA125" s="16">
        <v>-1.1689286348946071</v>
      </c>
      <c r="AB125" s="16">
        <v>-0.98513939624823355</v>
      </c>
      <c r="AD125" s="5">
        <v>24.36</v>
      </c>
      <c r="AE125" s="5">
        <v>44.4</v>
      </c>
      <c r="AF125" s="5">
        <v>15.964000000000002</v>
      </c>
      <c r="AG125" s="5">
        <v>0.19839999999999999</v>
      </c>
      <c r="AH125" s="5">
        <v>14.117999999999999</v>
      </c>
      <c r="AI125" s="5">
        <v>0.12154000000000001</v>
      </c>
      <c r="AJ125" s="5">
        <v>0.15864</v>
      </c>
      <c r="AK125" s="5">
        <v>3.0339999999999999E-2</v>
      </c>
      <c r="AL125" s="82">
        <v>99.351019999999991</v>
      </c>
      <c r="AM125" s="10">
        <v>0.12267972977105811</v>
      </c>
      <c r="AN125" s="51">
        <v>1050.9463926965495</v>
      </c>
      <c r="AO125" s="16">
        <v>-1.1699194476309993</v>
      </c>
      <c r="AP125" s="16">
        <v>-0.98591412306648607</v>
      </c>
      <c r="AR125" s="5">
        <v>24.156399999999998</v>
      </c>
      <c r="AS125" s="5">
        <v>44.150999999999996</v>
      </c>
      <c r="AT125" s="5">
        <v>15.826400000000001</v>
      </c>
      <c r="AU125" s="5">
        <v>0.19580000000000003</v>
      </c>
      <c r="AV125" s="5">
        <v>13.9922</v>
      </c>
      <c r="AW125" s="5">
        <v>0.1202</v>
      </c>
      <c r="AX125" s="5">
        <v>0.15760000000000002</v>
      </c>
      <c r="AY125" s="5">
        <v>0.03</v>
      </c>
      <c r="AZ125" s="82">
        <v>98.629599999999996</v>
      </c>
      <c r="BA125" s="10">
        <v>0.11945308044215878</v>
      </c>
      <c r="BB125" s="51">
        <v>1049.2524809027686</v>
      </c>
      <c r="BC125" s="16">
        <v>-1.2166999455870016</v>
      </c>
      <c r="BD125" s="16">
        <v>-1.0309057904300802</v>
      </c>
    </row>
    <row r="126" spans="1:62" s="4" customFormat="1" x14ac:dyDescent="0.2">
      <c r="A126" s="4" t="s">
        <v>44</v>
      </c>
      <c r="B126" s="5">
        <v>0.33185840353982266</v>
      </c>
      <c r="C126" s="5">
        <v>0.30602287496198533</v>
      </c>
      <c r="D126" s="5">
        <v>0.22108821768696779</v>
      </c>
      <c r="E126" s="5">
        <v>1.2270085574273724E-2</v>
      </c>
      <c r="F126" s="5">
        <v>0.20107212636265653</v>
      </c>
      <c r="G126" s="5">
        <v>1.3079296617173266E-2</v>
      </c>
      <c r="H126" s="5">
        <v>4.1379946834185343E-3</v>
      </c>
      <c r="I126" s="5">
        <v>3.9293765408776994E-3</v>
      </c>
      <c r="J126" s="82">
        <v>0.14165893900492155</v>
      </c>
      <c r="K126" s="10"/>
      <c r="L126" s="51"/>
      <c r="M126" s="16"/>
      <c r="N126" s="16"/>
      <c r="P126" s="5">
        <v>0.34691497517403369</v>
      </c>
      <c r="Q126" s="5">
        <v>0.30914397940118665</v>
      </c>
      <c r="R126" s="5">
        <v>0.21833460559425677</v>
      </c>
      <c r="S126" s="5">
        <v>1.2292762098080313E-2</v>
      </c>
      <c r="T126" s="5">
        <v>0.20671236053995448</v>
      </c>
      <c r="U126" s="5">
        <v>1.3118955751125925E-2</v>
      </c>
      <c r="V126" s="5">
        <v>4.1379946834185343E-3</v>
      </c>
      <c r="W126" s="5">
        <v>3.9410658456818506E-3</v>
      </c>
      <c r="X126" s="82">
        <v>0.14739069848535066</v>
      </c>
      <c r="Y126" s="10"/>
      <c r="Z126" s="51"/>
      <c r="AA126" s="16"/>
      <c r="AB126" s="16"/>
      <c r="AD126" s="5">
        <v>0.34095454242464607</v>
      </c>
      <c r="AE126" s="5">
        <v>0.31240998703626455</v>
      </c>
      <c r="AF126" s="5">
        <v>0.21961329650091763</v>
      </c>
      <c r="AG126" s="5">
        <v>1.2268455485512433E-2</v>
      </c>
      <c r="AH126" s="5">
        <v>0.20632498636859248</v>
      </c>
      <c r="AI126" s="5">
        <v>1.2893525507013203E-2</v>
      </c>
      <c r="AJ126" s="5">
        <v>4.0814213210596112E-3</v>
      </c>
      <c r="AK126" s="5">
        <v>3.9677449514806265E-3</v>
      </c>
      <c r="AL126" s="82">
        <v>0.14451784318899777</v>
      </c>
      <c r="AM126" s="10"/>
      <c r="AN126" s="51"/>
      <c r="AO126" s="16"/>
      <c r="AP126" s="16"/>
      <c r="AR126" s="5">
        <v>0.34164133239407624</v>
      </c>
      <c r="AS126" s="5">
        <v>0.31285699608607143</v>
      </c>
      <c r="AT126" s="5">
        <v>0.2179100731953435</v>
      </c>
      <c r="AU126" s="5">
        <v>1.239758040909596E-2</v>
      </c>
      <c r="AV126" s="5">
        <v>0.20726360027752122</v>
      </c>
      <c r="AW126" s="5">
        <v>1.2755391017134677E-2</v>
      </c>
      <c r="AX126" s="5">
        <v>3.9749213828703615E-3</v>
      </c>
      <c r="AY126" s="5">
        <v>3.9999999999999992E-3</v>
      </c>
      <c r="AZ126" s="82">
        <v>0.14959712564083594</v>
      </c>
      <c r="BA126" s="10"/>
      <c r="BB126" s="51"/>
      <c r="BC126" s="16"/>
      <c r="BD126" s="16"/>
    </row>
    <row r="127" spans="1:62" s="4" customFormat="1" x14ac:dyDescent="0.2">
      <c r="A127" s="4" t="s">
        <v>90</v>
      </c>
      <c r="B127" s="5">
        <v>23.745999999999999</v>
      </c>
      <c r="C127" s="5">
        <v>43.613999999999997</v>
      </c>
      <c r="D127" s="5">
        <v>16.463999999999999</v>
      </c>
      <c r="E127" s="5">
        <v>0.18872</v>
      </c>
      <c r="F127" s="5">
        <v>13.672000000000001</v>
      </c>
      <c r="G127" s="5">
        <v>0.14476</v>
      </c>
      <c r="H127" s="5">
        <v>0.14779999999999999</v>
      </c>
      <c r="I127" s="5">
        <v>3.2399999999999998E-2</v>
      </c>
      <c r="J127" s="82">
        <v>98.00976</v>
      </c>
      <c r="K127" s="10">
        <v>0.14066872361139904</v>
      </c>
      <c r="L127" s="51">
        <v>1034.622599552516</v>
      </c>
      <c r="M127" s="16">
        <v>-0.83619072615658541</v>
      </c>
      <c r="N127" s="16">
        <v>-0.6732803343443754</v>
      </c>
      <c r="P127" s="5">
        <v>24.577999999999999</v>
      </c>
      <c r="Q127" s="5">
        <v>43.892000000000003</v>
      </c>
      <c r="R127" s="5">
        <v>16.234000000000002</v>
      </c>
      <c r="S127" s="5">
        <v>0.18892</v>
      </c>
      <c r="T127" s="5">
        <v>14.118</v>
      </c>
      <c r="U127" s="5">
        <v>0.14486000000000002</v>
      </c>
      <c r="V127" s="5">
        <v>0.14809999999999998</v>
      </c>
      <c r="W127" s="5">
        <v>3.2460000000000003E-2</v>
      </c>
      <c r="X127" s="82">
        <v>99.336420000000004</v>
      </c>
      <c r="Y127" s="10">
        <v>0.13637753824805893</v>
      </c>
      <c r="Z127" s="51">
        <v>1047.769258539673</v>
      </c>
      <c r="AA127" s="16">
        <v>-0.95241601668512632</v>
      </c>
      <c r="AB127" s="16">
        <v>-0.78048856324189142</v>
      </c>
      <c r="AD127" s="5">
        <v>24.604000000000003</v>
      </c>
      <c r="AE127" s="5">
        <v>43.910000000000004</v>
      </c>
      <c r="AF127" s="5">
        <v>16.241999999999997</v>
      </c>
      <c r="AG127" s="5">
        <v>0.18853999999999999</v>
      </c>
      <c r="AH127" s="5">
        <v>14.132</v>
      </c>
      <c r="AI127" s="5">
        <v>0.14266000000000001</v>
      </c>
      <c r="AJ127" s="5">
        <v>0.14716000000000001</v>
      </c>
      <c r="AK127" s="5">
        <v>3.2619999999999996E-2</v>
      </c>
      <c r="AL127" s="82">
        <v>99.399079999999998</v>
      </c>
      <c r="AM127" s="10">
        <v>0.13651290746191683</v>
      </c>
      <c r="AN127" s="51">
        <v>1047.9647654340624</v>
      </c>
      <c r="AO127" s="16">
        <v>-0.95118777774185892</v>
      </c>
      <c r="AP127" s="16">
        <v>-0.77910599575542072</v>
      </c>
      <c r="AR127" s="5">
        <v>24.4024</v>
      </c>
      <c r="AS127" s="5">
        <v>43.665999999999997</v>
      </c>
      <c r="AT127" s="5">
        <v>16.1008</v>
      </c>
      <c r="AU127" s="5">
        <v>0.186</v>
      </c>
      <c r="AV127" s="5">
        <v>14.005799999999999</v>
      </c>
      <c r="AW127" s="5">
        <v>0.14100000000000001</v>
      </c>
      <c r="AX127" s="5">
        <v>0.1462</v>
      </c>
      <c r="AY127" s="5">
        <v>3.2600000000000004E-2</v>
      </c>
      <c r="AZ127" s="82">
        <v>98.680800000000005</v>
      </c>
      <c r="BA127" s="10">
        <v>0.13310732096319577</v>
      </c>
      <c r="BB127" s="51">
        <v>1046.1108955916966</v>
      </c>
      <c r="BC127" s="16">
        <v>-0.99553691056014881</v>
      </c>
      <c r="BD127" s="16">
        <v>-0.82161600666272872</v>
      </c>
    </row>
    <row r="128" spans="1:62" s="4" customFormat="1" x14ac:dyDescent="0.2">
      <c r="A128" s="4" t="s">
        <v>44</v>
      </c>
      <c r="B128" s="5">
        <v>0.36280848942658495</v>
      </c>
      <c r="C128" s="5">
        <v>0.3181666230137904</v>
      </c>
      <c r="D128" s="5">
        <v>0.26500943379434561</v>
      </c>
      <c r="E128" s="5">
        <v>1.1977353630915302E-2</v>
      </c>
      <c r="F128" s="5">
        <v>0.25371243564319035</v>
      </c>
      <c r="G128" s="5">
        <v>2.1604929992943826E-2</v>
      </c>
      <c r="H128" s="5">
        <v>2.9983328701129936E-3</v>
      </c>
      <c r="I128" s="5">
        <v>6.6682081551193541E-3</v>
      </c>
      <c r="J128" s="82">
        <v>0.15962809276565235</v>
      </c>
      <c r="K128" s="10"/>
      <c r="L128" s="51"/>
      <c r="M128" s="16"/>
      <c r="N128" s="16"/>
      <c r="P128" s="5">
        <v>0.37298793546172465</v>
      </c>
      <c r="Q128" s="5">
        <v>0.3172853605195165</v>
      </c>
      <c r="R128" s="5">
        <v>0.25938388538997642</v>
      </c>
      <c r="S128" s="5">
        <v>1.1977353630915313E-2</v>
      </c>
      <c r="T128" s="5">
        <v>0.26442390209661476</v>
      </c>
      <c r="U128" s="5">
        <v>2.1604929992943743E-2</v>
      </c>
      <c r="V128" s="5">
        <v>2.9983328701129837E-3</v>
      </c>
      <c r="W128" s="5">
        <v>6.6699325333919295E-3</v>
      </c>
      <c r="X128" s="82">
        <v>0.16666187926457554</v>
      </c>
      <c r="Y128" s="10"/>
      <c r="Z128" s="51"/>
      <c r="AA128" s="16"/>
      <c r="AB128" s="16"/>
      <c r="AD128" s="5">
        <v>0.36841552627434099</v>
      </c>
      <c r="AE128" s="5">
        <v>0.3196091362899392</v>
      </c>
      <c r="AF128" s="5">
        <v>0.2638560213449751</v>
      </c>
      <c r="AG128" s="5">
        <v>1.1969878863213278E-2</v>
      </c>
      <c r="AH128" s="5">
        <v>0.25936460822556329</v>
      </c>
      <c r="AI128" s="5">
        <v>2.1277523352119646E-2</v>
      </c>
      <c r="AJ128" s="5">
        <v>3.0204304329019007E-3</v>
      </c>
      <c r="AK128" s="5">
        <v>6.7042523818841892E-3</v>
      </c>
      <c r="AL128" s="82">
        <v>0.15865593906311884</v>
      </c>
      <c r="AM128" s="10"/>
      <c r="AN128" s="51"/>
      <c r="AO128" s="16"/>
      <c r="AP128" s="16"/>
      <c r="AR128" s="5">
        <v>0.37038668982564671</v>
      </c>
      <c r="AS128" s="5">
        <v>0.32182526314756627</v>
      </c>
      <c r="AT128" s="5">
        <v>0.26151520032304071</v>
      </c>
      <c r="AU128" s="5">
        <v>1.1811011811017716E-2</v>
      </c>
      <c r="AV128" s="5">
        <v>0.26251704706551887</v>
      </c>
      <c r="AW128" s="5">
        <v>2.124852936087571E-2</v>
      </c>
      <c r="AX128" s="5">
        <v>3.0331501776206232E-3</v>
      </c>
      <c r="AY128" s="5">
        <v>6.7305274681855251E-3</v>
      </c>
      <c r="AZ128" s="82">
        <v>0.16807944550122494</v>
      </c>
      <c r="BA128" s="10"/>
      <c r="BB128" s="51"/>
      <c r="BC128" s="16"/>
      <c r="BD128" s="16"/>
    </row>
    <row r="129" spans="1:62" s="4" customFormat="1" x14ac:dyDescent="0.2">
      <c r="A129" s="4" t="s">
        <v>91</v>
      </c>
      <c r="B129" s="5">
        <v>24.107999999999997</v>
      </c>
      <c r="C129" s="5">
        <v>43.554000000000002</v>
      </c>
      <c r="D129" s="5">
        <v>16.95</v>
      </c>
      <c r="E129" s="5">
        <v>0.20417999999999997</v>
      </c>
      <c r="F129" s="5">
        <v>13.7</v>
      </c>
      <c r="G129" s="5">
        <v>0.13572000000000001</v>
      </c>
      <c r="H129" s="5">
        <v>0.14352000000000001</v>
      </c>
      <c r="I129" s="5">
        <v>3.3660000000000002E-2</v>
      </c>
      <c r="J129" s="82">
        <v>98.82914000000001</v>
      </c>
      <c r="K129" s="10">
        <v>0.14925473289508223</v>
      </c>
      <c r="L129" s="51">
        <v>1024.2831043594201</v>
      </c>
      <c r="M129" s="16">
        <v>-0.6845491104210959</v>
      </c>
      <c r="N129" s="16">
        <v>-0.53395177010445938</v>
      </c>
      <c r="P129" s="5">
        <v>24.956</v>
      </c>
      <c r="Q129" s="5">
        <v>43.832000000000001</v>
      </c>
      <c r="R129" s="5">
        <v>16.712</v>
      </c>
      <c r="S129" s="5">
        <v>0.2044</v>
      </c>
      <c r="T129" s="5">
        <v>14.148000000000001</v>
      </c>
      <c r="U129" s="5">
        <v>0.13582</v>
      </c>
      <c r="V129" s="5">
        <v>0.14382</v>
      </c>
      <c r="W129" s="5">
        <v>3.3680000000000002E-2</v>
      </c>
      <c r="X129" s="82">
        <v>100.16567999999999</v>
      </c>
      <c r="Y129" s="10">
        <v>0.14465386868841201</v>
      </c>
      <c r="Z129" s="51">
        <v>1036.9980975488606</v>
      </c>
      <c r="AA129" s="16">
        <v>-0.80089077824448096</v>
      </c>
      <c r="AB129" s="16">
        <v>-0.64051854298020761</v>
      </c>
      <c r="AD129" s="5">
        <v>24.978000000000002</v>
      </c>
      <c r="AE129" s="5">
        <v>43.851999999999997</v>
      </c>
      <c r="AF129" s="5">
        <v>16.722000000000001</v>
      </c>
      <c r="AG129" s="5">
        <v>0.20397999999999997</v>
      </c>
      <c r="AH129" s="5">
        <v>14.164000000000001</v>
      </c>
      <c r="AI129" s="5">
        <v>0.13378000000000001</v>
      </c>
      <c r="AJ129" s="5">
        <v>0.14289999999999997</v>
      </c>
      <c r="AK129" s="5">
        <v>3.3859999999999994E-2</v>
      </c>
      <c r="AL129" s="82">
        <v>100.23045999999999</v>
      </c>
      <c r="AM129" s="10">
        <v>0.14506181567141255</v>
      </c>
      <c r="AN129" s="51">
        <v>1037.4386431526368</v>
      </c>
      <c r="AO129" s="16">
        <v>-0.79663954623659516</v>
      </c>
      <c r="AP129" s="16">
        <v>-0.63620427661837287</v>
      </c>
      <c r="AR129" s="5">
        <v>24.785000000000004</v>
      </c>
      <c r="AS129" s="5">
        <v>43.624600000000001</v>
      </c>
      <c r="AT129" s="5">
        <v>16.578799999999998</v>
      </c>
      <c r="AU129" s="5">
        <v>0.20139999999999997</v>
      </c>
      <c r="AV129" s="5">
        <v>14.0418</v>
      </c>
      <c r="AW129" s="5">
        <v>0.13240000000000002</v>
      </c>
      <c r="AX129" s="5">
        <v>0.14180000000000001</v>
      </c>
      <c r="AY129" s="5">
        <v>3.3800000000000004E-2</v>
      </c>
      <c r="AZ129" s="82">
        <v>99.539599999999993</v>
      </c>
      <c r="BA129" s="10">
        <v>0.14151499353547903</v>
      </c>
      <c r="BB129" s="51">
        <v>1035.5510946835075</v>
      </c>
      <c r="BC129" s="16">
        <v>-0.84039599801369258</v>
      </c>
      <c r="BD129" s="16">
        <v>-0.67800683246610305</v>
      </c>
    </row>
    <row r="130" spans="1:62" s="4" customFormat="1" x14ac:dyDescent="0.2">
      <c r="A130" s="4" t="s">
        <v>44</v>
      </c>
      <c r="B130" s="5">
        <v>0.5294997639281821</v>
      </c>
      <c r="C130" s="5">
        <v>0.62211735227367027</v>
      </c>
      <c r="D130" s="5">
        <v>0.39515819616958464</v>
      </c>
      <c r="E130" s="5">
        <v>1.3511550614196732E-2</v>
      </c>
      <c r="F130" s="5">
        <v>0.33354160160315849</v>
      </c>
      <c r="G130" s="5">
        <v>6.7625439000423586E-3</v>
      </c>
      <c r="H130" s="5">
        <v>1.1298982255052893E-2</v>
      </c>
      <c r="I130" s="5">
        <v>5.0806495647702362E-3</v>
      </c>
      <c r="J130" s="82">
        <v>0.17459554118018342</v>
      </c>
      <c r="K130" s="10"/>
      <c r="L130" s="51"/>
      <c r="M130" s="16"/>
      <c r="N130" s="16"/>
      <c r="P130" s="5">
        <v>0.55238573479046271</v>
      </c>
      <c r="Q130" s="5">
        <v>0.62571559034436697</v>
      </c>
      <c r="R130" s="5">
        <v>0.39226266709948276</v>
      </c>
      <c r="S130" s="5">
        <v>1.3554335099885939E-2</v>
      </c>
      <c r="T130" s="5">
        <v>0.34404941505545406</v>
      </c>
      <c r="U130" s="5">
        <v>6.7625439000423455E-3</v>
      </c>
      <c r="V130" s="5">
        <v>1.1358785146308559E-2</v>
      </c>
      <c r="W130" s="5">
        <v>5.0928381085599012E-3</v>
      </c>
      <c r="X130" s="82">
        <v>0.14336612919375791</v>
      </c>
      <c r="Y130" s="10"/>
      <c r="Z130" s="51"/>
      <c r="AA130" s="16"/>
      <c r="AB130" s="16"/>
      <c r="AD130" s="5">
        <v>0.53867429862580229</v>
      </c>
      <c r="AE130" s="5">
        <v>0.63475979708863262</v>
      </c>
      <c r="AF130" s="5">
        <v>0.39226266709948421</v>
      </c>
      <c r="AG130" s="5">
        <v>1.3513215753476301E-2</v>
      </c>
      <c r="AH130" s="5">
        <v>0.33879197156957547</v>
      </c>
      <c r="AI130" s="5">
        <v>6.6586034571822885E-3</v>
      </c>
      <c r="AJ130" s="5">
        <v>1.1257664056099742E-2</v>
      </c>
      <c r="AK130" s="5">
        <v>5.1325432292383087E-3</v>
      </c>
      <c r="AL130" s="82">
        <v>0.16990905802810624</v>
      </c>
      <c r="AM130" s="10"/>
      <c r="AN130" s="51"/>
      <c r="AO130" s="16"/>
      <c r="AP130" s="16"/>
      <c r="AR130" s="5">
        <v>0.54217155956394447</v>
      </c>
      <c r="AS130" s="5">
        <v>0.63872396228731032</v>
      </c>
      <c r="AT130" s="5">
        <v>0.39307467483927272</v>
      </c>
      <c r="AU130" s="5">
        <v>1.3221195104830729E-2</v>
      </c>
      <c r="AV130" s="5">
        <v>0.34104867687765628</v>
      </c>
      <c r="AW130" s="5">
        <v>6.7305274681855425E-3</v>
      </c>
      <c r="AX130" s="5">
        <v>1.0963576058932594E-2</v>
      </c>
      <c r="AY130" s="5">
        <v>5.019960159204453E-3</v>
      </c>
      <c r="AZ130" s="82">
        <v>0.17478215011836626</v>
      </c>
      <c r="BA130" s="10"/>
      <c r="BB130" s="51"/>
      <c r="BC130" s="16"/>
      <c r="BD130" s="16"/>
    </row>
    <row r="131" spans="1:62" s="4" customFormat="1" ht="6.75" customHeight="1" x14ac:dyDescent="0.2">
      <c r="J131" s="82"/>
      <c r="K131" s="10"/>
      <c r="M131" s="16"/>
      <c r="N131" s="16"/>
      <c r="X131" s="82"/>
      <c r="Y131" s="10"/>
      <c r="Z131" s="49"/>
      <c r="AA131" s="16"/>
      <c r="AB131" s="16"/>
      <c r="AL131" s="82"/>
      <c r="AM131" s="10"/>
      <c r="AO131" s="16"/>
      <c r="AP131" s="16"/>
      <c r="AZ131" s="82"/>
      <c r="BA131" s="10"/>
      <c r="BC131" s="16"/>
      <c r="BD131" s="16"/>
    </row>
    <row r="132" spans="1:62" s="4" customFormat="1" x14ac:dyDescent="0.2">
      <c r="A132" s="4" t="s">
        <v>0</v>
      </c>
      <c r="B132" s="5">
        <v>23.7715</v>
      </c>
      <c r="C132" s="5">
        <v>43.850499999999997</v>
      </c>
      <c r="D132" s="5">
        <v>16.285499999999999</v>
      </c>
      <c r="E132" s="5">
        <v>0.19807499999999997</v>
      </c>
      <c r="F132" s="5">
        <v>13.791999999999998</v>
      </c>
      <c r="G132" s="5">
        <v>0.13408500000000001</v>
      </c>
      <c r="H132" s="5">
        <v>0.15322000000000002</v>
      </c>
      <c r="I132" s="5">
        <v>3.2695000000000002E-2</v>
      </c>
      <c r="J132" s="82">
        <v>98.217624999999998</v>
      </c>
      <c r="K132" s="10">
        <v>0.13788754552135091</v>
      </c>
      <c r="L132" s="51">
        <v>1042.9220763469584</v>
      </c>
      <c r="M132" s="16">
        <v>-0.9032487155314981</v>
      </c>
      <c r="N132" s="16">
        <v>-0.73446495572719872</v>
      </c>
      <c r="P132" s="5">
        <v>24.606000000000002</v>
      </c>
      <c r="Q132" s="5">
        <v>44.128500000000003</v>
      </c>
      <c r="R132" s="5">
        <v>16.0565</v>
      </c>
      <c r="S132" s="5">
        <v>0.19828499999999999</v>
      </c>
      <c r="T132" s="5">
        <v>14.243000000000002</v>
      </c>
      <c r="U132" s="5">
        <v>0.13418000000000002</v>
      </c>
      <c r="V132" s="5">
        <v>0.15351999999999999</v>
      </c>
      <c r="W132" s="5">
        <v>3.2750000000000001E-2</v>
      </c>
      <c r="X132" s="82">
        <v>99.552779999999984</v>
      </c>
      <c r="Y132" s="10">
        <v>0.13383965109083207</v>
      </c>
      <c r="Z132" s="49">
        <v>1056.5235451780936</v>
      </c>
      <c r="AA132" s="16">
        <v>-1.0181879966396754</v>
      </c>
      <c r="AB132" s="16">
        <v>-0.84079542563485798</v>
      </c>
      <c r="AD132" s="5">
        <v>24.631</v>
      </c>
      <c r="AE132" s="5">
        <v>44.146500000000003</v>
      </c>
      <c r="AF132" s="5">
        <v>16.064499999999999</v>
      </c>
      <c r="AG132" s="5">
        <v>0.19788</v>
      </c>
      <c r="AH132" s="5">
        <v>14.257</v>
      </c>
      <c r="AI132" s="5">
        <v>0.13214500000000001</v>
      </c>
      <c r="AJ132" s="5">
        <v>0.15254000000000001</v>
      </c>
      <c r="AK132" s="5">
        <v>3.2919999999999998E-2</v>
      </c>
      <c r="AL132" s="82">
        <v>99.614534999999989</v>
      </c>
      <c r="AM132" s="10">
        <v>0.13401455111425195</v>
      </c>
      <c r="AN132" s="49">
        <v>1056.7510528689113</v>
      </c>
      <c r="AO132" s="16">
        <v>-1.01642565684727</v>
      </c>
      <c r="AP132" s="16">
        <v>-0.83890131174040405</v>
      </c>
      <c r="AR132" s="5">
        <v>24.432400000000001</v>
      </c>
      <c r="AS132" s="5">
        <v>43.9026</v>
      </c>
      <c r="AT132" s="5">
        <v>15.925349999999998</v>
      </c>
      <c r="AU132" s="5">
        <v>0.19529999999999997</v>
      </c>
      <c r="AV132" s="5">
        <v>14.1328</v>
      </c>
      <c r="AW132" s="5">
        <v>0.13070000000000001</v>
      </c>
      <c r="AX132" s="5">
        <v>0.15150000000000002</v>
      </c>
      <c r="AY132" s="5">
        <v>3.2850000000000004E-2</v>
      </c>
      <c r="AZ132" s="82">
        <v>98.903499999999994</v>
      </c>
      <c r="BA132" s="10">
        <v>0.13069462397938897</v>
      </c>
      <c r="BB132" s="49">
        <v>1055.0055615789711</v>
      </c>
      <c r="BC132" s="16">
        <v>-1.0607141798631401</v>
      </c>
      <c r="BD132" s="16">
        <v>-0.8813684497089298</v>
      </c>
      <c r="BF132" s="28">
        <f>AVERAGE(K132, Y132, AM132, BA132)</f>
        <v>0.13410909292645595</v>
      </c>
      <c r="BG132" s="29">
        <f>AVERAGE(M132, AA132, AO132, BC132)</f>
        <v>-0.99964413722039591</v>
      </c>
      <c r="BH132" s="29">
        <f>AVERAGE(N132, AB132, AP132, BD132)</f>
        <v>-0.82388253570284764</v>
      </c>
      <c r="BJ132" s="32">
        <f>BF132-BF121</f>
        <v>3.7371700884469075E-2</v>
      </c>
    </row>
    <row r="133" spans="1:62" s="33" customFormat="1" x14ac:dyDescent="0.2">
      <c r="A133" s="33" t="s">
        <v>44</v>
      </c>
      <c r="B133" s="34">
        <v>0.24929433741396109</v>
      </c>
      <c r="C133" s="34">
        <v>0.30901294471267571</v>
      </c>
      <c r="D133" s="34">
        <v>0.58768330473705577</v>
      </c>
      <c r="E133" s="34">
        <v>6.6455072542783798E-3</v>
      </c>
      <c r="F133" s="34">
        <v>0.23409969386282109</v>
      </c>
      <c r="G133" s="34">
        <v>8.8418154244476257E-3</v>
      </c>
      <c r="H133" s="34">
        <v>8.9799925760919511E-3</v>
      </c>
      <c r="I133" s="34">
        <v>1.954302944786197E-3</v>
      </c>
      <c r="J133" s="84">
        <v>0.41046568459901667</v>
      </c>
      <c r="K133" s="35">
        <f>STDEVA(K123, K125, K127, K129)</f>
        <v>9.5718124920119753E-3</v>
      </c>
      <c r="L133" s="54">
        <f>STDEVA(L123, L125, L127, L129)</f>
        <v>23.115123481378571</v>
      </c>
      <c r="M133" s="35">
        <f t="shared" ref="M133:N133" si="48">STDEVA(M123, M125, M127, M129)</f>
        <v>0.18348442395940331</v>
      </c>
      <c r="N133" s="35">
        <f t="shared" si="48"/>
        <v>0.1688282751977343</v>
      </c>
      <c r="P133" s="34">
        <v>0.25921419714205501</v>
      </c>
      <c r="Q133" s="34">
        <v>0.30888347317394504</v>
      </c>
      <c r="R133" s="34">
        <v>0.58033869421226825</v>
      </c>
      <c r="S133" s="34">
        <v>6.6521650610910071E-3</v>
      </c>
      <c r="T133" s="34">
        <v>0.24003610839482747</v>
      </c>
      <c r="U133" s="34">
        <v>8.8499190203451452E-3</v>
      </c>
      <c r="V133" s="34">
        <v>8.9799925760919701E-3</v>
      </c>
      <c r="W133" s="34">
        <v>1.9389687980986214E-3</v>
      </c>
      <c r="X133" s="84">
        <v>0.4124839225957751</v>
      </c>
      <c r="Y133" s="35">
        <f>STDEVA(Y123, Y125, Y127, Y129)</f>
        <v>9.2301678374184151E-3</v>
      </c>
      <c r="Z133" s="54">
        <f>STDEVA(Z123, Z125, Z127, Z129)</f>
        <v>24.145369312823536</v>
      </c>
      <c r="AA133" s="35">
        <f t="shared" ref="AA133:AB133" si="49">STDEVA(AA123, AA125, AA127, AA129)</f>
        <v>0.18168685578487057</v>
      </c>
      <c r="AB133" s="35">
        <f t="shared" si="49"/>
        <v>0.16811216170620719</v>
      </c>
      <c r="AD133" s="34">
        <v>0.25624207304812457</v>
      </c>
      <c r="AE133" s="34">
        <v>0.30764210808448572</v>
      </c>
      <c r="AF133" s="34">
        <v>0.5812065037488835</v>
      </c>
      <c r="AG133" s="34">
        <v>6.6361233663437373E-3</v>
      </c>
      <c r="AH133" s="34">
        <v>0.23877744170391493</v>
      </c>
      <c r="AI133" s="34">
        <v>8.7195470065823955E-3</v>
      </c>
      <c r="AJ133" s="34">
        <v>8.9190881447227238E-3</v>
      </c>
      <c r="AK133" s="34">
        <v>1.9488116036874008E-3</v>
      </c>
      <c r="AL133" s="84">
        <v>0.41391677500837321</v>
      </c>
      <c r="AM133" s="35">
        <f>STDEVA(AM123, AM125, AM127, AM129)</f>
        <v>9.3989243088416254E-3</v>
      </c>
      <c r="AN133" s="54">
        <f>STDEVA(AN123, AN125, AN127, AN129)</f>
        <v>24.069161613895844</v>
      </c>
      <c r="AO133" s="35">
        <f t="shared" ref="AO133:AP133" si="50">STDEVA(AO123, AO125, AO127, AO129)</f>
        <v>0.18331362452794739</v>
      </c>
      <c r="AP133" s="35">
        <f t="shared" si="50"/>
        <v>0.16972197723926696</v>
      </c>
      <c r="AR133" s="34">
        <v>0.2604958860839609</v>
      </c>
      <c r="AS133" s="34">
        <v>0.29767351242594503</v>
      </c>
      <c r="AT133" s="34">
        <v>0.57746506676450271</v>
      </c>
      <c r="AU133" s="34">
        <v>6.6141262965463974E-3</v>
      </c>
      <c r="AV133" s="34">
        <v>0.23998077700793677</v>
      </c>
      <c r="AW133" s="34">
        <v>8.5922445651102578E-3</v>
      </c>
      <c r="AX133" s="34">
        <v>8.9181462946810557E-3</v>
      </c>
      <c r="AY133" s="34">
        <v>2.1377558326431947E-3</v>
      </c>
      <c r="AZ133" s="84">
        <v>0.42766808001844614</v>
      </c>
      <c r="BA133" s="35">
        <f>STDEVA(BA123, BA125, BA127, BA129)</f>
        <v>9.2413134076461487E-3</v>
      </c>
      <c r="BB133" s="54">
        <f>STDEVA(BB123, BB125, BB127, BB129)</f>
        <v>24.228941729565022</v>
      </c>
      <c r="BC133" s="35">
        <f t="shared" ref="BC133:BD133" si="51">STDEVA(BC123, BC125, BC127, BC129)</f>
        <v>0.1837007953624227</v>
      </c>
      <c r="BD133" s="35">
        <f t="shared" si="51"/>
        <v>0.17024496775594947</v>
      </c>
      <c r="BF133" s="36">
        <f>STDEVA(K132, Y132, AM132, BA132)</f>
        <v>2.9448734697998099E-3</v>
      </c>
      <c r="BG133" s="37">
        <f>STDEVA(M132, AA132, AO132, BC132)</f>
        <v>6.744657528769514E-2</v>
      </c>
      <c r="BH133" s="37">
        <f>STDEVA(N132, AB132, AP132, BD132)</f>
        <v>6.2747492373094932E-2</v>
      </c>
    </row>
    <row r="134" spans="1:62" s="33" customFormat="1" x14ac:dyDescent="0.2">
      <c r="B134" s="34"/>
      <c r="C134" s="34"/>
      <c r="D134" s="34"/>
      <c r="E134" s="34"/>
      <c r="F134" s="34"/>
      <c r="G134" s="34"/>
      <c r="H134" s="34"/>
      <c r="I134" s="34"/>
      <c r="J134" s="84"/>
      <c r="K134" s="35"/>
      <c r="L134" s="53"/>
      <c r="M134" s="35"/>
      <c r="N134" s="35"/>
      <c r="P134" s="34"/>
      <c r="Q134" s="34"/>
      <c r="R134" s="34"/>
      <c r="S134" s="34"/>
      <c r="T134" s="34"/>
      <c r="U134" s="34"/>
      <c r="V134" s="34"/>
      <c r="W134" s="34"/>
      <c r="X134" s="84"/>
      <c r="Y134" s="35"/>
      <c r="Z134" s="53"/>
      <c r="AA134" s="35"/>
      <c r="AB134" s="35"/>
      <c r="AD134" s="34"/>
      <c r="AE134" s="34"/>
      <c r="AF134" s="34"/>
      <c r="AG134" s="34"/>
      <c r="AH134" s="34"/>
      <c r="AI134" s="34"/>
      <c r="AJ134" s="34"/>
      <c r="AK134" s="34"/>
      <c r="AL134" s="84"/>
      <c r="AM134" s="35"/>
      <c r="AN134" s="53"/>
      <c r="AO134" s="35"/>
      <c r="AP134" s="35"/>
      <c r="AR134" s="34"/>
      <c r="AS134" s="34"/>
      <c r="AT134" s="34"/>
      <c r="AU134" s="34"/>
      <c r="AV134" s="34"/>
      <c r="AW134" s="34"/>
      <c r="AX134" s="34"/>
      <c r="AY134" s="34"/>
      <c r="AZ134" s="84"/>
      <c r="BA134" s="35"/>
      <c r="BB134" s="53"/>
      <c r="BC134" s="35"/>
      <c r="BD134" s="35"/>
      <c r="BF134" s="36"/>
      <c r="BG134" s="37"/>
      <c r="BH134" s="37"/>
    </row>
    <row r="135" spans="1:62" s="33" customFormat="1" x14ac:dyDescent="0.2">
      <c r="A135" s="38" t="s">
        <v>104</v>
      </c>
      <c r="C135" s="34"/>
      <c r="D135" s="34"/>
      <c r="E135" s="34"/>
      <c r="F135" s="34"/>
      <c r="G135" s="34"/>
      <c r="H135" s="34"/>
      <c r="I135" s="34"/>
      <c r="J135" s="84"/>
      <c r="K135" s="39"/>
      <c r="L135" s="53"/>
      <c r="M135" s="35"/>
      <c r="N135" s="35"/>
      <c r="Q135" s="34"/>
      <c r="R135" s="34"/>
      <c r="S135" s="34"/>
      <c r="T135" s="34"/>
      <c r="U135" s="34"/>
      <c r="V135" s="34"/>
      <c r="W135" s="34"/>
      <c r="X135" s="84"/>
      <c r="Y135" s="39"/>
      <c r="Z135" s="53"/>
      <c r="AA135" s="35"/>
      <c r="AB135" s="35"/>
      <c r="AE135" s="34"/>
      <c r="AF135" s="34"/>
      <c r="AG135" s="34"/>
      <c r="AH135" s="34"/>
      <c r="AI135" s="34"/>
      <c r="AJ135" s="34"/>
      <c r="AK135" s="34"/>
      <c r="AL135" s="84"/>
      <c r="AM135" s="39"/>
      <c r="AN135" s="53"/>
      <c r="AO135" s="35"/>
      <c r="AP135" s="35"/>
      <c r="AS135" s="34"/>
      <c r="AT135" s="34"/>
      <c r="AU135" s="34"/>
      <c r="AV135" s="34"/>
      <c r="AW135" s="34"/>
      <c r="AX135" s="34"/>
      <c r="AY135" s="34"/>
      <c r="AZ135" s="84"/>
      <c r="BA135" s="39"/>
      <c r="BB135" s="53"/>
      <c r="BC135" s="35"/>
      <c r="BD135" s="35"/>
    </row>
    <row r="136" spans="1:62" s="4" customFormat="1" x14ac:dyDescent="0.2">
      <c r="A136" s="22" t="s">
        <v>196</v>
      </c>
      <c r="B136" s="4">
        <v>23.78</v>
      </c>
      <c r="C136" s="4">
        <v>46.02</v>
      </c>
      <c r="D136" s="4">
        <v>15.9</v>
      </c>
      <c r="E136" s="4">
        <v>0.27</v>
      </c>
      <c r="F136" s="4">
        <v>14.38</v>
      </c>
      <c r="G136" s="4">
        <v>0.18</v>
      </c>
      <c r="H136" s="4">
        <v>0.14000000000000001</v>
      </c>
      <c r="J136" s="82"/>
      <c r="K136" s="10">
        <v>0.13494682883146789</v>
      </c>
      <c r="L136" s="51">
        <v>1108.2922130471252</v>
      </c>
      <c r="M136" s="16">
        <v>-1.1692593978988688</v>
      </c>
      <c r="N136" s="16">
        <v>-1.1401960807867297</v>
      </c>
      <c r="P136" s="4">
        <v>23.78</v>
      </c>
      <c r="Q136" s="4">
        <v>46.02</v>
      </c>
      <c r="R136" s="4">
        <v>15.9</v>
      </c>
      <c r="S136" s="4">
        <v>0.27</v>
      </c>
      <c r="T136" s="4">
        <v>14.38</v>
      </c>
      <c r="U136" s="4">
        <v>0.18</v>
      </c>
      <c r="V136" s="4">
        <v>0.14000000000000001</v>
      </c>
      <c r="X136" s="82"/>
      <c r="Y136" s="10">
        <v>0.13494682883146789</v>
      </c>
      <c r="Z136" s="51">
        <v>1108.2922130471252</v>
      </c>
      <c r="AA136" s="16">
        <v>-1.1692593978988688</v>
      </c>
      <c r="AB136" s="16">
        <v>-1.1401960807867297</v>
      </c>
      <c r="AD136" s="4">
        <v>23.78</v>
      </c>
      <c r="AE136" s="4">
        <v>46.02</v>
      </c>
      <c r="AF136" s="4">
        <v>15.9</v>
      </c>
      <c r="AG136" s="4">
        <v>0.27</v>
      </c>
      <c r="AH136" s="4">
        <v>14.38</v>
      </c>
      <c r="AI136" s="4">
        <v>0.18</v>
      </c>
      <c r="AJ136" s="4">
        <v>0.14000000000000001</v>
      </c>
      <c r="AL136" s="82"/>
      <c r="AM136" s="10">
        <v>0.13494682883146789</v>
      </c>
      <c r="AN136" s="51">
        <v>1108.2922130471252</v>
      </c>
      <c r="AO136" s="16">
        <v>-1.1692593978988688</v>
      </c>
      <c r="AP136" s="16">
        <v>-1.1401960807867297</v>
      </c>
      <c r="AR136" s="4">
        <v>23.78</v>
      </c>
      <c r="AS136" s="4">
        <v>46.02</v>
      </c>
      <c r="AT136" s="4">
        <v>15.9</v>
      </c>
      <c r="AU136" s="4">
        <v>0.27</v>
      </c>
      <c r="AV136" s="4">
        <v>14.38</v>
      </c>
      <c r="AW136" s="4">
        <v>0.18</v>
      </c>
      <c r="AX136" s="4">
        <v>0.14000000000000001</v>
      </c>
      <c r="AZ136" s="82"/>
      <c r="BA136" s="10">
        <v>0.13494682883146789</v>
      </c>
      <c r="BB136" s="51">
        <v>1108.2922130471252</v>
      </c>
      <c r="BC136" s="16">
        <v>-1.1692593978988688</v>
      </c>
      <c r="BD136" s="16">
        <v>-1.1401960807867297</v>
      </c>
      <c r="BF136" s="10">
        <f>BA136</f>
        <v>0.13494682883146789</v>
      </c>
      <c r="BG136" s="16">
        <f t="shared" ref="BG136" si="52">BC136</f>
        <v>-1.1692593978988688</v>
      </c>
      <c r="BH136" s="16">
        <f t="shared" ref="BH136" si="53">BD136</f>
        <v>-1.1401960807867297</v>
      </c>
    </row>
    <row r="137" spans="1:62" s="4" customFormat="1" ht="6.75" customHeight="1" x14ac:dyDescent="0.2">
      <c r="J137" s="82"/>
      <c r="K137" s="10"/>
      <c r="L137" s="51"/>
      <c r="M137" s="16"/>
      <c r="N137" s="16"/>
      <c r="X137" s="82"/>
      <c r="Y137" s="10"/>
      <c r="Z137" s="51"/>
      <c r="AA137" s="16"/>
      <c r="AB137" s="16"/>
      <c r="AL137" s="82"/>
      <c r="AM137" s="10"/>
      <c r="AN137" s="51"/>
      <c r="AO137" s="16"/>
      <c r="AP137" s="16"/>
      <c r="AZ137" s="82"/>
      <c r="BA137" s="10"/>
      <c r="BB137" s="51"/>
      <c r="BC137" s="16"/>
      <c r="BD137" s="16"/>
    </row>
    <row r="138" spans="1:62" s="4" customFormat="1" x14ac:dyDescent="0.2">
      <c r="A138" s="4" t="s">
        <v>74</v>
      </c>
      <c r="B138" s="5">
        <v>23.7575</v>
      </c>
      <c r="C138" s="5">
        <v>44.697499999999998</v>
      </c>
      <c r="D138" s="5">
        <v>15.27</v>
      </c>
      <c r="E138" s="5">
        <v>0.18530000000000002</v>
      </c>
      <c r="F138" s="5">
        <v>14.307499999999999</v>
      </c>
      <c r="G138" s="5">
        <v>0.1396</v>
      </c>
      <c r="H138" s="5">
        <v>0.15179999999999999</v>
      </c>
      <c r="I138" s="5">
        <v>2.9774999999999999E-2</v>
      </c>
      <c r="J138" s="82">
        <v>98.539050000000003</v>
      </c>
      <c r="K138" s="10">
        <v>0.12587455572043277</v>
      </c>
      <c r="L138" s="51">
        <v>1114.2655483809549</v>
      </c>
      <c r="M138" s="16">
        <v>-1.3279772118217101</v>
      </c>
      <c r="N138" s="16">
        <v>-1.2912771014792348</v>
      </c>
      <c r="P138" s="5">
        <v>24.589999999999996</v>
      </c>
      <c r="Q138" s="5">
        <v>44.977500000000006</v>
      </c>
      <c r="R138" s="5">
        <v>15.055</v>
      </c>
      <c r="S138" s="5">
        <v>0.1855</v>
      </c>
      <c r="T138" s="5">
        <v>14.772500000000001</v>
      </c>
      <c r="U138" s="5">
        <v>0.13967499999999999</v>
      </c>
      <c r="V138" s="5">
        <v>0.15210000000000001</v>
      </c>
      <c r="W138" s="5">
        <v>2.98E-2</v>
      </c>
      <c r="X138" s="82">
        <v>99.902175</v>
      </c>
      <c r="Y138" s="10">
        <v>0.1230050610877064</v>
      </c>
      <c r="Z138" s="51">
        <v>1130.7115367728661</v>
      </c>
      <c r="AA138" s="16">
        <v>-1.4341562562269332</v>
      </c>
      <c r="AB138" s="16">
        <v>-1.3913137021723481</v>
      </c>
      <c r="AD138" s="5">
        <v>24.625</v>
      </c>
      <c r="AE138" s="5">
        <v>44.995000000000005</v>
      </c>
      <c r="AF138" s="5">
        <v>15.059999999999999</v>
      </c>
      <c r="AG138" s="5">
        <v>0.18514999999999998</v>
      </c>
      <c r="AH138" s="5">
        <v>14.787500000000001</v>
      </c>
      <c r="AI138" s="5">
        <v>0.13755000000000001</v>
      </c>
      <c r="AJ138" s="5">
        <v>0.151175</v>
      </c>
      <c r="AK138" s="5">
        <v>2.9975000000000002E-2</v>
      </c>
      <c r="AL138" s="82">
        <v>99.971374999999995</v>
      </c>
      <c r="AM138" s="10">
        <v>0.12286025791886218</v>
      </c>
      <c r="AN138" s="51">
        <v>1130.7533798317727</v>
      </c>
      <c r="AO138" s="16">
        <v>-1.4368958488877577</v>
      </c>
      <c r="AP138" s="16">
        <v>-1.393820362890299</v>
      </c>
      <c r="AR138" s="5">
        <v>24.421250000000001</v>
      </c>
      <c r="AS138" s="5">
        <v>44.737249999999996</v>
      </c>
      <c r="AT138" s="5">
        <v>14.929750000000002</v>
      </c>
      <c r="AU138" s="5">
        <v>0.18275000000000002</v>
      </c>
      <c r="AV138" s="5">
        <v>14.662750000000001</v>
      </c>
      <c r="AW138" s="5">
        <v>0.13600000000000001</v>
      </c>
      <c r="AX138" s="5">
        <v>0.15024999999999999</v>
      </c>
      <c r="AY138" s="5">
        <v>2.9749999999999999E-2</v>
      </c>
      <c r="AZ138" s="82">
        <v>99.249749999999992</v>
      </c>
      <c r="BA138" s="10">
        <v>0.11996069744356938</v>
      </c>
      <c r="BB138" s="51">
        <v>1129.2496333539498</v>
      </c>
      <c r="BC138" s="16">
        <v>-1.4793893197733212</v>
      </c>
      <c r="BD138" s="16">
        <v>-1.4346916049103706</v>
      </c>
    </row>
    <row r="139" spans="1:62" s="4" customFormat="1" x14ac:dyDescent="0.2">
      <c r="A139" s="4" t="s">
        <v>44</v>
      </c>
      <c r="B139" s="5">
        <v>0.16111590031195919</v>
      </c>
      <c r="C139" s="5">
        <v>0.27885181249784413</v>
      </c>
      <c r="D139" s="5">
        <v>7.6594168620507122E-2</v>
      </c>
      <c r="E139" s="5">
        <v>8.5146931829632021E-3</v>
      </c>
      <c r="F139" s="5">
        <v>0.23977419933484662</v>
      </c>
      <c r="G139" s="5">
        <v>2.114536986355791E-2</v>
      </c>
      <c r="H139" s="5">
        <v>5.9391357395948887E-3</v>
      </c>
      <c r="I139" s="5">
        <v>9.8925477001629916E-3</v>
      </c>
      <c r="J139" s="82">
        <v>4.1729326218698161E-2</v>
      </c>
      <c r="K139" s="10"/>
      <c r="L139" s="51"/>
      <c r="M139" s="16"/>
      <c r="N139" s="16"/>
      <c r="P139" s="5">
        <v>0.16512621435334404</v>
      </c>
      <c r="Q139" s="5">
        <v>0.27885181249784413</v>
      </c>
      <c r="R139" s="5">
        <v>7.5055534994650702E-2</v>
      </c>
      <c r="S139" s="5">
        <v>8.5805982697400949E-3</v>
      </c>
      <c r="T139" s="5">
        <v>0.24931573021639333</v>
      </c>
      <c r="U139" s="5">
        <v>2.1166384512555019E-2</v>
      </c>
      <c r="V139" s="5">
        <v>5.9391357395948878E-3</v>
      </c>
      <c r="W139" s="5">
        <v>9.9421660953067387E-3</v>
      </c>
      <c r="X139" s="82">
        <v>4.8737827540148611E-2</v>
      </c>
      <c r="Y139" s="10"/>
      <c r="Z139" s="51"/>
      <c r="AA139" s="16"/>
      <c r="AB139" s="16"/>
      <c r="AD139" s="5">
        <v>0.167829278335654</v>
      </c>
      <c r="AE139" s="5">
        <v>0.27694764848252518</v>
      </c>
      <c r="AF139" s="5">
        <v>7.6594168620506345E-2</v>
      </c>
      <c r="AG139" s="5">
        <v>8.5519978172744308E-3</v>
      </c>
      <c r="AH139" s="5">
        <v>0.24757153848265087</v>
      </c>
      <c r="AI139" s="5">
        <v>2.0837386272435036E-2</v>
      </c>
      <c r="AJ139" s="5">
        <v>5.8948423784412332E-3</v>
      </c>
      <c r="AK139" s="5">
        <v>9.9573674566456813E-3</v>
      </c>
      <c r="AL139" s="82">
        <v>4.9955338386734709E-2</v>
      </c>
      <c r="AM139" s="10"/>
      <c r="AN139" s="51"/>
      <c r="AO139" s="16"/>
      <c r="AP139" s="16"/>
      <c r="AR139" s="5">
        <v>0.16457293216078961</v>
      </c>
      <c r="AS139" s="5">
        <v>0.28260617473792005</v>
      </c>
      <c r="AT139" s="5">
        <v>7.6347342237085919E-2</v>
      </c>
      <c r="AU139" s="5">
        <v>8.2613558209291612E-3</v>
      </c>
      <c r="AV139" s="5">
        <v>0.24928748464373437</v>
      </c>
      <c r="AW139" s="5">
        <v>2.0542638584174162E-2</v>
      </c>
      <c r="AX139" s="5">
        <v>5.7951128835712412E-3</v>
      </c>
      <c r="AY139" s="5">
        <v>1.0242883708539641E-2</v>
      </c>
      <c r="AZ139" s="82">
        <v>4.425965054840298E-2</v>
      </c>
      <c r="BA139" s="10"/>
      <c r="BB139" s="51"/>
      <c r="BC139" s="16"/>
      <c r="BD139" s="16"/>
    </row>
    <row r="140" spans="1:62" s="4" customFormat="1" x14ac:dyDescent="0.2">
      <c r="A140" s="4" t="s">
        <v>75</v>
      </c>
      <c r="B140" s="5">
        <v>23.759999999999998</v>
      </c>
      <c r="C140" s="5">
        <v>44.497999999999998</v>
      </c>
      <c r="D140" s="5">
        <v>15.456</v>
      </c>
      <c r="E140" s="5">
        <v>0.19392000000000001</v>
      </c>
      <c r="F140" s="5">
        <v>14.053999999999998</v>
      </c>
      <c r="G140" s="5">
        <v>0.14021999999999998</v>
      </c>
      <c r="H140" s="5">
        <v>0.13789999999999999</v>
      </c>
      <c r="I140" s="5">
        <v>3.1220000000000005E-2</v>
      </c>
      <c r="J140" s="82">
        <v>98.27127999999999</v>
      </c>
      <c r="K140" s="10">
        <v>0.11821509853960979</v>
      </c>
      <c r="L140" s="51">
        <v>1092.4176681360077</v>
      </c>
      <c r="M140" s="16">
        <v>-1.3871038946784811</v>
      </c>
      <c r="N140" s="16">
        <v>-1.3525598073235567</v>
      </c>
      <c r="P140" s="5">
        <v>24.591999999999999</v>
      </c>
      <c r="Q140" s="5">
        <v>44.777999999999999</v>
      </c>
      <c r="R140" s="5">
        <v>15.235999999999999</v>
      </c>
      <c r="S140" s="5">
        <v>0.19412000000000001</v>
      </c>
      <c r="T140" s="5">
        <v>14.514000000000001</v>
      </c>
      <c r="U140" s="5">
        <v>0.14030000000000001</v>
      </c>
      <c r="V140" s="5">
        <v>0.13816000000000001</v>
      </c>
      <c r="W140" s="5">
        <v>3.1299999999999994E-2</v>
      </c>
      <c r="X140" s="82">
        <v>99.623959999999997</v>
      </c>
      <c r="Y140" s="10">
        <v>0.11471465528411912</v>
      </c>
      <c r="Z140" s="51">
        <v>1107.9772764233808</v>
      </c>
      <c r="AA140" s="16">
        <v>-1.5048506302586977</v>
      </c>
      <c r="AB140" s="16">
        <v>-1.4634788016742828</v>
      </c>
      <c r="AD140" s="5">
        <v>24.612000000000002</v>
      </c>
      <c r="AE140" s="5">
        <v>44.796000000000006</v>
      </c>
      <c r="AF140" s="5">
        <v>15.241999999999999</v>
      </c>
      <c r="AG140" s="5">
        <v>0.19372</v>
      </c>
      <c r="AH140" s="5">
        <v>14.526</v>
      </c>
      <c r="AI140" s="5">
        <v>0.13818</v>
      </c>
      <c r="AJ140" s="5">
        <v>0.13728000000000001</v>
      </c>
      <c r="AK140" s="5">
        <v>3.1460000000000002E-2</v>
      </c>
      <c r="AL140" s="82">
        <v>99.676740000000009</v>
      </c>
      <c r="AM140" s="10">
        <v>0.11482459322927087</v>
      </c>
      <c r="AN140" s="51">
        <v>1108.1957746044004</v>
      </c>
      <c r="AO140" s="16">
        <v>-1.5036983246996043</v>
      </c>
      <c r="AP140" s="16">
        <v>-1.4621737597988531</v>
      </c>
      <c r="AR140" s="5">
        <v>24.416399999999999</v>
      </c>
      <c r="AS140" s="5">
        <v>44.539200000000001</v>
      </c>
      <c r="AT140" s="5">
        <v>15.1096</v>
      </c>
      <c r="AU140" s="5">
        <v>0.191</v>
      </c>
      <c r="AV140" s="5">
        <v>14.402600000000001</v>
      </c>
      <c r="AW140" s="5">
        <v>0.13640000000000002</v>
      </c>
      <c r="AX140" s="5">
        <v>0.13620000000000002</v>
      </c>
      <c r="AY140" s="5">
        <v>3.1399999999999997E-2</v>
      </c>
      <c r="AZ140" s="82">
        <v>98.962800000000001</v>
      </c>
      <c r="BA140" s="10">
        <v>0.11161556878763217</v>
      </c>
      <c r="BB140" s="51">
        <v>1106.4741460341152</v>
      </c>
      <c r="BC140" s="16">
        <v>-1.5538077574558076</v>
      </c>
      <c r="BD140" s="16">
        <v>-1.5105354269748634</v>
      </c>
    </row>
    <row r="141" spans="1:62" s="4" customFormat="1" x14ac:dyDescent="0.2">
      <c r="A141" s="4" t="s">
        <v>44</v>
      </c>
      <c r="B141" s="5">
        <v>0.23205602771744605</v>
      </c>
      <c r="C141" s="5">
        <v>0.27179036038829596</v>
      </c>
      <c r="D141" s="5">
        <v>0.2218783450452072</v>
      </c>
      <c r="E141" s="5">
        <v>1.0772047159198663E-2</v>
      </c>
      <c r="F141" s="5">
        <v>0.11610340218959996</v>
      </c>
      <c r="G141" s="5">
        <v>1.8089969596436661E-2</v>
      </c>
      <c r="H141" s="5">
        <v>6.1481704595757565E-3</v>
      </c>
      <c r="I141" s="5">
        <v>4.0702579770820419E-3</v>
      </c>
      <c r="J141" s="82">
        <v>9.8212153015805478E-2</v>
      </c>
      <c r="K141" s="10"/>
      <c r="L141" s="51"/>
      <c r="M141" s="16"/>
      <c r="N141" s="16"/>
      <c r="P141" s="5">
        <v>0.2394159560263269</v>
      </c>
      <c r="Q141" s="5">
        <v>0.27179036038829596</v>
      </c>
      <c r="R141" s="5">
        <v>0.21892921230388615</v>
      </c>
      <c r="S141" s="5">
        <v>1.0772047159198661E-2</v>
      </c>
      <c r="T141" s="5">
        <v>0.12177848742696686</v>
      </c>
      <c r="U141" s="5">
        <v>1.8124706894181664E-2</v>
      </c>
      <c r="V141" s="5">
        <v>6.129681884078482E-3</v>
      </c>
      <c r="W141" s="5">
        <v>4.081053785482373E-3</v>
      </c>
      <c r="X141" s="82">
        <v>9.2155428489050853E-2</v>
      </c>
      <c r="Y141" s="10"/>
      <c r="Z141" s="51"/>
      <c r="AA141" s="16"/>
      <c r="AB141" s="16"/>
      <c r="AD141" s="5">
        <v>0.23941595602632693</v>
      </c>
      <c r="AE141" s="5">
        <v>0.27400729917285177</v>
      </c>
      <c r="AF141" s="5">
        <v>0.21753160689885956</v>
      </c>
      <c r="AG141" s="5">
        <v>1.0772047159198663E-2</v>
      </c>
      <c r="AH141" s="5">
        <v>0.11970797801316307</v>
      </c>
      <c r="AI141" s="5">
        <v>1.7851526545368698E-2</v>
      </c>
      <c r="AJ141" s="5">
        <v>6.1079456448138126E-3</v>
      </c>
      <c r="AK141" s="5">
        <v>4.1222566635278797E-3</v>
      </c>
      <c r="AL141" s="82">
        <v>9.5456445565502687E-2</v>
      </c>
      <c r="AM141" s="10"/>
      <c r="AN141" s="51"/>
      <c r="AO141" s="16"/>
      <c r="AP141" s="16"/>
      <c r="AR141" s="5">
        <v>0.23725050052634228</v>
      </c>
      <c r="AS141" s="5">
        <v>0.2696204740000277</v>
      </c>
      <c r="AT141" s="5">
        <v>0.21838108892484268</v>
      </c>
      <c r="AU141" s="5">
        <v>1.0535653752852741E-2</v>
      </c>
      <c r="AV141" s="5">
        <v>0.12039019893662431</v>
      </c>
      <c r="AW141" s="5">
        <v>1.7529974329701582E-2</v>
      </c>
      <c r="AX141" s="5">
        <v>6.1400325732034952E-3</v>
      </c>
      <c r="AY141" s="5">
        <v>3.9115214431215892E-3</v>
      </c>
      <c r="AZ141" s="82">
        <v>9.7093769110070866E-2</v>
      </c>
      <c r="BA141" s="10"/>
      <c r="BB141" s="51"/>
      <c r="BC141" s="16"/>
      <c r="BD141" s="16"/>
    </row>
    <row r="142" spans="1:62" s="4" customFormat="1" x14ac:dyDescent="0.2">
      <c r="A142" s="4" t="s">
        <v>76</v>
      </c>
      <c r="B142" s="5">
        <v>24</v>
      </c>
      <c r="C142" s="5">
        <v>44.032000000000004</v>
      </c>
      <c r="D142" s="5">
        <v>15.526</v>
      </c>
      <c r="E142" s="5">
        <v>0.18768000000000001</v>
      </c>
      <c r="F142" s="5">
        <v>14.135999999999999</v>
      </c>
      <c r="G142" s="5">
        <v>0.16331999999999999</v>
      </c>
      <c r="H142" s="5">
        <v>0.13988</v>
      </c>
      <c r="I142" s="5">
        <v>3.4959999999999998E-2</v>
      </c>
      <c r="J142" s="82">
        <v>98.219920000000002</v>
      </c>
      <c r="K142" s="10">
        <v>0.12930672517360756</v>
      </c>
      <c r="L142" s="51">
        <v>1096.6332724620665</v>
      </c>
      <c r="M142" s="16">
        <v>-1.2261493303031368</v>
      </c>
      <c r="N142" s="16">
        <v>-1.1999964765551505</v>
      </c>
      <c r="P142" s="5">
        <v>24.838000000000001</v>
      </c>
      <c r="Q142" s="5">
        <v>44.308</v>
      </c>
      <c r="R142" s="5">
        <v>15.306000000000001</v>
      </c>
      <c r="S142" s="5">
        <v>0.18786</v>
      </c>
      <c r="T142" s="5">
        <v>14.595999999999998</v>
      </c>
      <c r="U142" s="5">
        <v>0.16341999999999998</v>
      </c>
      <c r="V142" s="5">
        <v>0.14018</v>
      </c>
      <c r="W142" s="5">
        <v>3.4979999999999997E-2</v>
      </c>
      <c r="X142" s="82">
        <v>99.574519999999993</v>
      </c>
      <c r="Y142" s="10">
        <v>0.12588299617016602</v>
      </c>
      <c r="Z142" s="51">
        <v>1112.3019974652102</v>
      </c>
      <c r="AA142" s="16">
        <v>-1.3381944427280694</v>
      </c>
      <c r="AB142" s="16">
        <v>-1.3050122693144335</v>
      </c>
      <c r="AD142" s="5">
        <v>24.857999999999997</v>
      </c>
      <c r="AE142" s="5">
        <v>44.321999999999996</v>
      </c>
      <c r="AF142" s="5">
        <v>15.312000000000001</v>
      </c>
      <c r="AG142" s="5">
        <v>0.18748000000000001</v>
      </c>
      <c r="AH142" s="5">
        <v>14.61</v>
      </c>
      <c r="AI142" s="5">
        <v>0.16094</v>
      </c>
      <c r="AJ142" s="5">
        <v>0.13925999999999999</v>
      </c>
      <c r="AK142" s="5">
        <v>3.5180000000000003E-2</v>
      </c>
      <c r="AL142" s="82">
        <v>99.624939999999995</v>
      </c>
      <c r="AM142" s="10">
        <v>0.12621037153584769</v>
      </c>
      <c r="AN142" s="51">
        <v>1112.7396321253677</v>
      </c>
      <c r="AO142" s="16">
        <v>-1.3343948849113172</v>
      </c>
      <c r="AP142" s="16">
        <v>-1.3011229867283838</v>
      </c>
      <c r="AR142" s="5">
        <v>24.664000000000001</v>
      </c>
      <c r="AS142" s="5">
        <v>44.067799999999998</v>
      </c>
      <c r="AT142" s="5">
        <v>15.177600000000002</v>
      </c>
      <c r="AU142" s="5">
        <v>0.18520000000000003</v>
      </c>
      <c r="AV142" s="5">
        <v>14.486000000000001</v>
      </c>
      <c r="AW142" s="5">
        <v>0.15939999999999999</v>
      </c>
      <c r="AX142" s="5">
        <v>0.13840000000000002</v>
      </c>
      <c r="AY142" s="5">
        <v>3.5400000000000001E-2</v>
      </c>
      <c r="AZ142" s="82">
        <v>98.913799999999995</v>
      </c>
      <c r="BA142" s="10">
        <v>0.12287626264120216</v>
      </c>
      <c r="BB142" s="51">
        <v>1110.8870521315243</v>
      </c>
      <c r="BC142" s="16">
        <v>-1.3818143667566241</v>
      </c>
      <c r="BD142" s="16">
        <v>-1.3468322728997952</v>
      </c>
    </row>
    <row r="143" spans="1:62" s="4" customFormat="1" x14ac:dyDescent="0.2">
      <c r="A143" s="4" t="s">
        <v>44</v>
      </c>
      <c r="B143" s="5">
        <v>0.68942004612572716</v>
      </c>
      <c r="C143" s="5">
        <v>1.0266791124786732</v>
      </c>
      <c r="D143" s="5">
        <v>0.14842506526863958</v>
      </c>
      <c r="E143" s="5">
        <v>9.6799793388209262E-3</v>
      </c>
      <c r="F143" s="5">
        <v>0.1948845812269403</v>
      </c>
      <c r="G143" s="5">
        <v>2.3931297499299922E-2</v>
      </c>
      <c r="H143" s="5">
        <v>7.4405644947140876E-3</v>
      </c>
      <c r="I143" s="5">
        <v>1.0359922779634994E-2</v>
      </c>
      <c r="J143" s="82">
        <v>0.40361126966426242</v>
      </c>
      <c r="K143" s="10"/>
      <c r="L143" s="51"/>
      <c r="M143" s="16"/>
      <c r="N143" s="16"/>
      <c r="P143" s="5">
        <v>0.71082346612924985</v>
      </c>
      <c r="Q143" s="5">
        <v>1.0321191791648878</v>
      </c>
      <c r="R143" s="5">
        <v>0.14842506526863983</v>
      </c>
      <c r="S143" s="5">
        <v>9.7068532491224966E-3</v>
      </c>
      <c r="T143" s="5">
        <v>0.20169283576765953</v>
      </c>
      <c r="U143" s="5">
        <v>2.3931297499299922E-2</v>
      </c>
      <c r="V143" s="5">
        <v>7.4405644947140972E-3</v>
      </c>
      <c r="W143" s="5">
        <v>1.0396970712664334E-2</v>
      </c>
      <c r="X143" s="82">
        <v>0.40883537885070481</v>
      </c>
      <c r="Y143" s="10"/>
      <c r="Z143" s="51"/>
      <c r="AA143" s="16"/>
      <c r="AB143" s="16"/>
      <c r="AD143" s="5">
        <v>0.70503191417126609</v>
      </c>
      <c r="AE143" s="5">
        <v>1.040466241643619</v>
      </c>
      <c r="AF143" s="5">
        <v>0.1441180072024312</v>
      </c>
      <c r="AG143" s="5">
        <v>9.7335502258939378E-3</v>
      </c>
      <c r="AH143" s="5">
        <v>0.19455076458343709</v>
      </c>
      <c r="AI143" s="5">
        <v>2.3588302185617371E-2</v>
      </c>
      <c r="AJ143" s="5">
        <v>7.3988512621892934E-3</v>
      </c>
      <c r="AK143" s="5">
        <v>1.0465753675679543E-2</v>
      </c>
      <c r="AL143" s="82">
        <v>0.41313142339937931</v>
      </c>
      <c r="AM143" s="10"/>
      <c r="AN143" s="51"/>
      <c r="AO143" s="16"/>
      <c r="AP143" s="16"/>
      <c r="AR143" s="5">
        <v>0.70514395693361787</v>
      </c>
      <c r="AS143" s="5">
        <v>1.0389563032197271</v>
      </c>
      <c r="AT143" s="5">
        <v>0.14271404976385485</v>
      </c>
      <c r="AU143" s="5">
        <v>9.5498691090506668E-3</v>
      </c>
      <c r="AV143" s="5">
        <v>0.20099378099831811</v>
      </c>
      <c r="AW143" s="5">
        <v>2.3222833591101808E-2</v>
      </c>
      <c r="AX143" s="5">
        <v>7.4699397587932341E-3</v>
      </c>
      <c r="AY143" s="5">
        <v>1.0549881515922344E-2</v>
      </c>
      <c r="AZ143" s="82">
        <v>0.42348931509543464</v>
      </c>
      <c r="BA143" s="10"/>
      <c r="BB143" s="51"/>
      <c r="BC143" s="16"/>
      <c r="BD143" s="16"/>
    </row>
    <row r="144" spans="1:62" s="4" customFormat="1" x14ac:dyDescent="0.2">
      <c r="A144" s="46" t="s">
        <v>77</v>
      </c>
      <c r="B144" s="5">
        <v>22.381999999999998</v>
      </c>
      <c r="C144" s="5">
        <v>46.112000000000009</v>
      </c>
      <c r="D144" s="5">
        <v>15.274000000000001</v>
      </c>
      <c r="E144" s="5">
        <v>0.19409999999999999</v>
      </c>
      <c r="F144" s="5">
        <v>13.9</v>
      </c>
      <c r="G144" s="5">
        <v>0.12756000000000001</v>
      </c>
      <c r="H144" s="5">
        <v>0.13896</v>
      </c>
      <c r="I144" s="5">
        <v>2.862E-2</v>
      </c>
      <c r="J144" s="82">
        <v>98.157319999999999</v>
      </c>
      <c r="K144" s="10">
        <v>0.10844380314635131</v>
      </c>
      <c r="L144" s="51">
        <v>1105.5954781549926</v>
      </c>
      <c r="M144" s="16">
        <v>-1.5728016443252844</v>
      </c>
      <c r="N144" s="16">
        <v>-1.5208439165105219</v>
      </c>
      <c r="P144" s="5">
        <v>23.172000000000001</v>
      </c>
      <c r="Q144" s="5">
        <v>46.4</v>
      </c>
      <c r="R144" s="5">
        <v>15.057999999999998</v>
      </c>
      <c r="S144" s="5">
        <v>0.1943</v>
      </c>
      <c r="T144" s="5">
        <v>14.353999999999999</v>
      </c>
      <c r="U144" s="5">
        <v>0.12764</v>
      </c>
      <c r="V144" s="5">
        <v>0.13922000000000001</v>
      </c>
      <c r="W144" s="5">
        <v>2.8660000000000001E-2</v>
      </c>
      <c r="X144" s="82">
        <v>99.473860000000002</v>
      </c>
      <c r="Y144" s="10">
        <v>0.10558104574360588</v>
      </c>
      <c r="Z144" s="51">
        <v>1121.5543611821281</v>
      </c>
      <c r="AA144" s="16">
        <v>-1.6847636277895541</v>
      </c>
      <c r="AB144" s="16">
        <v>-1.6271359412678414</v>
      </c>
      <c r="AD144" s="5">
        <v>23.201999999999998</v>
      </c>
      <c r="AE144" s="5">
        <v>46.43</v>
      </c>
      <c r="AF144" s="5">
        <v>15.068000000000001</v>
      </c>
      <c r="AG144" s="5">
        <v>0.19394</v>
      </c>
      <c r="AH144" s="5">
        <v>14.374000000000001</v>
      </c>
      <c r="AI144" s="5">
        <v>0.12570000000000001</v>
      </c>
      <c r="AJ144" s="5">
        <v>0.13838</v>
      </c>
      <c r="AK144" s="5">
        <v>2.8879999999999999E-2</v>
      </c>
      <c r="AL144" s="82">
        <v>99.560919999999996</v>
      </c>
      <c r="AM144" s="10">
        <v>0.10591297456890739</v>
      </c>
      <c r="AN144" s="51">
        <v>1122.0340058080719</v>
      </c>
      <c r="AO144" s="16">
        <v>-1.6802330848199807</v>
      </c>
      <c r="AP144" s="16">
        <v>-1.6225529112856965</v>
      </c>
      <c r="AR144" s="5">
        <v>23.0076</v>
      </c>
      <c r="AS144" s="5">
        <v>46.164000000000001</v>
      </c>
      <c r="AT144" s="5">
        <v>14.939000000000002</v>
      </c>
      <c r="AU144" s="5">
        <v>0.19139999999999999</v>
      </c>
      <c r="AV144" s="5">
        <v>14.241399999999999</v>
      </c>
      <c r="AW144" s="5">
        <v>0.1244</v>
      </c>
      <c r="AX144" s="5">
        <v>0.1376</v>
      </c>
      <c r="AY144" s="5">
        <v>2.8800000000000003E-2</v>
      </c>
      <c r="AZ144" s="82">
        <v>98.834199999999996</v>
      </c>
      <c r="BA144" s="10">
        <v>0.10214722458926374</v>
      </c>
      <c r="BB144" s="51">
        <v>1119.596744865069</v>
      </c>
      <c r="BC144" s="16">
        <v>-1.7427689596620441</v>
      </c>
      <c r="BD144" s="16">
        <v>-1.6831705947547464</v>
      </c>
    </row>
    <row r="145" spans="1:62" s="4" customFormat="1" x14ac:dyDescent="0.2">
      <c r="A145" s="4" t="s">
        <v>44</v>
      </c>
      <c r="B145" s="5">
        <v>0.10848963084092392</v>
      </c>
      <c r="C145" s="5">
        <v>0.22331591971912712</v>
      </c>
      <c r="D145" s="5">
        <v>0.13202272531651549</v>
      </c>
      <c r="E145" s="5">
        <v>1.934114784597853E-2</v>
      </c>
      <c r="F145" s="5">
        <v>0.17846568297574728</v>
      </c>
      <c r="G145" s="5">
        <v>2.4011101599051992E-2</v>
      </c>
      <c r="H145" s="5">
        <v>6.2608306158208667E-3</v>
      </c>
      <c r="I145" s="5">
        <v>7.3332803028385652E-3</v>
      </c>
      <c r="J145" s="82">
        <v>0.11144212399268119</v>
      </c>
      <c r="K145" s="10"/>
      <c r="L145" s="51"/>
      <c r="M145" s="16"/>
      <c r="N145" s="16"/>
      <c r="P145" s="5">
        <v>0.11278297743897343</v>
      </c>
      <c r="Q145" s="5">
        <v>0.22638462845343613</v>
      </c>
      <c r="R145" s="5">
        <v>0.12676750372236567</v>
      </c>
      <c r="S145" s="5">
        <v>1.9341147845978533E-2</v>
      </c>
      <c r="T145" s="5">
        <v>0.18379336223052226</v>
      </c>
      <c r="U145" s="5">
        <v>2.4038053165761967E-2</v>
      </c>
      <c r="V145" s="5">
        <v>6.2822766573910139E-3</v>
      </c>
      <c r="W145" s="5">
        <v>7.3554741519496749E-3</v>
      </c>
      <c r="X145" s="82">
        <v>0.10929077271206759</v>
      </c>
      <c r="Y145" s="10"/>
      <c r="Z145" s="51"/>
      <c r="AA145" s="16"/>
      <c r="AB145" s="16"/>
      <c r="AD145" s="5">
        <v>0.11278297743897385</v>
      </c>
      <c r="AE145" s="5">
        <v>0.22638462845343613</v>
      </c>
      <c r="AF145" s="5">
        <v>0.12676750372236567</v>
      </c>
      <c r="AG145" s="5">
        <v>1.9296709564068166E-2</v>
      </c>
      <c r="AH145" s="5">
        <v>0.18379336223052206</v>
      </c>
      <c r="AI145" s="5">
        <v>2.3663051367057427E-2</v>
      </c>
      <c r="AJ145" s="5">
        <v>6.2379483806777386E-3</v>
      </c>
      <c r="AK145" s="5">
        <v>7.3852555812239746E-3</v>
      </c>
      <c r="AL145" s="82">
        <v>0.10925528362509436</v>
      </c>
      <c r="AM145" s="10"/>
      <c r="AN145" s="51"/>
      <c r="AO145" s="16"/>
      <c r="AP145" s="16"/>
      <c r="AR145" s="5">
        <v>0.11042327653171682</v>
      </c>
      <c r="AS145" s="5">
        <v>0.2301358294573016</v>
      </c>
      <c r="AT145" s="5">
        <v>0.12790621564255611</v>
      </c>
      <c r="AU145" s="5">
        <v>1.9060430215501432E-2</v>
      </c>
      <c r="AV145" s="5">
        <v>0.18328065909964386</v>
      </c>
      <c r="AW145" s="5">
        <v>2.339444378479651E-2</v>
      </c>
      <c r="AX145" s="5">
        <v>6.2289646009589684E-3</v>
      </c>
      <c r="AY145" s="5">
        <v>7.5630681604755921E-3</v>
      </c>
      <c r="AZ145" s="82">
        <v>0.11872110174690712</v>
      </c>
      <c r="BA145" s="10"/>
      <c r="BB145" s="51"/>
      <c r="BC145" s="16"/>
      <c r="BD145" s="16"/>
    </row>
    <row r="146" spans="1:62" s="4" customFormat="1" ht="6.75" customHeight="1" x14ac:dyDescent="0.2">
      <c r="J146" s="82"/>
      <c r="K146" s="10"/>
      <c r="M146" s="16"/>
      <c r="N146" s="16"/>
      <c r="X146" s="82"/>
      <c r="Y146" s="10"/>
      <c r="Z146" s="49"/>
      <c r="AA146" s="16"/>
      <c r="AB146" s="16"/>
      <c r="AL146" s="82"/>
      <c r="AM146" s="10"/>
      <c r="AO146" s="16"/>
      <c r="AP146" s="16"/>
      <c r="AZ146" s="82"/>
      <c r="BA146" s="10"/>
      <c r="BC146" s="16"/>
      <c r="BD146" s="16"/>
    </row>
    <row r="147" spans="1:62" s="4" customFormat="1" x14ac:dyDescent="0.2">
      <c r="A147" s="4" t="s">
        <v>3</v>
      </c>
      <c r="B147" s="5">
        <v>23.474874999999997</v>
      </c>
      <c r="C147" s="5">
        <v>44.834874999999997</v>
      </c>
      <c r="D147" s="5">
        <v>15.381499999999999</v>
      </c>
      <c r="E147" s="5">
        <v>0.19025</v>
      </c>
      <c r="F147" s="5">
        <v>14.099375</v>
      </c>
      <c r="G147" s="5">
        <v>0.142675</v>
      </c>
      <c r="H147" s="5">
        <v>0.14213500000000001</v>
      </c>
      <c r="I147" s="5">
        <v>3.1143749999999998E-2</v>
      </c>
      <c r="J147" s="82">
        <v>98.296892499999984</v>
      </c>
      <c r="K147" s="10">
        <v>0.12048928734489597</v>
      </c>
      <c r="L147" s="51">
        <v>1102.1913920558982</v>
      </c>
      <c r="M147" s="16">
        <v>-1.3742625927879373</v>
      </c>
      <c r="N147" s="16">
        <v>-1.3370732609347984</v>
      </c>
      <c r="P147" s="5">
        <v>24.298000000000002</v>
      </c>
      <c r="Q147" s="5">
        <v>45.115875000000003</v>
      </c>
      <c r="R147" s="5">
        <v>15.163749999999999</v>
      </c>
      <c r="S147" s="5">
        <v>0.190445</v>
      </c>
      <c r="T147" s="5">
        <v>14.559125</v>
      </c>
      <c r="U147" s="5">
        <v>0.14275874999999999</v>
      </c>
      <c r="V147" s="5">
        <v>0.14241500000000001</v>
      </c>
      <c r="W147" s="5">
        <v>3.1184999999999997E-2</v>
      </c>
      <c r="X147" s="82">
        <v>99.643628750000005</v>
      </c>
      <c r="Y147" s="10">
        <v>0.11732319196722628</v>
      </c>
      <c r="Z147" s="49">
        <v>1118.0947582366143</v>
      </c>
      <c r="AA147" s="16">
        <v>-1.4861615192921502</v>
      </c>
      <c r="AB147" s="16">
        <v>-1.4425514180921768</v>
      </c>
      <c r="AD147" s="5">
        <v>24.324249999999999</v>
      </c>
      <c r="AE147" s="5">
        <v>45.135750000000002</v>
      </c>
      <c r="AF147" s="5">
        <v>15.170500000000001</v>
      </c>
      <c r="AG147" s="5">
        <v>0.19007249999999998</v>
      </c>
      <c r="AH147" s="5">
        <v>14.574375000000002</v>
      </c>
      <c r="AI147" s="5">
        <v>0.14059250000000001</v>
      </c>
      <c r="AJ147" s="5">
        <v>0.14152375</v>
      </c>
      <c r="AK147" s="5">
        <v>3.1373750000000006E-2</v>
      </c>
      <c r="AL147" s="82">
        <v>99.708493750000002</v>
      </c>
      <c r="AM147" s="10">
        <v>0.11747901921525504</v>
      </c>
      <c r="AN147" s="49">
        <v>1118.3914578502845</v>
      </c>
      <c r="AO147" s="16">
        <v>-1.4845679452072398</v>
      </c>
      <c r="AP147" s="16">
        <v>-1.4408242725630682</v>
      </c>
      <c r="AR147" s="5">
        <v>24.127312499999999</v>
      </c>
      <c r="AS147" s="5">
        <v>44.877062499999994</v>
      </c>
      <c r="AT147" s="5">
        <v>15.038987500000001</v>
      </c>
      <c r="AU147" s="5">
        <v>0.18758750000000002</v>
      </c>
      <c r="AV147" s="5">
        <v>14.448187500000001</v>
      </c>
      <c r="AW147" s="5">
        <v>0.13905000000000001</v>
      </c>
      <c r="AX147" s="5">
        <v>0.1406125</v>
      </c>
      <c r="AY147" s="5">
        <v>3.1337500000000004E-2</v>
      </c>
      <c r="AZ147" s="82">
        <v>98.990137500000003</v>
      </c>
      <c r="BA147" s="10">
        <v>0.11417646920734657</v>
      </c>
      <c r="BB147" s="49">
        <v>1116.5081605102091</v>
      </c>
      <c r="BC147" s="16">
        <v>-1.5347074065250901</v>
      </c>
      <c r="BD147" s="16">
        <v>-1.4892180088449916</v>
      </c>
      <c r="BF147" s="28">
        <f>AVERAGE(K147, Y147, AM147, BA147)</f>
        <v>0.11736699193368097</v>
      </c>
      <c r="BG147" s="29">
        <f>AVERAGE(M147, AA147, AO147, BC147)</f>
        <v>-1.4699248659531043</v>
      </c>
      <c r="BH147" s="29">
        <f>AVERAGE(N147, AB147, AP147, BD147)</f>
        <v>-1.4274167401087587</v>
      </c>
      <c r="BJ147" s="32">
        <f>BF147-BF136</f>
        <v>-1.7579836897786916E-2</v>
      </c>
    </row>
    <row r="148" spans="1:62" s="4" customFormat="1" x14ac:dyDescent="0.2">
      <c r="A148" s="4" t="s">
        <v>44</v>
      </c>
      <c r="B148" s="5">
        <v>0.73740653362533659</v>
      </c>
      <c r="C148" s="5">
        <v>0.89591911604787555</v>
      </c>
      <c r="D148" s="5">
        <v>0.12963924302977575</v>
      </c>
      <c r="E148" s="5">
        <v>4.4496741453728854E-3</v>
      </c>
      <c r="F148" s="5">
        <v>0.1697711081623329</v>
      </c>
      <c r="G148" s="5">
        <v>1.4946146660594491E-2</v>
      </c>
      <c r="H148" s="5">
        <v>6.4939228000749499E-3</v>
      </c>
      <c r="I148" s="5">
        <v>2.7575574185620621E-3</v>
      </c>
      <c r="J148" s="82">
        <v>0.16802926677120084</v>
      </c>
      <c r="K148" s="16">
        <f>STDEVA(K138, K140, K142, K144)</f>
        <v>9.2558185183011198E-3</v>
      </c>
      <c r="L148" s="54">
        <f>STDEVA(L138, L140, L142, L144)</f>
        <v>9.7260143884547396</v>
      </c>
      <c r="M148" s="16">
        <f t="shared" ref="M148:N148" si="54">STDEVA(M138, M140, M142, M144)</f>
        <v>0.14559124792404141</v>
      </c>
      <c r="N148" s="16">
        <f t="shared" si="54"/>
        <v>0.13519332950496557</v>
      </c>
      <c r="P148" s="5">
        <v>0.75964377616529288</v>
      </c>
      <c r="Q148" s="5">
        <v>0.90091549501974122</v>
      </c>
      <c r="R148" s="5">
        <v>0.12710199316559462</v>
      </c>
      <c r="S148" s="5">
        <v>4.4535341771077394E-3</v>
      </c>
      <c r="T148" s="5">
        <v>0.17416580940777907</v>
      </c>
      <c r="U148" s="5">
        <v>1.4955699234182702E-2</v>
      </c>
      <c r="V148" s="5">
        <v>6.5091602120908587E-3</v>
      </c>
      <c r="W148" s="5">
        <v>2.7513087794720516E-3</v>
      </c>
      <c r="X148" s="82">
        <v>0.18333073111979012</v>
      </c>
      <c r="Y148" s="16">
        <f>STDEVA(Y138, Y140, Y142, Y144)</f>
        <v>9.1329691317886957E-3</v>
      </c>
      <c r="Z148" s="54">
        <f>STDEVA(Z138, Z140, Z142, Z144)</f>
        <v>10.117057678923201</v>
      </c>
      <c r="AA148" s="16">
        <f t="shared" ref="AA148:AB148" si="55">STDEVA(AA138, AA140, AA142, AA144)</f>
        <v>0.14641937212684175</v>
      </c>
      <c r="AB148" s="16">
        <f t="shared" si="55"/>
        <v>0.13660369339879774</v>
      </c>
      <c r="AD148" s="5">
        <v>0.75665596541625224</v>
      </c>
      <c r="AE148" s="5">
        <v>0.90783859615389051</v>
      </c>
      <c r="AF148" s="5">
        <v>0.12629462907556047</v>
      </c>
      <c r="AG148" s="5">
        <v>4.4427422087415106E-3</v>
      </c>
      <c r="AH148" s="5">
        <v>0.17241586112265539</v>
      </c>
      <c r="AI148" s="5">
        <v>1.4729610483648233E-2</v>
      </c>
      <c r="AJ148" s="5">
        <v>6.4849510085530577E-3</v>
      </c>
      <c r="AK148" s="5">
        <v>2.7489554834518523E-3</v>
      </c>
      <c r="AL148" s="82">
        <v>0.18154346868702337</v>
      </c>
      <c r="AM148" s="16">
        <f>STDEVA(AM138, AM140, AM142, AM144)</f>
        <v>9.0555820704769467E-3</v>
      </c>
      <c r="AN148" s="54">
        <f>STDEVA(AN138, AN140, AN142, AN144)</f>
        <v>10.032849418950539</v>
      </c>
      <c r="AO148" s="16">
        <f t="shared" ref="AO148:AP148" si="56">STDEVA(AO138, AO140, AO142, AO144)</f>
        <v>0.14537717196795258</v>
      </c>
      <c r="AP148" s="16">
        <f t="shared" si="56"/>
        <v>0.13557273240185205</v>
      </c>
      <c r="AR148" s="5">
        <v>0.75537195956142511</v>
      </c>
      <c r="AS148" s="5">
        <v>0.90273889301299937</v>
      </c>
      <c r="AT148" s="5">
        <v>0.124002529376084</v>
      </c>
      <c r="AU148" s="5">
        <v>4.2927021404549504E-3</v>
      </c>
      <c r="AV148" s="5">
        <v>0.17541013071750902</v>
      </c>
      <c r="AW148" s="5">
        <v>1.4663673937091384E-2</v>
      </c>
      <c r="AX148" s="5">
        <v>6.4890131504464184E-3</v>
      </c>
      <c r="AY148" s="5">
        <v>2.9135817018462571E-3</v>
      </c>
      <c r="AZ148" s="82">
        <v>0.18100635980999652</v>
      </c>
      <c r="BA148" s="16">
        <f>STDEVA(BA138, BA140, BA142, BA144)</f>
        <v>9.316684381251163E-3</v>
      </c>
      <c r="BB148" s="54">
        <f>STDEVA(BB138, BB140, BB142, BB144)</f>
        <v>10.069014168065099</v>
      </c>
      <c r="BC148" s="16">
        <f t="shared" ref="BC148:BD148" si="57">STDEVA(BC138, BC140, BC142, BC144)</f>
        <v>0.15275363895124611</v>
      </c>
      <c r="BD148" s="16">
        <f t="shared" si="57"/>
        <v>0.14286895117481349</v>
      </c>
      <c r="BF148" s="28">
        <f>STDEVA(K147, Y147, AM147, BA147)</f>
        <v>2.5782831788504048E-3</v>
      </c>
      <c r="BG148" s="29">
        <f>STDEVA(M147, AA147, AO147, BC147)</f>
        <v>6.7887398810538374E-2</v>
      </c>
      <c r="BH148" s="29">
        <f>STDEVA(N147, AB147, AP147, BD147)</f>
        <v>6.4265494761546277E-2</v>
      </c>
    </row>
    <row r="149" spans="1:62" s="4" customFormat="1" ht="13.5" customHeight="1" x14ac:dyDescent="0.2">
      <c r="C149" s="5"/>
      <c r="D149" s="5"/>
      <c r="E149" s="5"/>
      <c r="F149" s="5"/>
      <c r="G149" s="5"/>
      <c r="H149" s="5"/>
      <c r="I149" s="5"/>
      <c r="J149" s="82"/>
      <c r="K149" s="10"/>
      <c r="L149" s="51"/>
      <c r="M149" s="16"/>
      <c r="N149" s="16"/>
      <c r="Q149" s="5"/>
      <c r="R149" s="5"/>
      <c r="S149" s="5"/>
      <c r="T149" s="5"/>
      <c r="U149" s="5"/>
      <c r="V149" s="5"/>
      <c r="W149" s="5"/>
      <c r="X149" s="82"/>
      <c r="Y149" s="10"/>
      <c r="Z149" s="51"/>
      <c r="AA149" s="16"/>
      <c r="AB149" s="16"/>
      <c r="AE149" s="5"/>
      <c r="AF149" s="5"/>
      <c r="AG149" s="5"/>
      <c r="AH149" s="5"/>
      <c r="AI149" s="5"/>
      <c r="AJ149" s="5"/>
      <c r="AK149" s="5"/>
      <c r="AL149" s="82"/>
      <c r="AM149" s="10"/>
      <c r="AN149" s="51"/>
      <c r="AO149" s="16"/>
      <c r="AP149" s="16"/>
      <c r="AS149" s="5"/>
      <c r="AT149" s="5"/>
      <c r="AU149" s="5"/>
      <c r="AV149" s="5"/>
      <c r="AW149" s="5"/>
      <c r="AX149" s="5"/>
      <c r="AY149" s="5"/>
      <c r="AZ149" s="82"/>
      <c r="BA149" s="10"/>
      <c r="BB149" s="51"/>
      <c r="BC149" s="16"/>
      <c r="BD149" s="16"/>
    </row>
    <row r="150" spans="1:62" s="4" customFormat="1" x14ac:dyDescent="0.2">
      <c r="A150" s="6" t="s">
        <v>105</v>
      </c>
      <c r="C150" s="5"/>
      <c r="D150" s="5"/>
      <c r="E150" s="5"/>
      <c r="F150" s="5"/>
      <c r="G150" s="5"/>
      <c r="H150" s="5"/>
      <c r="I150" s="5"/>
      <c r="J150" s="82"/>
      <c r="K150" s="10"/>
      <c r="L150" s="51"/>
      <c r="M150" s="16"/>
      <c r="N150" s="16"/>
      <c r="Q150" s="5"/>
      <c r="R150" s="5"/>
      <c r="S150" s="5"/>
      <c r="T150" s="5"/>
      <c r="U150" s="5"/>
      <c r="V150" s="5"/>
      <c r="W150" s="5"/>
      <c r="X150" s="82"/>
      <c r="Y150" s="10"/>
      <c r="Z150" s="51"/>
      <c r="AA150" s="16"/>
      <c r="AB150" s="16"/>
      <c r="AE150" s="5"/>
      <c r="AF150" s="5"/>
      <c r="AG150" s="5"/>
      <c r="AH150" s="5"/>
      <c r="AI150" s="5"/>
      <c r="AJ150" s="5"/>
      <c r="AK150" s="5"/>
      <c r="AL150" s="82"/>
      <c r="AM150" s="10"/>
      <c r="AN150" s="51"/>
      <c r="AO150" s="16"/>
      <c r="AP150" s="16"/>
      <c r="AS150" s="5"/>
      <c r="AT150" s="5"/>
      <c r="AU150" s="5"/>
      <c r="AV150" s="5"/>
      <c r="AW150" s="5"/>
      <c r="AX150" s="5"/>
      <c r="AY150" s="5"/>
      <c r="AZ150" s="82"/>
      <c r="BA150" s="10"/>
      <c r="BB150" s="51"/>
      <c r="BC150" s="16"/>
      <c r="BD150" s="16"/>
    </row>
    <row r="151" spans="1:62" s="4" customFormat="1" x14ac:dyDescent="0.2">
      <c r="A151" s="22" t="s">
        <v>196</v>
      </c>
      <c r="B151" s="4">
        <v>27.37</v>
      </c>
      <c r="C151" s="4">
        <v>42.13</v>
      </c>
      <c r="D151" s="4">
        <v>14.26</v>
      </c>
      <c r="E151" s="4">
        <v>0.24</v>
      </c>
      <c r="F151" s="4">
        <v>15.42</v>
      </c>
      <c r="G151" s="4">
        <v>0.15</v>
      </c>
      <c r="H151" s="4">
        <v>0.06</v>
      </c>
      <c r="J151" s="82"/>
      <c r="K151" s="10">
        <v>0.15192971304477579</v>
      </c>
      <c r="L151" s="51">
        <v>1087.7156261442356</v>
      </c>
      <c r="M151" s="16">
        <v>-0.91875444734150713</v>
      </c>
      <c r="N151" s="16">
        <v>-0.69881416238775618</v>
      </c>
      <c r="P151" s="4">
        <v>27.37</v>
      </c>
      <c r="Q151" s="4">
        <v>42.13</v>
      </c>
      <c r="R151" s="4">
        <v>14.26</v>
      </c>
      <c r="S151" s="4">
        <v>0.24</v>
      </c>
      <c r="T151" s="4">
        <v>15.42</v>
      </c>
      <c r="U151" s="4">
        <v>0.15</v>
      </c>
      <c r="V151" s="4">
        <v>0.06</v>
      </c>
      <c r="X151" s="82"/>
      <c r="Y151" s="10">
        <v>0.13212625787043711</v>
      </c>
      <c r="Z151" s="51">
        <v>1073.4430081028968</v>
      </c>
      <c r="AA151" s="16">
        <v>-1.1400604284378619</v>
      </c>
      <c r="AB151" s="16">
        <v>-0.90791597974422089</v>
      </c>
      <c r="AD151" s="4">
        <v>27.37</v>
      </c>
      <c r="AE151" s="4">
        <v>42.13</v>
      </c>
      <c r="AF151" s="4">
        <v>14.26</v>
      </c>
      <c r="AG151" s="4">
        <v>0.24</v>
      </c>
      <c r="AH151" s="4">
        <v>15.42</v>
      </c>
      <c r="AI151" s="4">
        <v>0.15</v>
      </c>
      <c r="AJ151" s="4">
        <v>0.06</v>
      </c>
      <c r="AL151" s="82"/>
      <c r="AM151" s="10">
        <v>0.13212625787043711</v>
      </c>
      <c r="AN151" s="51">
        <v>1073.4430081028968</v>
      </c>
      <c r="AO151" s="16">
        <v>-1.1400604284378619</v>
      </c>
      <c r="AP151" s="16">
        <v>-0.90791597974422089</v>
      </c>
      <c r="AR151" s="4">
        <v>27.37</v>
      </c>
      <c r="AS151" s="4">
        <v>42.13</v>
      </c>
      <c r="AT151" s="4">
        <v>14.26</v>
      </c>
      <c r="AU151" s="4">
        <v>0.24</v>
      </c>
      <c r="AV151" s="4">
        <v>15.42</v>
      </c>
      <c r="AW151" s="4">
        <v>0.15</v>
      </c>
      <c r="AX151" s="4">
        <v>0.06</v>
      </c>
      <c r="AZ151" s="82"/>
      <c r="BA151" s="10">
        <v>0.13212625787043711</v>
      </c>
      <c r="BB151" s="51">
        <v>1073.4430081028968</v>
      </c>
      <c r="BC151" s="16">
        <v>-1.1400604284378619</v>
      </c>
      <c r="BD151" s="16">
        <v>-0.90791597974422089</v>
      </c>
      <c r="BF151" s="10">
        <f>BA151</f>
        <v>0.13212625787043711</v>
      </c>
      <c r="BG151" s="16">
        <f t="shared" ref="BG151" si="58">BC151</f>
        <v>-1.1400604284378619</v>
      </c>
      <c r="BH151" s="16">
        <f t="shared" ref="BH151" si="59">BD151</f>
        <v>-0.90791597974422089</v>
      </c>
    </row>
    <row r="152" spans="1:62" s="4" customFormat="1" ht="6.75" customHeight="1" x14ac:dyDescent="0.2">
      <c r="J152" s="82"/>
      <c r="K152" s="10"/>
      <c r="L152" s="51"/>
      <c r="M152" s="16"/>
      <c r="N152" s="16"/>
      <c r="X152" s="82"/>
      <c r="Y152" s="10"/>
      <c r="Z152" s="51"/>
      <c r="AA152" s="16"/>
      <c r="AB152" s="16"/>
      <c r="AL152" s="82"/>
      <c r="AM152" s="10"/>
      <c r="AN152" s="51"/>
      <c r="AO152" s="16"/>
      <c r="AP152" s="16"/>
      <c r="AZ152" s="82"/>
      <c r="BA152" s="10"/>
      <c r="BB152" s="51"/>
      <c r="BC152" s="16"/>
      <c r="BD152" s="16"/>
    </row>
    <row r="153" spans="1:62" s="4" customFormat="1" x14ac:dyDescent="0.2">
      <c r="A153" s="4" t="s">
        <v>66</v>
      </c>
      <c r="B153" s="5">
        <v>25.584</v>
      </c>
      <c r="C153" s="5">
        <v>42.963999999999999</v>
      </c>
      <c r="D153" s="5">
        <v>14.158000000000001</v>
      </c>
      <c r="E153" s="5">
        <v>0.18556</v>
      </c>
      <c r="F153" s="5">
        <v>15.219999999999999</v>
      </c>
      <c r="G153" s="5">
        <v>0.15960000000000002</v>
      </c>
      <c r="H153" s="5">
        <v>8.5440000000000002E-2</v>
      </c>
      <c r="I153" s="5">
        <v>3.1759999999999997E-2</v>
      </c>
      <c r="J153" s="82">
        <v>98.388400000000004</v>
      </c>
      <c r="K153" s="10">
        <v>0.1442899857365029</v>
      </c>
      <c r="L153" s="51">
        <v>1098.5126454007222</v>
      </c>
      <c r="M153" s="16">
        <v>-1.0087626481562311</v>
      </c>
      <c r="N153" s="16">
        <v>-0.7787048106797867</v>
      </c>
      <c r="P153" s="5">
        <v>26.478000000000002</v>
      </c>
      <c r="Q153" s="5">
        <v>43.227999999999994</v>
      </c>
      <c r="R153" s="5">
        <v>13.957999999999998</v>
      </c>
      <c r="S153" s="5">
        <v>0.18576000000000001</v>
      </c>
      <c r="T153" s="5">
        <v>15.713999999999999</v>
      </c>
      <c r="U153" s="5">
        <v>0.15970000000000001</v>
      </c>
      <c r="V153" s="5">
        <v>8.5580000000000017E-2</v>
      </c>
      <c r="W153" s="5">
        <v>3.1820000000000001E-2</v>
      </c>
      <c r="X153" s="82">
        <v>99.840900000000005</v>
      </c>
      <c r="Y153" s="10">
        <v>0.14281139363461851</v>
      </c>
      <c r="Z153" s="51">
        <v>1115.952158471247</v>
      </c>
      <c r="AA153" s="16">
        <v>-1.0956097293520766</v>
      </c>
      <c r="AB153" s="16">
        <v>-0.86035166782188988</v>
      </c>
      <c r="AD153" s="5">
        <v>26.468</v>
      </c>
      <c r="AE153" s="5">
        <v>43.218000000000004</v>
      </c>
      <c r="AF153" s="5">
        <v>13.956</v>
      </c>
      <c r="AG153" s="5">
        <v>0.18526000000000004</v>
      </c>
      <c r="AH153" s="5">
        <v>15.706</v>
      </c>
      <c r="AI153" s="5">
        <v>0.15722</v>
      </c>
      <c r="AJ153" s="5">
        <v>8.4979999999999986E-2</v>
      </c>
      <c r="AK153" s="5">
        <v>3.1940000000000003E-2</v>
      </c>
      <c r="AL153" s="82">
        <v>99.807420000000008</v>
      </c>
      <c r="AM153" s="10">
        <v>0.14251722627190991</v>
      </c>
      <c r="AN153" s="51">
        <v>1115.5611926609536</v>
      </c>
      <c r="AO153" s="16">
        <v>-1.0984608698388505</v>
      </c>
      <c r="AP153" s="16">
        <v>-0.86296316660130756</v>
      </c>
      <c r="AR153" s="5">
        <v>26.2882</v>
      </c>
      <c r="AS153" s="5">
        <v>42.952999999999996</v>
      </c>
      <c r="AT153" s="5">
        <v>13.829399999999998</v>
      </c>
      <c r="AU153" s="5">
        <v>0.18260000000000001</v>
      </c>
      <c r="AV153" s="5">
        <v>15.602600000000001</v>
      </c>
      <c r="AW153" s="5">
        <v>0.15520000000000003</v>
      </c>
      <c r="AX153" s="5">
        <v>8.4400000000000003E-2</v>
      </c>
      <c r="AY153" s="5">
        <v>3.1800000000000002E-2</v>
      </c>
      <c r="AZ153" s="82">
        <v>99.127199999999988</v>
      </c>
      <c r="BA153" s="10">
        <v>0.14082252283935065</v>
      </c>
      <c r="BB153" s="51">
        <v>1115.7792982083729</v>
      </c>
      <c r="BC153" s="16">
        <v>-1.1235067665584326</v>
      </c>
      <c r="BD153" s="16">
        <v>-0.88679601657133222</v>
      </c>
    </row>
    <row r="154" spans="1:62" s="4" customFormat="1" x14ac:dyDescent="0.2">
      <c r="A154" s="4" t="s">
        <v>44</v>
      </c>
      <c r="B154" s="5">
        <v>0.13594116374373089</v>
      </c>
      <c r="C154" s="5">
        <v>0.11436782764396683</v>
      </c>
      <c r="D154" s="5">
        <v>0.14618481453283744</v>
      </c>
      <c r="E154" s="5">
        <v>1.7959342972391837E-2</v>
      </c>
      <c r="F154" s="5">
        <v>0.13247641299491753</v>
      </c>
      <c r="G154" s="5">
        <v>2.3635989507528755E-2</v>
      </c>
      <c r="H154" s="5">
        <v>2.9979993328885183E-3</v>
      </c>
      <c r="I154" s="5">
        <v>7.8193989538838625E-3</v>
      </c>
      <c r="J154" s="82">
        <v>0.19596412937065605</v>
      </c>
      <c r="K154" s="10"/>
      <c r="L154" s="51"/>
      <c r="M154" s="16"/>
      <c r="N154" s="16"/>
      <c r="P154" s="5">
        <v>0.1375499909123957</v>
      </c>
      <c r="Q154" s="5">
        <v>0.11233877335986819</v>
      </c>
      <c r="R154" s="5">
        <v>0.14131525041551571</v>
      </c>
      <c r="S154" s="5">
        <v>1.7959342972391833E-2</v>
      </c>
      <c r="T154" s="5">
        <v>0.14010710188994699</v>
      </c>
      <c r="U154" s="5">
        <v>2.3697995695839025E-2</v>
      </c>
      <c r="V154" s="5">
        <v>3.0359512512555258E-3</v>
      </c>
      <c r="W154" s="5">
        <v>7.8359428277648968E-3</v>
      </c>
      <c r="X154" s="82">
        <v>0.20333653139561553</v>
      </c>
      <c r="Y154" s="10"/>
      <c r="Z154" s="51"/>
      <c r="AA154" s="16"/>
      <c r="AB154" s="16"/>
      <c r="AD154" s="5">
        <v>0.13498148021117568</v>
      </c>
      <c r="AE154" s="5">
        <v>0.1123387733598698</v>
      </c>
      <c r="AF154" s="5">
        <v>0.14223220451079252</v>
      </c>
      <c r="AG154" s="5">
        <v>1.7959342972391833E-2</v>
      </c>
      <c r="AH154" s="5">
        <v>0.13776792079435621</v>
      </c>
      <c r="AI154" s="5">
        <v>2.3341957929873858E-2</v>
      </c>
      <c r="AJ154" s="5">
        <v>3.0359512512555258E-3</v>
      </c>
      <c r="AK154" s="5">
        <v>7.8436598600398113E-3</v>
      </c>
      <c r="AL154" s="82">
        <v>0.19612506724026918</v>
      </c>
      <c r="AM154" s="10"/>
      <c r="AN154" s="51"/>
      <c r="AO154" s="16"/>
      <c r="AP154" s="16"/>
      <c r="AR154" s="5">
        <v>0.1387865267235977</v>
      </c>
      <c r="AS154" s="5">
        <v>0.11040833301884372</v>
      </c>
      <c r="AT154" s="5">
        <v>0.14285587142291367</v>
      </c>
      <c r="AU154" s="5">
        <v>1.7472836060582721E-2</v>
      </c>
      <c r="AV154" s="5">
        <v>0.13793222973620095</v>
      </c>
      <c r="AW154" s="5">
        <v>2.2971721746529842E-2</v>
      </c>
      <c r="AX154" s="5">
        <v>3.1304951684997038E-3</v>
      </c>
      <c r="AY154" s="5">
        <v>7.7588658965083331E-3</v>
      </c>
      <c r="AZ154" s="82">
        <v>0.20543782514425249</v>
      </c>
      <c r="BA154" s="10"/>
      <c r="BB154" s="51"/>
      <c r="BC154" s="16"/>
      <c r="BD154" s="16"/>
    </row>
    <row r="155" spans="1:62" s="4" customFormat="1" x14ac:dyDescent="0.2">
      <c r="A155" s="4" t="s">
        <v>67</v>
      </c>
      <c r="B155" s="5">
        <v>26.744</v>
      </c>
      <c r="C155" s="5">
        <v>41.847999999999999</v>
      </c>
      <c r="D155" s="5">
        <v>14.417999999999997</v>
      </c>
      <c r="E155" s="5">
        <v>0.17382</v>
      </c>
      <c r="F155" s="5">
        <v>15.246</v>
      </c>
      <c r="G155" s="5">
        <v>0.15112</v>
      </c>
      <c r="H155" s="5">
        <v>8.1519999999999995E-2</v>
      </c>
      <c r="I155" s="5">
        <v>2.5780000000000004E-2</v>
      </c>
      <c r="J155" s="82">
        <v>98.688299999999998</v>
      </c>
      <c r="K155" s="10">
        <v>0.14251140595087236</v>
      </c>
      <c r="L155" s="51">
        <v>1073.0754082433277</v>
      </c>
      <c r="M155" s="16">
        <v>-0.97173499716732703</v>
      </c>
      <c r="N155" s="16">
        <v>-0.74788193427630745</v>
      </c>
      <c r="P155" s="5">
        <v>27.560000000000002</v>
      </c>
      <c r="Q155" s="5">
        <v>42.035999999999994</v>
      </c>
      <c r="R155" s="5">
        <v>14.187999999999999</v>
      </c>
      <c r="S155" s="5">
        <v>0.17329999999999998</v>
      </c>
      <c r="T155" s="5">
        <v>15.875999999999999</v>
      </c>
      <c r="U155" s="5">
        <v>0.15076000000000001</v>
      </c>
      <c r="V155" s="5">
        <v>8.09E-2</v>
      </c>
      <c r="W155" s="5">
        <v>2.5600000000000001E-2</v>
      </c>
      <c r="X155" s="82">
        <v>100.09053999999999</v>
      </c>
      <c r="Y155" s="10">
        <v>0.15562128951076457</v>
      </c>
      <c r="Z155" s="51">
        <v>1107.453887946187</v>
      </c>
      <c r="AA155" s="16">
        <v>-0.90974664265351068</v>
      </c>
      <c r="AB155" s="16">
        <v>-0.68418988101309353</v>
      </c>
      <c r="AD155" s="5">
        <v>27.653999999999996</v>
      </c>
      <c r="AE155" s="5">
        <v>42.091999999999999</v>
      </c>
      <c r="AF155" s="5">
        <v>14.209999999999999</v>
      </c>
      <c r="AG155" s="5">
        <v>0.17352000000000001</v>
      </c>
      <c r="AH155" s="5">
        <v>15.725999999999999</v>
      </c>
      <c r="AI155" s="5">
        <v>0.14884000000000003</v>
      </c>
      <c r="AJ155" s="5">
        <v>8.1079999999999999E-2</v>
      </c>
      <c r="AK155" s="5">
        <v>2.5879999999999997E-2</v>
      </c>
      <c r="AL155" s="82">
        <v>100.1113</v>
      </c>
      <c r="AM155" s="10">
        <v>0.13939601874054078</v>
      </c>
      <c r="AN155" s="51">
        <v>1088.5651799738625</v>
      </c>
      <c r="AO155" s="16">
        <v>-1.0769070078767515</v>
      </c>
      <c r="AP155" s="16">
        <v>-0.84632465833235671</v>
      </c>
      <c r="AR155" s="5">
        <v>27.482400000000002</v>
      </c>
      <c r="AS155" s="5">
        <v>41.835599999999999</v>
      </c>
      <c r="AT155" s="5">
        <v>14.080000000000002</v>
      </c>
      <c r="AU155" s="5">
        <v>0.1714</v>
      </c>
      <c r="AV155" s="5">
        <v>15.630799999999999</v>
      </c>
      <c r="AW155" s="5">
        <v>0.14700000000000002</v>
      </c>
      <c r="AX155" s="5">
        <v>8.0600000000000005E-2</v>
      </c>
      <c r="AY155" s="5">
        <v>2.6000000000000002E-2</v>
      </c>
      <c r="AZ155" s="82">
        <v>99.453800000000001</v>
      </c>
      <c r="BA155" s="10">
        <v>0.13779825700761075</v>
      </c>
      <c r="BB155" s="51">
        <v>1089.0635318504383</v>
      </c>
      <c r="BC155" s="16">
        <v>-1.1020358992075634</v>
      </c>
      <c r="BD155" s="16">
        <v>-0.87026622546665333</v>
      </c>
    </row>
    <row r="156" spans="1:62" s="4" customFormat="1" x14ac:dyDescent="0.2">
      <c r="A156" s="4" t="s">
        <v>44</v>
      </c>
      <c r="B156" s="5">
        <v>0.43615364265359485</v>
      </c>
      <c r="C156" s="5">
        <v>0.3974543999001639</v>
      </c>
      <c r="D156" s="5">
        <v>0.12617448236470027</v>
      </c>
      <c r="E156" s="5">
        <v>8.030379816671188E-3</v>
      </c>
      <c r="F156" s="5">
        <v>0.1089954127475096</v>
      </c>
      <c r="G156" s="5">
        <v>1.514948844020814E-2</v>
      </c>
      <c r="H156" s="5">
        <v>3.8738869369149133E-3</v>
      </c>
      <c r="I156" s="5">
        <v>3.5351096164051264E-3</v>
      </c>
      <c r="J156" s="82">
        <v>0.20688500428982742</v>
      </c>
      <c r="K156" s="10"/>
      <c r="L156" s="51"/>
      <c r="M156" s="16"/>
      <c r="N156" s="16"/>
      <c r="P156" s="5">
        <v>0.38987177379235838</v>
      </c>
      <c r="Q156" s="5">
        <v>0.45462072104117857</v>
      </c>
      <c r="R156" s="5">
        <v>0.11211601134539158</v>
      </c>
      <c r="S156" s="5">
        <v>8.3222593086252749E-3</v>
      </c>
      <c r="T156" s="5">
        <v>0.16410362579784854</v>
      </c>
      <c r="U156" s="5">
        <v>1.5034061327532216E-2</v>
      </c>
      <c r="V156" s="5">
        <v>4.6016301459374173E-3</v>
      </c>
      <c r="W156" s="5">
        <v>3.652396473549935E-3</v>
      </c>
      <c r="X156" s="82">
        <v>0.21517151995559641</v>
      </c>
      <c r="Y156" s="10"/>
      <c r="Z156" s="51"/>
      <c r="AA156" s="16"/>
      <c r="AB156" s="16"/>
      <c r="AD156" s="5">
        <v>0.44992221549952327</v>
      </c>
      <c r="AE156" s="5">
        <v>0.40158436224534511</v>
      </c>
      <c r="AF156" s="5">
        <v>0.12186057606953943</v>
      </c>
      <c r="AG156" s="5">
        <v>8.0303798166711897E-3</v>
      </c>
      <c r="AH156" s="5">
        <v>0.11458621208504968</v>
      </c>
      <c r="AI156" s="5">
        <v>1.4948678871391945E-2</v>
      </c>
      <c r="AJ156" s="5">
        <v>3.8486361220567483E-3</v>
      </c>
      <c r="AK156" s="5">
        <v>3.5351096164051264E-3</v>
      </c>
      <c r="AL156" s="82">
        <v>0.20842839297945967</v>
      </c>
      <c r="AM156" s="10"/>
      <c r="AN156" s="51"/>
      <c r="AO156" s="16"/>
      <c r="AP156" s="16"/>
      <c r="AR156" s="5">
        <v>0.45076412900762186</v>
      </c>
      <c r="AS156" s="5">
        <v>0.39935735876530393</v>
      </c>
      <c r="AT156" s="5">
        <v>0.12086562786830635</v>
      </c>
      <c r="AU156" s="5">
        <v>7.7974354758471639E-3</v>
      </c>
      <c r="AV156" s="5">
        <v>0.10966175267612689</v>
      </c>
      <c r="AW156" s="5">
        <v>1.4713938969562161E-2</v>
      </c>
      <c r="AX156" s="5">
        <v>3.7148351242013394E-3</v>
      </c>
      <c r="AY156" s="5">
        <v>3.316624790355399E-3</v>
      </c>
      <c r="AZ156" s="82">
        <v>0.21591942941754988</v>
      </c>
      <c r="BA156" s="10"/>
      <c r="BB156" s="51"/>
      <c r="BC156" s="16"/>
      <c r="BD156" s="16"/>
    </row>
    <row r="157" spans="1:62" s="4" customFormat="1" x14ac:dyDescent="0.2">
      <c r="A157" s="4" t="s">
        <v>68</v>
      </c>
      <c r="B157" s="5">
        <v>25.839999999999996</v>
      </c>
      <c r="C157" s="5">
        <v>42.494</v>
      </c>
      <c r="D157" s="5">
        <v>14.053999999999998</v>
      </c>
      <c r="E157" s="5">
        <v>0.17871999999999999</v>
      </c>
      <c r="F157" s="5">
        <v>15.276</v>
      </c>
      <c r="G157" s="5">
        <v>0.20960000000000001</v>
      </c>
      <c r="H157" s="5">
        <v>7.1879999999999986E-2</v>
      </c>
      <c r="I157" s="5">
        <v>3.0620000000000001E-2</v>
      </c>
      <c r="J157" s="82">
        <v>98.154920000000004</v>
      </c>
      <c r="K157" s="10">
        <v>0.15038080703022969</v>
      </c>
      <c r="L157" s="51">
        <v>1104.3437609429229</v>
      </c>
      <c r="M157" s="16">
        <v>-0.95165994951236976</v>
      </c>
      <c r="N157" s="16">
        <v>-0.72512206802636658</v>
      </c>
      <c r="P157" s="5">
        <v>26.744</v>
      </c>
      <c r="Q157" s="5">
        <v>42.757999999999996</v>
      </c>
      <c r="R157" s="5">
        <v>13.851999999999999</v>
      </c>
      <c r="S157" s="5">
        <v>0.1789</v>
      </c>
      <c r="T157" s="5">
        <v>15.773999999999997</v>
      </c>
      <c r="U157" s="5">
        <v>0.20973999999999998</v>
      </c>
      <c r="V157" s="5">
        <v>7.2020000000000001E-2</v>
      </c>
      <c r="W157" s="5">
        <v>3.0699999999999998E-2</v>
      </c>
      <c r="X157" s="82">
        <v>99.61936</v>
      </c>
      <c r="Y157" s="10">
        <v>0.14890691243493842</v>
      </c>
      <c r="Z157" s="51">
        <v>1122.2951642949288</v>
      </c>
      <c r="AA157" s="16">
        <v>-1.0387935037773508</v>
      </c>
      <c r="AB157" s="16">
        <v>-0.80697931597133721</v>
      </c>
      <c r="AD157" s="5">
        <v>26.731999999999999</v>
      </c>
      <c r="AE157" s="5">
        <v>42.748000000000005</v>
      </c>
      <c r="AF157" s="5">
        <v>13.851999999999999</v>
      </c>
      <c r="AG157" s="5">
        <v>0.17842</v>
      </c>
      <c r="AH157" s="5">
        <v>15.763999999999999</v>
      </c>
      <c r="AI157" s="5">
        <v>0.20648</v>
      </c>
      <c r="AJ157" s="5">
        <v>7.1500000000000008E-2</v>
      </c>
      <c r="AK157" s="5">
        <v>3.0800000000000001E-2</v>
      </c>
      <c r="AL157" s="82">
        <v>99.583259999999996</v>
      </c>
      <c r="AM157" s="10">
        <v>0.14854265786415069</v>
      </c>
      <c r="AN157" s="51">
        <v>1121.7088687204377</v>
      </c>
      <c r="AO157" s="16">
        <v>-1.0418108933435697</v>
      </c>
      <c r="AP157" s="16">
        <v>-0.80973105128571987</v>
      </c>
      <c r="AR157" s="5">
        <v>26.546800000000001</v>
      </c>
      <c r="AS157" s="5">
        <v>42.477199999999996</v>
      </c>
      <c r="AT157" s="5">
        <v>13.724</v>
      </c>
      <c r="AU157" s="5">
        <v>0.17580000000000001</v>
      </c>
      <c r="AV157" s="5">
        <v>15.6614</v>
      </c>
      <c r="AW157" s="5">
        <v>0.20400000000000001</v>
      </c>
      <c r="AX157" s="5">
        <v>7.1000000000000008E-2</v>
      </c>
      <c r="AY157" s="5">
        <v>3.0599999999999999E-2</v>
      </c>
      <c r="AZ157" s="82">
        <v>98.890799999999999</v>
      </c>
      <c r="BA157" s="10">
        <v>0.14720540592403969</v>
      </c>
      <c r="BB157" s="51">
        <v>1122.317926024085</v>
      </c>
      <c r="BC157" s="16">
        <v>-1.0622756018437769</v>
      </c>
      <c r="BD157" s="16">
        <v>-0.82910621786970395</v>
      </c>
    </row>
    <row r="158" spans="1:62" s="4" customFormat="1" x14ac:dyDescent="0.2">
      <c r="A158" s="4" t="s">
        <v>44</v>
      </c>
      <c r="B158" s="5">
        <v>0.58356662001865678</v>
      </c>
      <c r="C158" s="5">
        <v>0.30558141304732511</v>
      </c>
      <c r="D158" s="5">
        <v>0.33463412856431735</v>
      </c>
      <c r="E158" s="5">
        <v>1.2821349382962779E-2</v>
      </c>
      <c r="F158" s="5">
        <v>0.22467754671973802</v>
      </c>
      <c r="G158" s="5">
        <v>1.5977953561079086E-2</v>
      </c>
      <c r="H158" s="5">
        <v>6.7762083793224664E-3</v>
      </c>
      <c r="I158" s="5">
        <v>7.4744230546577844E-3</v>
      </c>
      <c r="J158" s="82">
        <v>0.20306737059409746</v>
      </c>
      <c r="K158" s="10"/>
      <c r="L158" s="51"/>
      <c r="M158" s="16"/>
      <c r="N158" s="16"/>
      <c r="P158" s="5">
        <v>0.60521070710951574</v>
      </c>
      <c r="Q158" s="5">
        <v>0.30825314272526122</v>
      </c>
      <c r="R158" s="5">
        <v>0.33146643872343973</v>
      </c>
      <c r="S158" s="5">
        <v>1.2837445228704962E-2</v>
      </c>
      <c r="T158" s="5">
        <v>0.23298068589477477</v>
      </c>
      <c r="U158" s="5">
        <v>1.6001812397350497E-2</v>
      </c>
      <c r="V158" s="5">
        <v>6.781740189656338E-3</v>
      </c>
      <c r="W158" s="5">
        <v>7.5086616650372499E-3</v>
      </c>
      <c r="X158" s="82">
        <v>0.22839474162073226</v>
      </c>
      <c r="Y158" s="10"/>
      <c r="Z158" s="51"/>
      <c r="AA158" s="16"/>
      <c r="AB158" s="16"/>
      <c r="AD158" s="5">
        <v>0.61022127134343651</v>
      </c>
      <c r="AE158" s="5">
        <v>0.30865838721797201</v>
      </c>
      <c r="AF158" s="5">
        <v>0.33146643872343973</v>
      </c>
      <c r="AG158" s="5">
        <v>1.2821349382962772E-2</v>
      </c>
      <c r="AH158" s="5">
        <v>0.22744230037528149</v>
      </c>
      <c r="AI158" s="5">
        <v>1.571979643634103E-2</v>
      </c>
      <c r="AJ158" s="5">
        <v>6.7449981467751332E-3</v>
      </c>
      <c r="AK158" s="5">
        <v>7.5086616650372499E-3</v>
      </c>
      <c r="AL158" s="82">
        <v>0.23079148164522695</v>
      </c>
      <c r="AM158" s="10"/>
      <c r="AN158" s="51"/>
      <c r="AO158" s="16"/>
      <c r="AP158" s="16"/>
      <c r="AR158" s="5">
        <v>0.60332926333802228</v>
      </c>
      <c r="AS158" s="5">
        <v>0.31130483452718827</v>
      </c>
      <c r="AT158" s="5">
        <v>0.32906078465839744</v>
      </c>
      <c r="AU158" s="5">
        <v>1.2437845472588891E-2</v>
      </c>
      <c r="AV158" s="5">
        <v>0.23335980802186151</v>
      </c>
      <c r="AW158" s="5">
        <v>1.5588457268119896E-2</v>
      </c>
      <c r="AX158" s="5">
        <v>6.6332495807107997E-3</v>
      </c>
      <c r="AY158" s="5">
        <v>7.7330459716724847E-3</v>
      </c>
      <c r="AZ158" s="82">
        <v>0.22665987734929957</v>
      </c>
      <c r="BA158" s="10"/>
      <c r="BB158" s="51"/>
      <c r="BC158" s="16"/>
      <c r="BD158" s="16"/>
    </row>
    <row r="159" spans="1:62" s="4" customFormat="1" x14ac:dyDescent="0.2">
      <c r="A159" s="46" t="s">
        <v>69</v>
      </c>
      <c r="B159" s="5">
        <v>27.542000000000002</v>
      </c>
      <c r="C159" s="5">
        <v>40.673999999999999</v>
      </c>
      <c r="D159" s="5">
        <v>13.988</v>
      </c>
      <c r="E159" s="5">
        <v>0.17196</v>
      </c>
      <c r="F159" s="5">
        <v>15.586000000000002</v>
      </c>
      <c r="G159" s="5">
        <v>0.14962</v>
      </c>
      <c r="H159" s="5">
        <v>7.3899999999999993E-2</v>
      </c>
      <c r="I159" s="5">
        <v>0.14757999999999999</v>
      </c>
      <c r="J159" s="82">
        <v>98.33314</v>
      </c>
      <c r="K159" s="10">
        <v>0.1415454804620063</v>
      </c>
      <c r="L159" s="51">
        <v>1087.1323579264485</v>
      </c>
      <c r="M159" s="16">
        <v>-1.0374245516007115</v>
      </c>
      <c r="N159" s="16">
        <v>-0.82170001388315139</v>
      </c>
      <c r="P159" s="5">
        <v>28.513999999999999</v>
      </c>
      <c r="Q159" s="5">
        <v>40.93</v>
      </c>
      <c r="R159" s="5">
        <v>13.794</v>
      </c>
      <c r="S159" s="5">
        <v>0.17218</v>
      </c>
      <c r="T159" s="5">
        <v>16.094000000000001</v>
      </c>
      <c r="U159" s="5">
        <v>0.14975999999999998</v>
      </c>
      <c r="V159" s="5">
        <v>7.4059999999999987E-2</v>
      </c>
      <c r="W159" s="5">
        <v>0.14785999999999999</v>
      </c>
      <c r="X159" s="82">
        <v>99.875840000000011</v>
      </c>
      <c r="Y159" s="10">
        <v>0.13894620071409883</v>
      </c>
      <c r="Z159" s="51">
        <v>1103.8509029529182</v>
      </c>
      <c r="AA159" s="16">
        <v>-1.1385763164382765</v>
      </c>
      <c r="AB159" s="16">
        <v>-0.91654644775583005</v>
      </c>
      <c r="AD159" s="5">
        <v>28.462</v>
      </c>
      <c r="AE159" s="5">
        <v>40.9</v>
      </c>
      <c r="AF159" s="5">
        <v>13.790000000000001</v>
      </c>
      <c r="AG159" s="5">
        <v>0.17158000000000001</v>
      </c>
      <c r="AH159" s="5">
        <v>16.065999999999999</v>
      </c>
      <c r="AI159" s="5">
        <v>0.14735999999999999</v>
      </c>
      <c r="AJ159" s="5">
        <v>7.3499999999999996E-2</v>
      </c>
      <c r="AK159" s="5">
        <v>0.14826</v>
      </c>
      <c r="AL159" s="82">
        <v>99.758760000000009</v>
      </c>
      <c r="AM159" s="10">
        <v>0.13869860174693385</v>
      </c>
      <c r="AN159" s="51">
        <v>1103.1026826882153</v>
      </c>
      <c r="AO159" s="16">
        <v>-1.1393599235232499</v>
      </c>
      <c r="AP159" s="16">
        <v>-0.91726835973849319</v>
      </c>
      <c r="AR159" s="5">
        <v>28.291200000000003</v>
      </c>
      <c r="AS159" s="5">
        <v>40.638400000000004</v>
      </c>
      <c r="AT159" s="5">
        <v>13.6568</v>
      </c>
      <c r="AU159" s="5">
        <v>0.16919999999999996</v>
      </c>
      <c r="AV159" s="5">
        <v>15.980400000000003</v>
      </c>
      <c r="AW159" s="5">
        <v>0.14579999999999999</v>
      </c>
      <c r="AX159" s="5">
        <v>7.2800000000000004E-2</v>
      </c>
      <c r="AY159" s="5">
        <v>0.1484</v>
      </c>
      <c r="AZ159" s="82">
        <v>99.10299999999998</v>
      </c>
      <c r="BA159" s="10">
        <v>0.13786608875871431</v>
      </c>
      <c r="BB159" s="51">
        <v>1104.7913390800486</v>
      </c>
      <c r="BC159" s="16">
        <v>-1.1571115045034195</v>
      </c>
      <c r="BD159" s="16">
        <v>-0.93412217771352246</v>
      </c>
    </row>
    <row r="160" spans="1:62" s="4" customFormat="1" x14ac:dyDescent="0.2">
      <c r="A160" s="4" t="s">
        <v>44</v>
      </c>
      <c r="B160" s="5">
        <v>0.91617138134739817</v>
      </c>
      <c r="C160" s="5">
        <v>1.296429712711028</v>
      </c>
      <c r="D160" s="5">
        <v>0.25033976911389832</v>
      </c>
      <c r="E160" s="5">
        <v>1.3053658491013156E-2</v>
      </c>
      <c r="F160" s="5">
        <v>0.37407218554712113</v>
      </c>
      <c r="G160" s="5">
        <v>2.5824639397288757E-2</v>
      </c>
      <c r="H160" s="5">
        <v>7.2811400206286396E-3</v>
      </c>
      <c r="I160" s="5">
        <v>0.2590348760302365</v>
      </c>
      <c r="J160" s="82">
        <v>0.22822434795612789</v>
      </c>
      <c r="K160" s="10"/>
      <c r="L160" s="51"/>
      <c r="M160" s="16"/>
      <c r="N160" s="16"/>
      <c r="P160" s="5">
        <v>0.95638904217896559</v>
      </c>
      <c r="Q160" s="5">
        <v>1.3022864508240901</v>
      </c>
      <c r="R160" s="5">
        <v>0.2477498738647515</v>
      </c>
      <c r="S160" s="5">
        <v>1.3029850344497435E-2</v>
      </c>
      <c r="T160" s="5">
        <v>0.38442164351139185</v>
      </c>
      <c r="U160" s="5">
        <v>2.5845270360358066E-2</v>
      </c>
      <c r="V160" s="5">
        <v>7.2906103996853312E-3</v>
      </c>
      <c r="W160" s="5">
        <v>0.25954925929387657</v>
      </c>
      <c r="X160" s="82">
        <v>0.24575166937378357</v>
      </c>
      <c r="Y160" s="10"/>
      <c r="Z160" s="51"/>
      <c r="AA160" s="16"/>
      <c r="AB160" s="16"/>
      <c r="AD160" s="5">
        <v>0.93390042295739428</v>
      </c>
      <c r="AE160" s="5">
        <v>1.3109538512091112</v>
      </c>
      <c r="AF160" s="5">
        <v>0.24859605789312159</v>
      </c>
      <c r="AG160" s="5">
        <v>1.297370417421331E-2</v>
      </c>
      <c r="AH160" s="5">
        <v>0.38003947163419832</v>
      </c>
      <c r="AI160" s="5">
        <v>2.5434877628956774E-2</v>
      </c>
      <c r="AJ160" s="5">
        <v>7.2374028490888908E-3</v>
      </c>
      <c r="AK160" s="5">
        <v>0.26016454985258852</v>
      </c>
      <c r="AL160" s="82">
        <v>0.23579436592081762</v>
      </c>
      <c r="AM160" s="10"/>
      <c r="AN160" s="51"/>
      <c r="AO160" s="16"/>
      <c r="AP160" s="16"/>
      <c r="AR160" s="5">
        <v>0.94039204590425929</v>
      </c>
      <c r="AS160" s="5">
        <v>1.3086845685649371</v>
      </c>
      <c r="AT160" s="5">
        <v>0.24741301501739965</v>
      </c>
      <c r="AU160" s="5">
        <v>1.2794530081249561E-2</v>
      </c>
      <c r="AV160" s="5">
        <v>0.38369036995994588</v>
      </c>
      <c r="AW160" s="5">
        <v>2.5193253065056893E-2</v>
      </c>
      <c r="AX160" s="5">
        <v>6.8337398253079532E-3</v>
      </c>
      <c r="AY160" s="5">
        <v>0.26031000749106825</v>
      </c>
      <c r="AZ160" s="82">
        <v>0.24256957764732295</v>
      </c>
      <c r="BA160" s="10"/>
      <c r="BB160" s="51"/>
      <c r="BC160" s="16"/>
      <c r="BD160" s="16"/>
    </row>
    <row r="161" spans="1:62" s="4" customFormat="1" ht="6.75" customHeight="1" x14ac:dyDescent="0.2">
      <c r="J161" s="82"/>
      <c r="K161" s="10"/>
      <c r="M161" s="16"/>
      <c r="N161" s="16"/>
      <c r="X161" s="82"/>
      <c r="Y161" s="10"/>
      <c r="Z161" s="49"/>
      <c r="AA161" s="16"/>
      <c r="AB161" s="16"/>
      <c r="AL161" s="82"/>
      <c r="AM161" s="10"/>
      <c r="AO161" s="16"/>
      <c r="AP161" s="16"/>
      <c r="AZ161" s="82"/>
      <c r="BA161" s="10"/>
      <c r="BC161" s="16"/>
      <c r="BD161" s="16"/>
    </row>
    <row r="162" spans="1:62" s="4" customFormat="1" x14ac:dyDescent="0.2">
      <c r="A162" s="4" t="s">
        <v>5</v>
      </c>
      <c r="B162" s="5">
        <v>26.427500000000002</v>
      </c>
      <c r="C162" s="5">
        <v>41.995000000000005</v>
      </c>
      <c r="D162" s="5">
        <v>14.153333333333331</v>
      </c>
      <c r="E162" s="5">
        <v>0.17483333333333331</v>
      </c>
      <c r="F162" s="5">
        <v>15.369333333333335</v>
      </c>
      <c r="G162" s="5">
        <v>0.17011333333333334</v>
      </c>
      <c r="H162" s="5">
        <v>7.5766666666666649E-2</v>
      </c>
      <c r="I162" s="5">
        <v>6.7993333333333336E-2</v>
      </c>
      <c r="J162" s="82">
        <v>98.39212000000002</v>
      </c>
      <c r="K162" s="10">
        <v>0.14693822471218354</v>
      </c>
      <c r="L162" s="51">
        <v>1093.7495230576997</v>
      </c>
      <c r="M162" s="16">
        <v>-0.96926616208508065</v>
      </c>
      <c r="N162" s="16">
        <v>-0.74664963528571704</v>
      </c>
      <c r="P162" s="5">
        <v>27.323999999999998</v>
      </c>
      <c r="Q162" s="5">
        <v>42.238</v>
      </c>
      <c r="R162" s="5">
        <v>13.944666666666668</v>
      </c>
      <c r="S162" s="5">
        <v>0.17479333333333333</v>
      </c>
      <c r="T162" s="5">
        <v>15.914666666666667</v>
      </c>
      <c r="U162" s="5">
        <v>0.17008666666666664</v>
      </c>
      <c r="V162" s="5">
        <v>7.5659999999999991E-2</v>
      </c>
      <c r="W162" s="5">
        <v>6.8053333333333341E-2</v>
      </c>
      <c r="X162" s="82">
        <v>99.861913333333334</v>
      </c>
      <c r="Y162" s="10">
        <v>0.14994194978590208</v>
      </c>
      <c r="Z162" s="49">
        <v>1116.8936392421238</v>
      </c>
      <c r="AA162" s="16">
        <v>-1.0108506614341408</v>
      </c>
      <c r="AB162" s="16">
        <v>-0.78396352529462554</v>
      </c>
      <c r="AD162" s="5">
        <v>27.329000000000001</v>
      </c>
      <c r="AE162" s="5">
        <v>42.2395</v>
      </c>
      <c r="AF162" s="5">
        <v>13.950666666666665</v>
      </c>
      <c r="AG162" s="5">
        <v>0.17450666666666667</v>
      </c>
      <c r="AH162" s="5">
        <v>15.851999999999999</v>
      </c>
      <c r="AI162" s="5">
        <v>0.16756000000000001</v>
      </c>
      <c r="AJ162" s="5">
        <v>7.5359999999999996E-2</v>
      </c>
      <c r="AK162" s="5">
        <v>6.8313333333333323E-2</v>
      </c>
      <c r="AL162" s="82">
        <v>99.817773333333321</v>
      </c>
      <c r="AM162" s="10">
        <v>0.14448983380819402</v>
      </c>
      <c r="AN162" s="49">
        <v>1110.1971061968757</v>
      </c>
      <c r="AO162" s="16">
        <v>-1.0660002618621265</v>
      </c>
      <c r="AP162" s="16">
        <v>-0.83735918095175244</v>
      </c>
      <c r="AR162" s="5">
        <v>27.152150000000002</v>
      </c>
      <c r="AS162" s="5">
        <v>41.976050000000001</v>
      </c>
      <c r="AT162" s="5">
        <v>13.820266666666669</v>
      </c>
      <c r="AU162" s="5">
        <v>0.17213333333333333</v>
      </c>
      <c r="AV162" s="5">
        <v>15.757533333333335</v>
      </c>
      <c r="AW162" s="5">
        <v>0.1656</v>
      </c>
      <c r="AX162" s="5">
        <v>7.4800000000000005E-2</v>
      </c>
      <c r="AY162" s="5">
        <v>6.8333333333333329E-2</v>
      </c>
      <c r="AZ162" s="82">
        <v>99.149199999999993</v>
      </c>
      <c r="BA162" s="10">
        <v>0.14329763901435788</v>
      </c>
      <c r="BB162" s="49">
        <v>1111.2032187081395</v>
      </c>
      <c r="BC162" s="16">
        <v>-1.0861737535669669</v>
      </c>
      <c r="BD162" s="16">
        <v>-0.85649686265166203</v>
      </c>
      <c r="BF162" s="28">
        <f>AVERAGE(K162, Y162, AM162, BA162)</f>
        <v>0.1461669118301594</v>
      </c>
      <c r="BG162" s="29">
        <f>AVERAGE(M162, AA162, AO162, BC162)</f>
        <v>-1.0330727097370787</v>
      </c>
      <c r="BH162" s="29">
        <f>AVERAGE(N162, AB162, AP162, BD162)</f>
        <v>-0.80611730104593926</v>
      </c>
      <c r="BJ162" s="32">
        <f>BF162-BF151</f>
        <v>1.4040653959722288E-2</v>
      </c>
    </row>
    <row r="163" spans="1:62" s="4" customFormat="1" x14ac:dyDescent="0.2">
      <c r="A163" s="4" t="s">
        <v>44</v>
      </c>
      <c r="B163" s="5">
        <v>0.89422797242463259</v>
      </c>
      <c r="C163" s="5">
        <v>0.99240650273296083</v>
      </c>
      <c r="D163" s="5">
        <v>0.23157144325959728</v>
      </c>
      <c r="E163" s="5">
        <v>3.4920672005752246E-3</v>
      </c>
      <c r="F163" s="5">
        <v>0.18823743871327442</v>
      </c>
      <c r="G163" s="5">
        <v>3.4204679991681475E-2</v>
      </c>
      <c r="H163" s="5">
        <v>5.0838699170349918E-3</v>
      </c>
      <c r="I163" s="5">
        <v>6.896654647967615E-2</v>
      </c>
      <c r="J163" s="82">
        <v>0.27153735728256329</v>
      </c>
      <c r="K163" s="16">
        <f>STDEVA(K153, K155, K157, K159)</f>
        <v>3.9656571571083307E-3</v>
      </c>
      <c r="L163" s="54">
        <f>STDEVA(L153, L155, L157, L159)</f>
        <v>13.790413319889756</v>
      </c>
      <c r="M163" s="16">
        <f t="shared" ref="M163:N163" si="60">STDEVA(M153, M155, M157, M159)</f>
        <v>3.8217537325383973E-2</v>
      </c>
      <c r="N163" s="16">
        <f t="shared" si="60"/>
        <v>4.1797296097773114E-2</v>
      </c>
      <c r="P163" s="5">
        <v>0.9172262534402289</v>
      </c>
      <c r="Q163" s="5">
        <v>1.0003612680760199</v>
      </c>
      <c r="R163" s="5">
        <v>0.2127189068544052</v>
      </c>
      <c r="S163" s="5">
        <v>3.6002962841040422E-3</v>
      </c>
      <c r="T163" s="5">
        <v>0.16346661228928047</v>
      </c>
      <c r="U163" s="5">
        <v>3.434443380423282E-2</v>
      </c>
      <c r="V163" s="5">
        <v>4.6511933952481507E-3</v>
      </c>
      <c r="W163" s="5">
        <v>6.9161626161718698E-2</v>
      </c>
      <c r="X163" s="82">
        <v>0.23589852083752269</v>
      </c>
      <c r="Y163" s="16">
        <f>STDEVA(Y153, Y155, Y157, Y159)</f>
        <v>7.2946654138162891E-3</v>
      </c>
      <c r="Z163" s="54">
        <f>STDEVA(Z153, Z155, Z157, Z159)</f>
        <v>8.3283175116089883</v>
      </c>
      <c r="AA163" s="16">
        <f t="shared" ref="AA163:AB163" si="61">STDEVA(AA153, AA155, AA157, AA159)</f>
        <v>9.9411610557820052E-2</v>
      </c>
      <c r="AB163" s="16">
        <f t="shared" si="61"/>
        <v>9.9209883655337491E-2</v>
      </c>
      <c r="AD163" s="5">
        <v>0.91050242540405457</v>
      </c>
      <c r="AE163" s="5">
        <v>1.0053276414516175</v>
      </c>
      <c r="AF163" s="5">
        <v>0.22671862149663202</v>
      </c>
      <c r="AG163" s="5">
        <v>3.5251288392530106E-3</v>
      </c>
      <c r="AH163" s="5">
        <v>0.18630083198955377</v>
      </c>
      <c r="AI163" s="5">
        <v>3.3713830989669437E-2</v>
      </c>
      <c r="AJ163" s="5">
        <v>5.0535927813784099E-3</v>
      </c>
      <c r="AK163" s="5">
        <v>6.9279533293270204E-2</v>
      </c>
      <c r="AL163" s="82">
        <v>0.26892097451358044</v>
      </c>
      <c r="AM163" s="16">
        <f>STDEVA(AM153, AM155, AM157, AM159)</f>
        <v>4.4877842913553928E-3</v>
      </c>
      <c r="AN163" s="54">
        <f>STDEVA(AN153, AN155, AN157, AN159)</f>
        <v>14.656700231862372</v>
      </c>
      <c r="AO163" s="16">
        <f t="shared" ref="AO163:AP163" si="62">STDEVA(AO153, AO155, AO157, AO159)</f>
        <v>4.0819152583629462E-2</v>
      </c>
      <c r="AP163" s="16">
        <f t="shared" si="62"/>
        <v>4.4717563304970599E-2</v>
      </c>
      <c r="AR163" s="5">
        <v>0.91639841953886847</v>
      </c>
      <c r="AS163" s="5">
        <v>1.0024330983495402</v>
      </c>
      <c r="AT163" s="5">
        <v>0.22743133762376219</v>
      </c>
      <c r="AU163" s="5">
        <v>3.3605555096343064E-3</v>
      </c>
      <c r="AV163" s="5">
        <v>0.19361367031626178</v>
      </c>
      <c r="AW163" s="5">
        <v>3.3260787723684494E-2</v>
      </c>
      <c r="AX163" s="5">
        <v>5.102940328869229E-3</v>
      </c>
      <c r="AY163" s="5">
        <v>6.9377902341691874E-2</v>
      </c>
      <c r="AZ163" s="82">
        <v>0.28432917542876529</v>
      </c>
      <c r="BA163" s="16">
        <f>STDEVA(BA153, BA155, BA157, BA159)</f>
        <v>4.419179597352281E-3</v>
      </c>
      <c r="BB163" s="54">
        <f>STDEVA(BB153, BB155, BB157, BB159)</f>
        <v>14.541953598768391</v>
      </c>
      <c r="BC163" s="16">
        <f t="shared" ref="BC163:BD163" si="63">STDEVA(BC153, BC155, BC157, BC159)</f>
        <v>3.9736196836023058E-2</v>
      </c>
      <c r="BD163" s="16">
        <f t="shared" si="63"/>
        <v>4.3436920817538326E-2</v>
      </c>
      <c r="BF163" s="28">
        <f>STDEVA(K162, Y162, AM162, BA162)</f>
        <v>2.9377515388774892E-3</v>
      </c>
      <c r="BG163" s="29">
        <f>STDEVA(M162, AA162, AO162, BC162)</f>
        <v>5.3132035216732314E-2</v>
      </c>
      <c r="BH163" s="29">
        <f>STDEVA(N162, AB162, AP162, BD162)</f>
        <v>5.0137638352316626E-2</v>
      </c>
    </row>
    <row r="164" spans="1:62" s="4" customFormat="1" x14ac:dyDescent="0.2">
      <c r="C164" s="5"/>
      <c r="D164" s="5"/>
      <c r="E164" s="5"/>
      <c r="F164" s="5"/>
      <c r="G164" s="5"/>
      <c r="H164" s="5"/>
      <c r="I164" s="5"/>
      <c r="J164" s="82"/>
      <c r="K164" s="10"/>
      <c r="L164" s="51"/>
      <c r="M164" s="16"/>
      <c r="N164" s="16"/>
      <c r="Q164" s="5"/>
      <c r="R164" s="5"/>
      <c r="S164" s="5"/>
      <c r="T164" s="5"/>
      <c r="U164" s="5"/>
      <c r="V164" s="5"/>
      <c r="W164" s="5"/>
      <c r="X164" s="82"/>
      <c r="Y164" s="10"/>
      <c r="Z164" s="51"/>
      <c r="AA164" s="16"/>
      <c r="AB164" s="16"/>
      <c r="AE164" s="5"/>
      <c r="AF164" s="5"/>
      <c r="AG164" s="5"/>
      <c r="AH164" s="5"/>
      <c r="AI164" s="5"/>
      <c r="AJ164" s="5"/>
      <c r="AK164" s="5"/>
      <c r="AL164" s="82"/>
      <c r="AM164" s="10"/>
      <c r="AN164" s="51"/>
      <c r="AO164" s="16"/>
      <c r="AP164" s="16"/>
      <c r="AS164" s="5"/>
      <c r="AT164" s="5"/>
      <c r="AU164" s="5"/>
      <c r="AV164" s="5"/>
      <c r="AW164" s="5"/>
      <c r="AX164" s="5"/>
      <c r="AY164" s="5"/>
      <c r="AZ164" s="82"/>
      <c r="BA164" s="10"/>
      <c r="BB164" s="51"/>
      <c r="BC164" s="16"/>
      <c r="BD164" s="16"/>
    </row>
    <row r="165" spans="1:62" s="4" customFormat="1" x14ac:dyDescent="0.2">
      <c r="A165" s="6" t="s">
        <v>106</v>
      </c>
      <c r="C165" s="5"/>
      <c r="D165" s="5"/>
      <c r="E165" s="5"/>
      <c r="F165" s="5"/>
      <c r="G165" s="5"/>
      <c r="H165" s="5"/>
      <c r="I165" s="5"/>
      <c r="J165" s="82"/>
      <c r="K165" s="10"/>
      <c r="L165" s="51"/>
      <c r="M165" s="16"/>
      <c r="N165" s="16"/>
      <c r="Q165" s="5"/>
      <c r="R165" s="5"/>
      <c r="S165" s="5"/>
      <c r="T165" s="5"/>
      <c r="U165" s="5"/>
      <c r="V165" s="5"/>
      <c r="W165" s="5"/>
      <c r="X165" s="82"/>
      <c r="Y165" s="10"/>
      <c r="Z165" s="51"/>
      <c r="AA165" s="16"/>
      <c r="AB165" s="16"/>
      <c r="AE165" s="5"/>
      <c r="AF165" s="5"/>
      <c r="AG165" s="5"/>
      <c r="AH165" s="5"/>
      <c r="AI165" s="5"/>
      <c r="AJ165" s="5"/>
      <c r="AK165" s="5"/>
      <c r="AL165" s="82"/>
      <c r="AM165" s="10"/>
      <c r="AN165" s="51"/>
      <c r="AO165" s="16"/>
      <c r="AP165" s="16"/>
      <c r="AS165" s="5"/>
      <c r="AT165" s="5"/>
      <c r="AU165" s="5"/>
      <c r="AV165" s="5"/>
      <c r="AW165" s="5"/>
      <c r="AX165" s="5"/>
      <c r="AY165" s="5"/>
      <c r="AZ165" s="82"/>
      <c r="BA165" s="10"/>
      <c r="BB165" s="51"/>
      <c r="BC165" s="16"/>
      <c r="BD165" s="16"/>
    </row>
    <row r="166" spans="1:62" s="4" customFormat="1" x14ac:dyDescent="0.2">
      <c r="A166" s="22" t="s">
        <v>196</v>
      </c>
      <c r="B166" s="4">
        <v>28.01</v>
      </c>
      <c r="C166" s="4">
        <v>41.31</v>
      </c>
      <c r="D166" s="4">
        <v>14.03</v>
      </c>
      <c r="E166" s="4">
        <v>0.22</v>
      </c>
      <c r="F166" s="4">
        <v>15.36</v>
      </c>
      <c r="G166" s="4">
        <v>0.16</v>
      </c>
      <c r="H166" s="4">
        <v>0.08</v>
      </c>
      <c r="J166" s="82"/>
      <c r="K166" s="10">
        <v>0.1130554690622856</v>
      </c>
      <c r="L166" s="51">
        <v>1033.5484955382717</v>
      </c>
      <c r="M166" s="16">
        <v>-1.3182535560678414</v>
      </c>
      <c r="N166" s="16">
        <v>-1.0342209446258401</v>
      </c>
      <c r="P166" s="4">
        <v>28.01</v>
      </c>
      <c r="Q166" s="4">
        <v>41.31</v>
      </c>
      <c r="R166" s="4">
        <v>14.03</v>
      </c>
      <c r="S166" s="4">
        <v>0.22</v>
      </c>
      <c r="T166" s="4">
        <v>15.36</v>
      </c>
      <c r="U166" s="4">
        <v>0.16</v>
      </c>
      <c r="V166" s="4">
        <v>0.08</v>
      </c>
      <c r="X166" s="82"/>
      <c r="Y166" s="10">
        <v>0.1130554690622856</v>
      </c>
      <c r="Z166" s="51">
        <v>1033.5484955382717</v>
      </c>
      <c r="AA166" s="16">
        <v>-1.3182535560678414</v>
      </c>
      <c r="AB166" s="16">
        <v>-1.0342209446258401</v>
      </c>
      <c r="AD166" s="4">
        <v>28.01</v>
      </c>
      <c r="AE166" s="4">
        <v>41.31</v>
      </c>
      <c r="AF166" s="4">
        <v>14.03</v>
      </c>
      <c r="AG166" s="4">
        <v>0.22</v>
      </c>
      <c r="AH166" s="4">
        <v>15.36</v>
      </c>
      <c r="AI166" s="4">
        <v>0.16</v>
      </c>
      <c r="AJ166" s="4">
        <v>0.08</v>
      </c>
      <c r="AL166" s="82"/>
      <c r="AM166" s="10">
        <v>0.1130554690622856</v>
      </c>
      <c r="AN166" s="51">
        <v>1033.5484955382717</v>
      </c>
      <c r="AO166" s="16">
        <v>-1.3182535560678414</v>
      </c>
      <c r="AP166" s="16">
        <v>-1.0342209446258401</v>
      </c>
      <c r="AR166" s="4">
        <v>28.01</v>
      </c>
      <c r="AS166" s="4">
        <v>41.31</v>
      </c>
      <c r="AT166" s="4">
        <v>14.03</v>
      </c>
      <c r="AU166" s="4">
        <v>0.22</v>
      </c>
      <c r="AV166" s="4">
        <v>15.36</v>
      </c>
      <c r="AW166" s="4">
        <v>0.16</v>
      </c>
      <c r="AX166" s="4">
        <v>0.08</v>
      </c>
      <c r="AZ166" s="82"/>
      <c r="BA166" s="10">
        <v>0.1130554690622856</v>
      </c>
      <c r="BB166" s="51">
        <v>1033.5484955382717</v>
      </c>
      <c r="BC166" s="16">
        <v>-1.3182535560678414</v>
      </c>
      <c r="BD166" s="16">
        <v>-1.0342209446258401</v>
      </c>
      <c r="BF166" s="10">
        <f>BA166</f>
        <v>0.1130554690622856</v>
      </c>
      <c r="BG166" s="16">
        <f t="shared" ref="BG166" si="64">BC166</f>
        <v>-1.3182535560678414</v>
      </c>
      <c r="BH166" s="16">
        <f t="shared" ref="BH166" si="65">BD166</f>
        <v>-1.0342209446258401</v>
      </c>
    </row>
    <row r="167" spans="1:62" s="4" customFormat="1" ht="6.75" customHeight="1" x14ac:dyDescent="0.2">
      <c r="J167" s="82"/>
      <c r="K167" s="10"/>
      <c r="L167" s="51"/>
      <c r="M167" s="16"/>
      <c r="N167" s="16"/>
      <c r="X167" s="82"/>
      <c r="Y167" s="10"/>
      <c r="Z167" s="51"/>
      <c r="AA167" s="16"/>
      <c r="AB167" s="16"/>
      <c r="AL167" s="82"/>
      <c r="AM167" s="10"/>
      <c r="AN167" s="51"/>
      <c r="AO167" s="16"/>
      <c r="AP167" s="16"/>
      <c r="AZ167" s="82"/>
      <c r="BA167" s="10"/>
      <c r="BB167" s="51"/>
      <c r="BC167" s="16"/>
      <c r="BD167" s="16"/>
    </row>
    <row r="168" spans="1:62" s="4" customFormat="1" x14ac:dyDescent="0.2">
      <c r="A168" s="4" t="s">
        <v>70</v>
      </c>
      <c r="B168" s="5">
        <v>29.716000000000001</v>
      </c>
      <c r="C168" s="5">
        <v>39.506</v>
      </c>
      <c r="D168" s="5">
        <v>13.797999999999998</v>
      </c>
      <c r="E168" s="5">
        <v>0.16148000000000001</v>
      </c>
      <c r="F168" s="5">
        <v>16.137999999999998</v>
      </c>
      <c r="G168" s="5">
        <v>0.15714</v>
      </c>
      <c r="H168" s="5">
        <v>9.4E-2</v>
      </c>
      <c r="I168" s="5">
        <v>2.6519999999999998E-2</v>
      </c>
      <c r="J168" s="82">
        <v>99.597179999999994</v>
      </c>
      <c r="K168" s="10">
        <v>0.14659552996070768</v>
      </c>
      <c r="L168" s="51">
        <v>1068.0704971296104</v>
      </c>
      <c r="M168" s="16">
        <v>-0.9366604654895343</v>
      </c>
      <c r="N168" s="16">
        <v>-0.6638594001644762</v>
      </c>
      <c r="P168" s="5">
        <v>30.746000000000002</v>
      </c>
      <c r="Q168" s="5">
        <v>39.75</v>
      </c>
      <c r="R168" s="5">
        <v>13.602</v>
      </c>
      <c r="S168" s="5">
        <v>0.16167999999999999</v>
      </c>
      <c r="T168" s="5">
        <v>16.657999999999998</v>
      </c>
      <c r="U168" s="5">
        <v>0.15726000000000001</v>
      </c>
      <c r="V168" s="5">
        <v>9.4240000000000004E-2</v>
      </c>
      <c r="W168" s="5">
        <v>2.6540000000000001E-2</v>
      </c>
      <c r="X168" s="82">
        <v>101.19566</v>
      </c>
      <c r="Y168" s="10">
        <v>0.1432999597096018</v>
      </c>
      <c r="Z168" s="51">
        <v>1084.2686129963313</v>
      </c>
      <c r="AA168" s="16">
        <v>-1.0456045660353266</v>
      </c>
      <c r="AB168" s="16">
        <v>-0.76615500211932819</v>
      </c>
      <c r="AD168" s="5">
        <v>30.68</v>
      </c>
      <c r="AE168" s="5">
        <v>39.712000000000003</v>
      </c>
      <c r="AF168" s="5">
        <v>13.595999999999998</v>
      </c>
      <c r="AG168" s="5">
        <v>0.16110000000000002</v>
      </c>
      <c r="AH168" s="5">
        <v>16.622</v>
      </c>
      <c r="AI168" s="5">
        <v>0.15473999999999996</v>
      </c>
      <c r="AJ168" s="5">
        <v>9.3479999999999994E-2</v>
      </c>
      <c r="AK168" s="5">
        <v>2.6619999999999998E-2</v>
      </c>
      <c r="AL168" s="82">
        <v>101.04588</v>
      </c>
      <c r="AM168" s="10">
        <v>0.14299351112626354</v>
      </c>
      <c r="AN168" s="51">
        <v>1083.3488153377543</v>
      </c>
      <c r="AO168" s="16">
        <v>-1.0465624574450811</v>
      </c>
      <c r="AP168" s="16">
        <v>-0.76700873138436076</v>
      </c>
      <c r="AR168" s="5">
        <v>30.541799999999995</v>
      </c>
      <c r="AS168" s="5">
        <v>39.465199999999996</v>
      </c>
      <c r="AT168" s="5">
        <v>13.4636</v>
      </c>
      <c r="AU168" s="5">
        <v>0.1588</v>
      </c>
      <c r="AV168" s="5">
        <v>16.557600000000001</v>
      </c>
      <c r="AW168" s="5">
        <v>0.153</v>
      </c>
      <c r="AX168" s="5">
        <v>9.2599999999999988E-2</v>
      </c>
      <c r="AY168" s="5">
        <v>2.6600000000000002E-2</v>
      </c>
      <c r="AZ168" s="82">
        <v>100.45919999999998</v>
      </c>
      <c r="BA168" s="10">
        <v>0.14264046491004487</v>
      </c>
      <c r="BB168" s="51">
        <v>1085.9664981927199</v>
      </c>
      <c r="BC168" s="16">
        <v>-1.0607010043899185</v>
      </c>
      <c r="BD168" s="16">
        <v>-0.7802093663457379</v>
      </c>
    </row>
    <row r="169" spans="1:62" s="4" customFormat="1" x14ac:dyDescent="0.2">
      <c r="A169" s="4" t="s">
        <v>44</v>
      </c>
      <c r="B169" s="5">
        <v>0.13685759021698418</v>
      </c>
      <c r="C169" s="5">
        <v>0.10212737145349277</v>
      </c>
      <c r="D169" s="5">
        <v>0.24314604664686604</v>
      </c>
      <c r="E169" s="5">
        <v>5.2737083726728763E-3</v>
      </c>
      <c r="F169" s="5">
        <v>0.14446452851824859</v>
      </c>
      <c r="G169" s="5">
        <v>1.9457851885549843E-2</v>
      </c>
      <c r="H169" s="5">
        <v>1.6236532881129518E-2</v>
      </c>
      <c r="I169" s="5">
        <v>6.0064132391969101E-3</v>
      </c>
      <c r="J169" s="82">
        <v>0.29596836317417274</v>
      </c>
      <c r="K169" s="10"/>
      <c r="L169" s="51"/>
      <c r="M169" s="16"/>
      <c r="N169" s="16"/>
      <c r="P169" s="5">
        <v>0.13685759021698393</v>
      </c>
      <c r="Q169" s="5">
        <v>9.7467943448089012E-2</v>
      </c>
      <c r="R169" s="5">
        <v>0.24066574330386115</v>
      </c>
      <c r="S169" s="5">
        <v>5.2737083726728771E-3</v>
      </c>
      <c r="T169" s="5">
        <v>0.1505656003209237</v>
      </c>
      <c r="U169" s="5">
        <v>1.9464660284731448E-2</v>
      </c>
      <c r="V169" s="5">
        <v>1.6286282571538541E-2</v>
      </c>
      <c r="W169" s="5">
        <v>6.0272713560947178E-3</v>
      </c>
      <c r="X169" s="82">
        <v>0.29491934151560639</v>
      </c>
      <c r="Y169" s="10"/>
      <c r="Z169" s="51"/>
      <c r="AA169" s="16"/>
      <c r="AB169" s="16"/>
      <c r="AD169" s="5">
        <v>0.14230249470757661</v>
      </c>
      <c r="AE169" s="5">
        <v>9.8336158151515404E-2</v>
      </c>
      <c r="AF169" s="5">
        <v>0.24006249186409831</v>
      </c>
      <c r="AG169" s="5">
        <v>5.2725705305856291E-3</v>
      </c>
      <c r="AH169" s="5">
        <v>0.14584238067173724</v>
      </c>
      <c r="AI169" s="5">
        <v>1.9169454869662129E-2</v>
      </c>
      <c r="AJ169" s="5">
        <v>1.6155711064512159E-2</v>
      </c>
      <c r="AK169" s="5">
        <v>6.0064132391969196E-3</v>
      </c>
      <c r="AL169" s="82">
        <v>0.30066957278714052</v>
      </c>
      <c r="AM169" s="10"/>
      <c r="AN169" s="51"/>
      <c r="AO169" s="16"/>
      <c r="AP169" s="16"/>
      <c r="AR169" s="5">
        <v>0.14416206158348371</v>
      </c>
      <c r="AS169" s="5">
        <v>9.787083324463941E-2</v>
      </c>
      <c r="AT169" s="5">
        <v>0.23823160999330042</v>
      </c>
      <c r="AU169" s="5">
        <v>5.1185935568278957E-3</v>
      </c>
      <c r="AV169" s="5">
        <v>0.14934289403918818</v>
      </c>
      <c r="AW169" s="5">
        <v>1.9157244060667999E-2</v>
      </c>
      <c r="AX169" s="5">
        <v>1.5946786510140552E-2</v>
      </c>
      <c r="AY169" s="5">
        <v>6.0249481325568236E-3</v>
      </c>
      <c r="AZ169" s="82">
        <v>0.30754869533132617</v>
      </c>
      <c r="BA169" s="10"/>
      <c r="BB169" s="51"/>
      <c r="BC169" s="16"/>
      <c r="BD169" s="16"/>
    </row>
    <row r="170" spans="1:62" s="4" customFormat="1" x14ac:dyDescent="0.2">
      <c r="A170" s="4" t="s">
        <v>71</v>
      </c>
      <c r="B170" s="5">
        <v>29.816000000000003</v>
      </c>
      <c r="C170" s="5">
        <v>39.378</v>
      </c>
      <c r="D170" s="5">
        <v>13.656000000000001</v>
      </c>
      <c r="E170" s="5">
        <v>0.13962000000000002</v>
      </c>
      <c r="F170" s="5">
        <v>16.339999999999996</v>
      </c>
      <c r="G170" s="5">
        <v>0.15667999999999999</v>
      </c>
      <c r="H170" s="5">
        <v>8.9979999999999991E-2</v>
      </c>
      <c r="I170" s="5">
        <v>4.2040000000000008E-2</v>
      </c>
      <c r="J170" s="82">
        <v>99.618380000000002</v>
      </c>
      <c r="K170" s="10">
        <v>0.15571858885366757</v>
      </c>
      <c r="L170" s="51">
        <v>1086.1409530809046</v>
      </c>
      <c r="M170" s="16">
        <v>-0.87071010998505993</v>
      </c>
      <c r="N170" s="16">
        <v>-0.59900045657427103</v>
      </c>
      <c r="P170" s="5">
        <v>30.847999999999995</v>
      </c>
      <c r="Q170" s="5">
        <v>39.622</v>
      </c>
      <c r="R170" s="5">
        <v>13.464000000000002</v>
      </c>
      <c r="S170" s="5">
        <v>0.13976000000000002</v>
      </c>
      <c r="T170" s="5">
        <v>16.868000000000002</v>
      </c>
      <c r="U170" s="5">
        <v>0.15679999999999999</v>
      </c>
      <c r="V170" s="5">
        <v>9.0160000000000004E-2</v>
      </c>
      <c r="W170" s="5">
        <v>4.2139999999999997E-2</v>
      </c>
      <c r="X170" s="82">
        <v>101.23078000000001</v>
      </c>
      <c r="Y170" s="10">
        <v>0.15330302997983286</v>
      </c>
      <c r="Z170" s="51">
        <v>1103.6389407620604</v>
      </c>
      <c r="AA170" s="16">
        <v>-0.96849097307538945</v>
      </c>
      <c r="AB170" s="16">
        <v>-0.69077124478733687</v>
      </c>
      <c r="AD170" s="5">
        <v>30.78</v>
      </c>
      <c r="AE170" s="5">
        <v>39.583999999999996</v>
      </c>
      <c r="AF170" s="5">
        <v>13.456</v>
      </c>
      <c r="AG170" s="5">
        <v>0.13928000000000001</v>
      </c>
      <c r="AH170" s="5">
        <v>16.827999999999999</v>
      </c>
      <c r="AI170" s="5">
        <v>0.15426000000000001</v>
      </c>
      <c r="AJ170" s="5">
        <v>8.9439999999999992E-2</v>
      </c>
      <c r="AK170" s="5">
        <v>4.2220000000000001E-2</v>
      </c>
      <c r="AL170" s="82">
        <v>101.07312</v>
      </c>
      <c r="AM170" s="10">
        <v>0.15263861000229545</v>
      </c>
      <c r="AN170" s="51">
        <v>1102.3686111999386</v>
      </c>
      <c r="AO170" s="16">
        <v>-0.9730230921503672</v>
      </c>
      <c r="AP170" s="16">
        <v>-0.69505749105300119</v>
      </c>
      <c r="AR170" s="5">
        <v>30.644200000000001</v>
      </c>
      <c r="AS170" s="5">
        <v>39.333199999999998</v>
      </c>
      <c r="AT170" s="5">
        <v>13.324800000000002</v>
      </c>
      <c r="AU170" s="5">
        <v>0.1376</v>
      </c>
      <c r="AV170" s="5">
        <v>16.765599999999999</v>
      </c>
      <c r="AW170" s="5">
        <v>0.1522</v>
      </c>
      <c r="AX170" s="5">
        <v>8.8800000000000018E-2</v>
      </c>
      <c r="AY170" s="5">
        <v>4.2199999999999994E-2</v>
      </c>
      <c r="AZ170" s="82">
        <v>100.48859999999999</v>
      </c>
      <c r="BA170" s="10">
        <v>0.15260678749782111</v>
      </c>
      <c r="BB170" s="51">
        <v>1105.3863651622751</v>
      </c>
      <c r="BC170" s="16">
        <v>-0.98366312142114709</v>
      </c>
      <c r="BD170" s="16">
        <v>-0.70495533928472831</v>
      </c>
    </row>
    <row r="171" spans="1:62" s="4" customFormat="1" x14ac:dyDescent="0.2">
      <c r="A171" s="4" t="s">
        <v>44</v>
      </c>
      <c r="B171" s="5">
        <v>0.22244100341438874</v>
      </c>
      <c r="C171" s="5">
        <v>0.16361540269791283</v>
      </c>
      <c r="D171" s="5">
        <v>0.19333908037435152</v>
      </c>
      <c r="E171" s="5">
        <v>8.1253922982216665E-3</v>
      </c>
      <c r="F171" s="5">
        <v>0.19196353820452458</v>
      </c>
      <c r="G171" s="5">
        <v>1.5463408421172867E-2</v>
      </c>
      <c r="H171" s="5">
        <v>7.3179232026579768E-3</v>
      </c>
      <c r="I171" s="5">
        <v>4.6607435029188217E-2</v>
      </c>
      <c r="J171" s="82">
        <v>0.49969487389806533</v>
      </c>
      <c r="K171" s="10"/>
      <c r="L171" s="51"/>
      <c r="M171" s="16"/>
      <c r="N171" s="16"/>
      <c r="P171" s="5">
        <v>0.22928148638736676</v>
      </c>
      <c r="Q171" s="5">
        <v>0.16769019053003564</v>
      </c>
      <c r="R171" s="5">
        <v>0.19086644545335879</v>
      </c>
      <c r="S171" s="5">
        <v>8.1708628675311815E-3</v>
      </c>
      <c r="T171" s="5">
        <v>0.19867058161690607</v>
      </c>
      <c r="U171" s="5">
        <v>1.5489996772110702E-2</v>
      </c>
      <c r="V171" s="5">
        <v>7.349013539244568E-3</v>
      </c>
      <c r="W171" s="5">
        <v>4.6719942208868374E-2</v>
      </c>
      <c r="X171" s="82">
        <v>0.50912886089869103</v>
      </c>
      <c r="Y171" s="10"/>
      <c r="Z171" s="51"/>
      <c r="AA171" s="16"/>
      <c r="AB171" s="16"/>
      <c r="AD171" s="5">
        <v>0.23010866998007584</v>
      </c>
      <c r="AE171" s="5">
        <v>0.1687601848778317</v>
      </c>
      <c r="AF171" s="5">
        <v>0.19333908037435157</v>
      </c>
      <c r="AG171" s="5">
        <v>8.1346173849788372E-3</v>
      </c>
      <c r="AH171" s="5">
        <v>0.19867058161690698</v>
      </c>
      <c r="AI171" s="5">
        <v>1.5262142706710618E-2</v>
      </c>
      <c r="AJ171" s="5">
        <v>7.2741322506536836E-3</v>
      </c>
      <c r="AK171" s="5">
        <v>4.678629072709227E-2</v>
      </c>
      <c r="AL171" s="82">
        <v>0.51436148475561494</v>
      </c>
      <c r="AM171" s="10"/>
      <c r="AN171" s="51"/>
      <c r="AO171" s="16"/>
      <c r="AP171" s="16"/>
      <c r="AR171" s="5">
        <v>0.2338989097879679</v>
      </c>
      <c r="AS171" s="5">
        <v>0.17372305546472516</v>
      </c>
      <c r="AT171" s="5">
        <v>0.1903620235236006</v>
      </c>
      <c r="AU171" s="5">
        <v>8.0498447189992373E-3</v>
      </c>
      <c r="AV171" s="5">
        <v>0.1993772805512207</v>
      </c>
      <c r="AW171" s="5">
        <v>1.5073154945133421E-2</v>
      </c>
      <c r="AX171" s="5">
        <v>7.0142711667000729E-3</v>
      </c>
      <c r="AY171" s="5">
        <v>4.6858297024113038E-2</v>
      </c>
      <c r="AZ171" s="82">
        <v>0.52872232788109219</v>
      </c>
      <c r="BA171" s="10"/>
      <c r="BB171" s="51"/>
      <c r="BC171" s="16"/>
      <c r="BD171" s="16"/>
    </row>
    <row r="172" spans="1:62" s="4" customFormat="1" x14ac:dyDescent="0.2">
      <c r="A172" s="4" t="s">
        <v>72</v>
      </c>
      <c r="B172" s="5">
        <v>29.902000000000005</v>
      </c>
      <c r="C172" s="5">
        <v>39.364000000000004</v>
      </c>
      <c r="D172" s="5">
        <v>13.754</v>
      </c>
      <c r="E172" s="5">
        <v>0.15864</v>
      </c>
      <c r="F172" s="5">
        <v>16.228000000000002</v>
      </c>
      <c r="G172" s="5">
        <v>0.15496000000000001</v>
      </c>
      <c r="H172" s="5">
        <v>8.6159999999999987E-2</v>
      </c>
      <c r="I172" s="5">
        <v>2.5419999999999998E-2</v>
      </c>
      <c r="J172" s="82">
        <v>99.673239999999993</v>
      </c>
      <c r="K172" s="10">
        <v>0.1501789227445344</v>
      </c>
      <c r="L172" s="51">
        <v>1073.2828724769915</v>
      </c>
      <c r="M172" s="16">
        <v>-0.90742883162702348</v>
      </c>
      <c r="N172" s="16">
        <v>-0.63434550080320129</v>
      </c>
      <c r="P172" s="5">
        <v>30.93</v>
      </c>
      <c r="Q172" s="5">
        <v>39.612000000000002</v>
      </c>
      <c r="R172" s="5">
        <v>13.558000000000002</v>
      </c>
      <c r="S172" s="5">
        <v>0.15883999999999998</v>
      </c>
      <c r="T172" s="5">
        <v>16.751999999999999</v>
      </c>
      <c r="U172" s="5">
        <v>0.15506</v>
      </c>
      <c r="V172" s="5">
        <v>8.634E-2</v>
      </c>
      <c r="W172" s="5">
        <v>2.5500000000000002E-2</v>
      </c>
      <c r="X172" s="82">
        <v>101.27766</v>
      </c>
      <c r="Y172" s="10">
        <v>0.14724869316036554</v>
      </c>
      <c r="Z172" s="51">
        <v>1090.1409251971754</v>
      </c>
      <c r="AA172" s="16">
        <v>-1.0119435986419725</v>
      </c>
      <c r="AB172" s="16">
        <v>-0.73240795943517245</v>
      </c>
      <c r="AD172" s="5">
        <v>30.862000000000002</v>
      </c>
      <c r="AE172" s="5">
        <v>39.57</v>
      </c>
      <c r="AF172" s="5">
        <v>13.551999999999998</v>
      </c>
      <c r="AG172" s="5">
        <v>0.15825999999999998</v>
      </c>
      <c r="AH172" s="5">
        <v>16.71</v>
      </c>
      <c r="AI172" s="5">
        <v>0.15253999999999998</v>
      </c>
      <c r="AJ172" s="5">
        <v>8.5620000000000002E-2</v>
      </c>
      <c r="AK172" s="5">
        <v>2.5520000000000004E-2</v>
      </c>
      <c r="AL172" s="82">
        <v>101.11590000000001</v>
      </c>
      <c r="AM172" s="10">
        <v>0.14658271805430836</v>
      </c>
      <c r="AN172" s="51">
        <v>1088.7141850456437</v>
      </c>
      <c r="AO172" s="16">
        <v>-1.0162584180056853</v>
      </c>
      <c r="AP172" s="16">
        <v>-0.73651617598751429</v>
      </c>
      <c r="AR172" s="5">
        <v>30.727399999999999</v>
      </c>
      <c r="AS172" s="5">
        <v>39.322600000000008</v>
      </c>
      <c r="AT172" s="5">
        <v>13.419</v>
      </c>
      <c r="AU172" s="5">
        <v>0.15620000000000001</v>
      </c>
      <c r="AV172" s="5">
        <v>16.650400000000001</v>
      </c>
      <c r="AW172" s="5">
        <v>0.15060000000000001</v>
      </c>
      <c r="AX172" s="5">
        <v>8.4999999999999992E-2</v>
      </c>
      <c r="AY172" s="5">
        <v>2.5600000000000001E-2</v>
      </c>
      <c r="AZ172" s="82">
        <v>100.5368</v>
      </c>
      <c r="BA172" s="10">
        <v>0.14652120359813786</v>
      </c>
      <c r="BB172" s="51">
        <v>1091.7698598670636</v>
      </c>
      <c r="BC172" s="16">
        <v>-1.0275741078302085</v>
      </c>
      <c r="BD172" s="16">
        <v>-0.74700984323023167</v>
      </c>
    </row>
    <row r="173" spans="1:62" s="4" customFormat="1" x14ac:dyDescent="0.2">
      <c r="A173" s="4" t="s">
        <v>44</v>
      </c>
      <c r="B173" s="5">
        <v>0.14324803663575916</v>
      </c>
      <c r="C173" s="5">
        <v>0.13685759021698232</v>
      </c>
      <c r="D173" s="5">
        <v>0.26044193210771555</v>
      </c>
      <c r="E173" s="5">
        <v>1.8040593116635553E-2</v>
      </c>
      <c r="F173" s="5">
        <v>0.15073154945133374</v>
      </c>
      <c r="G173" s="5">
        <v>2.6597518681260465E-2</v>
      </c>
      <c r="H173" s="5">
        <v>1.2026346078506136E-2</v>
      </c>
      <c r="I173" s="5">
        <v>3.3670461832294488E-3</v>
      </c>
      <c r="J173" s="82">
        <v>0.34701545066466466</v>
      </c>
      <c r="K173" s="10"/>
      <c r="L173" s="51"/>
      <c r="M173" s="16"/>
      <c r="N173" s="16"/>
      <c r="P173" s="5">
        <v>0.14611639196202394</v>
      </c>
      <c r="Q173" s="5">
        <v>0.13479614237803536</v>
      </c>
      <c r="R173" s="5">
        <v>0.25518620652378532</v>
      </c>
      <c r="S173" s="5">
        <v>1.8040593116635743E-2</v>
      </c>
      <c r="T173" s="5">
        <v>0.15449919093639283</v>
      </c>
      <c r="U173" s="5">
        <v>2.6597518681260403E-2</v>
      </c>
      <c r="V173" s="5">
        <v>1.2022811651190325E-2</v>
      </c>
      <c r="W173" s="5">
        <v>3.3667491739064856E-3</v>
      </c>
      <c r="X173" s="82">
        <v>0.33037421660898242</v>
      </c>
      <c r="Y173" s="10"/>
      <c r="Z173" s="51"/>
      <c r="AA173" s="16"/>
      <c r="AB173" s="16"/>
      <c r="AD173" s="5">
        <v>0.1451550894732945</v>
      </c>
      <c r="AE173" s="5">
        <v>0.14212670403551966</v>
      </c>
      <c r="AF173" s="5">
        <v>0.25801162764495772</v>
      </c>
      <c r="AG173" s="5">
        <v>1.7962822718047621E-2</v>
      </c>
      <c r="AH173" s="5">
        <v>0.15508062419270846</v>
      </c>
      <c r="AI173" s="5">
        <v>2.6165301450585387E-2</v>
      </c>
      <c r="AJ173" s="5">
        <v>1.1944119892231563E-2</v>
      </c>
      <c r="AK173" s="5">
        <v>3.3670461832294497E-3</v>
      </c>
      <c r="AL173" s="82">
        <v>0.34571750028021392</v>
      </c>
      <c r="AM173" s="10"/>
      <c r="AN173" s="51"/>
      <c r="AO173" s="16"/>
      <c r="AP173" s="16"/>
      <c r="AR173" s="5">
        <v>0.14515612284709228</v>
      </c>
      <c r="AS173" s="5">
        <v>0.14580397799785794</v>
      </c>
      <c r="AT173" s="5">
        <v>0.25672650817552928</v>
      </c>
      <c r="AU173" s="5">
        <v>1.7697457444502945E-2</v>
      </c>
      <c r="AV173" s="5">
        <v>0.15495580014959182</v>
      </c>
      <c r="AW173" s="5">
        <v>2.5589060162499209E-2</v>
      </c>
      <c r="AX173" s="5">
        <v>1.1811011811017747E-2</v>
      </c>
      <c r="AY173" s="5">
        <v>3.5071355833500369E-3</v>
      </c>
      <c r="AZ173" s="82">
        <v>0.3499817138080189</v>
      </c>
      <c r="BA173" s="10"/>
      <c r="BB173" s="51"/>
      <c r="BC173" s="16"/>
      <c r="BD173" s="16"/>
    </row>
    <row r="174" spans="1:62" s="4" customFormat="1" x14ac:dyDescent="0.2">
      <c r="A174" s="46" t="s">
        <v>73</v>
      </c>
      <c r="B174" s="5">
        <v>29.827999999999996</v>
      </c>
      <c r="C174" s="5">
        <v>39.123999999999995</v>
      </c>
      <c r="D174" s="5">
        <v>13.502000000000001</v>
      </c>
      <c r="E174" s="5">
        <v>0.16052000000000002</v>
      </c>
      <c r="F174" s="5">
        <v>16.28</v>
      </c>
      <c r="G174" s="5">
        <v>0.1512</v>
      </c>
      <c r="H174" s="5">
        <v>9.5740000000000006E-2</v>
      </c>
      <c r="I174" s="5">
        <v>2.6140000000000004E-2</v>
      </c>
      <c r="J174" s="82">
        <v>99.167680000000004</v>
      </c>
      <c r="K174" s="10">
        <v>0.15227138690206968</v>
      </c>
      <c r="L174" s="51">
        <v>1086.0433056673783</v>
      </c>
      <c r="M174" s="16">
        <v>-0.92109096950180014</v>
      </c>
      <c r="N174" s="16">
        <v>-0.64688888327336791</v>
      </c>
      <c r="P174" s="5">
        <v>30.795999999999999</v>
      </c>
      <c r="Q174" s="5">
        <v>39.333999999999996</v>
      </c>
      <c r="R174" s="5">
        <v>13.3</v>
      </c>
      <c r="S174" s="5">
        <v>0.16033999999999998</v>
      </c>
      <c r="T174" s="5">
        <v>16.877999999999997</v>
      </c>
      <c r="U174" s="5">
        <v>0.15101999999999999</v>
      </c>
      <c r="V174" s="5">
        <v>9.5480000000000009E-2</v>
      </c>
      <c r="W174" s="5">
        <v>2.6019999999999998E-2</v>
      </c>
      <c r="X174" s="82">
        <v>100.74078</v>
      </c>
      <c r="Y174" s="10">
        <v>0.15874548104475231</v>
      </c>
      <c r="Z174" s="51">
        <v>1114.2506064615409</v>
      </c>
      <c r="AA174" s="16">
        <v>-0.9329288708879373</v>
      </c>
      <c r="AB174" s="16">
        <v>-0.65568584643383687</v>
      </c>
      <c r="AD174" s="5">
        <v>30.788</v>
      </c>
      <c r="AE174" s="5">
        <v>39.326000000000001</v>
      </c>
      <c r="AF174" s="5">
        <v>13.306000000000001</v>
      </c>
      <c r="AG174" s="5">
        <v>0.16009999999999999</v>
      </c>
      <c r="AH174" s="5">
        <v>16.759999999999998</v>
      </c>
      <c r="AI174" s="5">
        <v>0.14886000000000002</v>
      </c>
      <c r="AJ174" s="5">
        <v>9.5139999999999988E-2</v>
      </c>
      <c r="AK174" s="5">
        <v>2.6239999999999996E-2</v>
      </c>
      <c r="AL174" s="82">
        <v>100.61027999999999</v>
      </c>
      <c r="AM174" s="10">
        <v>0.14879576046184878</v>
      </c>
      <c r="AN174" s="51">
        <v>1101.7293283201971</v>
      </c>
      <c r="AO174" s="16">
        <v>-1.0278441825529463</v>
      </c>
      <c r="AP174" s="16">
        <v>-0.74737588751789996</v>
      </c>
      <c r="AR174" s="5">
        <v>30.645199999999999</v>
      </c>
      <c r="AS174" s="5">
        <v>39.071600000000004</v>
      </c>
      <c r="AT174" s="5">
        <v>13.172999999999998</v>
      </c>
      <c r="AU174" s="5">
        <v>0.1578</v>
      </c>
      <c r="AV174" s="5">
        <v>16.6982</v>
      </c>
      <c r="AW174" s="5">
        <v>0.14700000000000002</v>
      </c>
      <c r="AX174" s="5">
        <v>9.4399999999999998E-2</v>
      </c>
      <c r="AY174" s="5">
        <v>2.6200000000000001E-2</v>
      </c>
      <c r="AZ174" s="82">
        <v>100.0134</v>
      </c>
      <c r="BA174" s="10">
        <v>0.14903388614979429</v>
      </c>
      <c r="BB174" s="51">
        <v>1105.1488940313593</v>
      </c>
      <c r="BC174" s="16">
        <v>-1.0360023940410494</v>
      </c>
      <c r="BD174" s="16">
        <v>-0.75485026391972632</v>
      </c>
    </row>
    <row r="175" spans="1:62" s="4" customFormat="1" x14ac:dyDescent="0.2">
      <c r="A175" s="4" t="s">
        <v>44</v>
      </c>
      <c r="B175" s="5">
        <v>0.19917329138215306</v>
      </c>
      <c r="C175" s="5">
        <v>0.12095453691366828</v>
      </c>
      <c r="D175" s="5">
        <v>0.16932217811025241</v>
      </c>
      <c r="E175" s="5">
        <v>2.1085943184975017E-2</v>
      </c>
      <c r="F175" s="5">
        <v>6.1644140029689605E-2</v>
      </c>
      <c r="G175" s="5">
        <v>3.524507057731617E-2</v>
      </c>
      <c r="H175" s="5">
        <v>2.8658332121740812E-3</v>
      </c>
      <c r="I175" s="5">
        <v>8.2509393404629969E-3</v>
      </c>
      <c r="J175" s="82">
        <v>0.35464047569334095</v>
      </c>
      <c r="K175" s="10"/>
      <c r="L175" s="51"/>
      <c r="M175" s="16"/>
      <c r="N175" s="16"/>
      <c r="P175" s="5">
        <v>0.31871617467583918</v>
      </c>
      <c r="Q175" s="5">
        <v>0.18915602025840944</v>
      </c>
      <c r="R175" s="5">
        <v>0.17691806012954073</v>
      </c>
      <c r="S175" s="5">
        <v>2.1155212123729738E-2</v>
      </c>
      <c r="T175" s="5">
        <v>0.11966620241321207</v>
      </c>
      <c r="U175" s="5">
        <v>3.4758696753474615E-2</v>
      </c>
      <c r="V175" s="5">
        <v>3.2522300041663704E-3</v>
      </c>
      <c r="W175" s="5">
        <v>7.9838587161848128E-3</v>
      </c>
      <c r="X175" s="82">
        <v>0.43014033407714558</v>
      </c>
      <c r="Y175" s="10"/>
      <c r="Z175" s="51"/>
      <c r="AA175" s="16"/>
      <c r="AB175" s="16"/>
      <c r="AD175" s="5">
        <v>0.19917329138215306</v>
      </c>
      <c r="AE175" s="5">
        <v>0.12441864811996713</v>
      </c>
      <c r="AF175" s="5">
        <v>0.16471186963907578</v>
      </c>
      <c r="AG175" s="5">
        <v>2.1056471689245633E-2</v>
      </c>
      <c r="AH175" s="5">
        <v>6.1644140029688592E-2</v>
      </c>
      <c r="AI175" s="5">
        <v>3.4686423857180695E-2</v>
      </c>
      <c r="AJ175" s="5">
        <v>2.8658332121740812E-3</v>
      </c>
      <c r="AK175" s="5">
        <v>8.2509393404630038E-3</v>
      </c>
      <c r="AL175" s="82">
        <v>0.35455638761697822</v>
      </c>
      <c r="AM175" s="10"/>
      <c r="AN175" s="51"/>
      <c r="AO175" s="16"/>
      <c r="AP175" s="16"/>
      <c r="AR175" s="5">
        <v>0.20681078308444142</v>
      </c>
      <c r="AS175" s="5">
        <v>0.12592180113070209</v>
      </c>
      <c r="AT175" s="5">
        <v>0.16479836164234171</v>
      </c>
      <c r="AU175" s="5">
        <v>2.0583974348992933E-2</v>
      </c>
      <c r="AV175" s="5">
        <v>6.4993845862512098E-2</v>
      </c>
      <c r="AW175" s="5">
        <v>3.4314719873546902E-2</v>
      </c>
      <c r="AX175" s="5">
        <v>2.7928480087537908E-3</v>
      </c>
      <c r="AY175" s="5">
        <v>8.2583291288250201E-3</v>
      </c>
      <c r="AZ175" s="82">
        <v>0.36857943512898006</v>
      </c>
      <c r="BA175" s="10"/>
      <c r="BB175" s="51"/>
      <c r="BC175" s="16"/>
      <c r="BD175" s="16"/>
    </row>
    <row r="176" spans="1:62" s="4" customFormat="1" ht="6.75" customHeight="1" x14ac:dyDescent="0.2">
      <c r="J176" s="82"/>
      <c r="K176" s="10"/>
      <c r="M176" s="16"/>
      <c r="N176" s="16"/>
      <c r="X176" s="82"/>
      <c r="Y176" s="10"/>
      <c r="Z176" s="49"/>
      <c r="AA176" s="16"/>
      <c r="AB176" s="16"/>
      <c r="AL176" s="82"/>
      <c r="AM176" s="10"/>
      <c r="AO176" s="16"/>
      <c r="AP176" s="16"/>
      <c r="AZ176" s="82"/>
      <c r="BA176" s="10"/>
      <c r="BC176" s="16"/>
      <c r="BD176" s="16"/>
    </row>
    <row r="177" spans="1:62" s="4" customFormat="1" x14ac:dyDescent="0.2">
      <c r="A177" s="4" t="s">
        <v>4</v>
      </c>
      <c r="B177" s="5">
        <v>29.8155</v>
      </c>
      <c r="C177" s="5">
        <v>39.343000000000004</v>
      </c>
      <c r="D177" s="5">
        <v>13.677499999999998</v>
      </c>
      <c r="E177" s="5">
        <v>0.15506500000000001</v>
      </c>
      <c r="F177" s="5">
        <v>16.246499999999997</v>
      </c>
      <c r="G177" s="5">
        <v>0.15499499999999999</v>
      </c>
      <c r="H177" s="5">
        <v>9.1469999999999996E-2</v>
      </c>
      <c r="I177" s="5">
        <v>3.0030000000000005E-2</v>
      </c>
      <c r="J177" s="82">
        <v>99.514119999999991</v>
      </c>
      <c r="K177" s="10">
        <v>0.15117432537311806</v>
      </c>
      <c r="L177" s="51">
        <v>1078.2995548563094</v>
      </c>
      <c r="M177" s="16">
        <v>-0.90863635172542534</v>
      </c>
      <c r="N177" s="16">
        <v>-0.63566023468227328</v>
      </c>
      <c r="P177" s="5">
        <v>30.83</v>
      </c>
      <c r="Q177" s="5">
        <v>39.579499999999996</v>
      </c>
      <c r="R177" s="5">
        <v>13.481000000000002</v>
      </c>
      <c r="S177" s="5">
        <v>0.15515499999999999</v>
      </c>
      <c r="T177" s="5">
        <v>16.788999999999998</v>
      </c>
      <c r="U177" s="5">
        <v>0.15503500000000001</v>
      </c>
      <c r="V177" s="5">
        <v>9.1554999999999997E-2</v>
      </c>
      <c r="W177" s="5">
        <v>3.005E-2</v>
      </c>
      <c r="X177" s="82">
        <v>101.11122</v>
      </c>
      <c r="Y177" s="10">
        <v>0.15059993189269319</v>
      </c>
      <c r="Z177" s="49">
        <v>1097.8960133637083</v>
      </c>
      <c r="AA177" s="16">
        <v>-0.98882411409812299</v>
      </c>
      <c r="AB177" s="16">
        <v>-0.71028231723971036</v>
      </c>
      <c r="AD177" s="5">
        <v>30.777500000000003</v>
      </c>
      <c r="AE177" s="5">
        <v>39.548000000000002</v>
      </c>
      <c r="AF177" s="5">
        <v>13.477499999999997</v>
      </c>
      <c r="AG177" s="5">
        <v>0.15468500000000002</v>
      </c>
      <c r="AH177" s="5">
        <v>16.73</v>
      </c>
      <c r="AI177" s="5">
        <v>0.15259999999999999</v>
      </c>
      <c r="AJ177" s="5">
        <v>9.0920000000000001E-2</v>
      </c>
      <c r="AK177" s="5">
        <v>3.0150000000000003E-2</v>
      </c>
      <c r="AL177" s="82">
        <v>100.96129500000001</v>
      </c>
      <c r="AM177" s="10">
        <v>0.14773530508701879</v>
      </c>
      <c r="AN177" s="49">
        <v>1093.9503403345493</v>
      </c>
      <c r="AO177" s="16">
        <v>-1.0155261716730934</v>
      </c>
      <c r="AP177" s="16">
        <v>-0.73606576332509466</v>
      </c>
      <c r="AR177" s="5">
        <v>30.63965</v>
      </c>
      <c r="AS177" s="5">
        <v>39.298150000000007</v>
      </c>
      <c r="AT177" s="5">
        <v>13.3451</v>
      </c>
      <c r="AU177" s="5">
        <v>0.15260000000000001</v>
      </c>
      <c r="AV177" s="5">
        <v>16.667950000000001</v>
      </c>
      <c r="AW177" s="5">
        <v>0.1507</v>
      </c>
      <c r="AX177" s="5">
        <v>9.0200000000000002E-2</v>
      </c>
      <c r="AY177" s="5">
        <v>3.015E-2</v>
      </c>
      <c r="AZ177" s="82">
        <v>100.37450000000001</v>
      </c>
      <c r="BA177" s="10">
        <v>0.14768155537891417</v>
      </c>
      <c r="BB177" s="49">
        <v>1096.9727005186237</v>
      </c>
      <c r="BC177" s="16">
        <v>-1.0265651413501526</v>
      </c>
      <c r="BD177" s="16">
        <v>-0.74630697540670976</v>
      </c>
      <c r="BF177" s="28">
        <f>AVERAGE(K177, Y177, AM177, BA177)</f>
        <v>0.14929777943293604</v>
      </c>
      <c r="BG177" s="29">
        <f>AVERAGE(M177, AA177, AO177, BC177)</f>
        <v>-0.9848879447116986</v>
      </c>
      <c r="BH177" s="29">
        <f>AVERAGE(N177, AB177, AP177, BD177)</f>
        <v>-0.70707882266344702</v>
      </c>
      <c r="BJ177" s="32">
        <f>BF177-BF166</f>
        <v>3.6242310370650441E-2</v>
      </c>
    </row>
    <row r="178" spans="1:62" s="4" customFormat="1" x14ac:dyDescent="0.2">
      <c r="A178" s="12" t="s">
        <v>44</v>
      </c>
      <c r="B178" s="13">
        <v>7.646131919692134E-2</v>
      </c>
      <c r="C178" s="13">
        <v>0.15936959141149684</v>
      </c>
      <c r="D178" s="13">
        <v>0.13119324169585267</v>
      </c>
      <c r="E178" s="13">
        <v>1.03640066254964E-2</v>
      </c>
      <c r="F178" s="13">
        <v>8.5594002905187497E-2</v>
      </c>
      <c r="G178" s="13">
        <v>2.6983637017026912E-3</v>
      </c>
      <c r="H178" s="13">
        <v>4.2836899981207877E-3</v>
      </c>
      <c r="I178" s="13">
        <v>8.0196508652184955E-3</v>
      </c>
      <c r="J178" s="85">
        <v>0.23317301101685148</v>
      </c>
      <c r="K178" s="21">
        <f>STDEVA(K168, K170, K172, K174)</f>
        <v>3.82138464840464E-3</v>
      </c>
      <c r="L178" s="55">
        <f>STDEVA(L168, L170, L172, L174)</f>
        <v>9.1510496156876648</v>
      </c>
      <c r="M178" s="21">
        <f t="shared" ref="M178:N178" si="66">STDEVA(M168, M170, M172, M174)</f>
        <v>2.8165428795371095E-2</v>
      </c>
      <c r="N178" s="21">
        <f t="shared" si="66"/>
        <v>2.748584676663756E-2</v>
      </c>
      <c r="O178" s="12"/>
      <c r="P178" s="13">
        <v>7.8604495206486019E-2</v>
      </c>
      <c r="Q178" s="13">
        <v>0.17531210264363956</v>
      </c>
      <c r="R178" s="13">
        <v>0.1336911864459783</v>
      </c>
      <c r="S178" s="13">
        <v>1.0328683362365195E-2</v>
      </c>
      <c r="T178" s="13">
        <v>0.10439029329077233</v>
      </c>
      <c r="U178" s="13">
        <v>2.8394072151301897E-3</v>
      </c>
      <c r="V178" s="13">
        <v>4.1535968348729631E-3</v>
      </c>
      <c r="W178" s="13">
        <v>8.0711750486943592E-3</v>
      </c>
      <c r="X178" s="85">
        <v>0.24923400945028984</v>
      </c>
      <c r="Y178" s="21">
        <f>STDEVA(Y168, Y170, Y172, Y174)</f>
        <v>6.786441382069186E-3</v>
      </c>
      <c r="Z178" s="55">
        <f>STDEVA(Z168, Z170, Z172, Z174)</f>
        <v>13.492881407926843</v>
      </c>
      <c r="AA178" s="21">
        <f t="shared" ref="AA178:AB178" si="67">STDEVA(AA168, AA170, AA172, AA174)</f>
        <v>4.9304749775131086E-2</v>
      </c>
      <c r="AB178" s="21">
        <f t="shared" si="67"/>
        <v>4.8197416878361571E-2</v>
      </c>
      <c r="AC178" s="12"/>
      <c r="AD178" s="13">
        <v>7.4750696763754607E-2</v>
      </c>
      <c r="AE178" s="13">
        <v>0.16120380475245261</v>
      </c>
      <c r="AF178" s="13">
        <v>0.12840950120610101</v>
      </c>
      <c r="AG178" s="13">
        <v>1.0337135322064161E-2</v>
      </c>
      <c r="AH178" s="13">
        <v>8.6733307712012139E-2</v>
      </c>
      <c r="AI178" s="13">
        <v>2.6662332981192594E-3</v>
      </c>
      <c r="AJ178" s="13">
        <v>4.267801932298791E-3</v>
      </c>
      <c r="AK178" s="13">
        <v>8.0595864244595739E-3</v>
      </c>
      <c r="AL178" s="85">
        <v>0.23577792453918103</v>
      </c>
      <c r="AM178" s="21">
        <f>STDEVA(AM168, AM170, AM172, AM174)</f>
        <v>4.040578677892091E-3</v>
      </c>
      <c r="AN178" s="55">
        <f>STDEVA(AN168, AN170, AN172, AN174)</f>
        <v>9.5071423804238755</v>
      </c>
      <c r="AO178" s="21">
        <f t="shared" ref="AO178:AP178" si="68">STDEVA(AO168, AO170, AO172, AO174)</f>
        <v>3.1205798291502416E-2</v>
      </c>
      <c r="AP178" s="21">
        <f t="shared" si="68"/>
        <v>3.0367466113447233E-2</v>
      </c>
      <c r="AQ178" s="12"/>
      <c r="AR178" s="13">
        <v>7.5996030598097425E-2</v>
      </c>
      <c r="AS178" s="13">
        <v>0.16437448098777094</v>
      </c>
      <c r="AT178" s="13">
        <v>0.1284963812720038</v>
      </c>
      <c r="AU178" s="13">
        <v>1.0057169913383518E-2</v>
      </c>
      <c r="AV178" s="13">
        <v>8.7437044018348092E-2</v>
      </c>
      <c r="AW178" s="13">
        <v>2.6608269391300045E-3</v>
      </c>
      <c r="AX178" s="13">
        <v>4.1793141383086587E-3</v>
      </c>
      <c r="AY178" s="13">
        <v>8.0438382214794279E-3</v>
      </c>
      <c r="AZ178" s="85">
        <v>0.2428493360089691</v>
      </c>
      <c r="BA178" s="21">
        <f>STDEVA(BA168, BA170, BA172, BA174)</f>
        <v>4.1969937940345495E-3</v>
      </c>
      <c r="BB178" s="55">
        <f>STDEVA(BB168, BB170, BB172, BB174)</f>
        <v>9.7606297359624197</v>
      </c>
      <c r="BC178" s="21">
        <f t="shared" ref="BC178:BD178" si="69">STDEVA(BC168, BC170, BC172, BC174)</f>
        <v>3.212068159743061E-2</v>
      </c>
      <c r="BD178" s="21">
        <f t="shared" si="69"/>
        <v>3.1262354894867679E-2</v>
      </c>
      <c r="BE178" s="12"/>
      <c r="BF178" s="30">
        <f>STDEVA(K177, Y177, AM177, BA177)</f>
        <v>1.8502731301543607E-3</v>
      </c>
      <c r="BG178" s="31">
        <f>STDEVA(M177, AA177, AO177, BC177)</f>
        <v>5.324624723352564E-2</v>
      </c>
      <c r="BH178" s="31">
        <f>STDEVA(N177, AB177, AP177, BD177)</f>
        <v>4.9966548087346851E-2</v>
      </c>
      <c r="BI178" s="12"/>
      <c r="BJ178" s="12"/>
    </row>
    <row r="179" spans="1:62" s="4" customFormat="1" x14ac:dyDescent="0.2">
      <c r="A179" s="4" t="s">
        <v>119</v>
      </c>
      <c r="B179" s="34"/>
      <c r="C179" s="34"/>
      <c r="D179" s="34"/>
      <c r="E179" s="34"/>
      <c r="F179" s="34"/>
      <c r="G179" s="34"/>
      <c r="H179" s="34"/>
      <c r="I179" s="34"/>
      <c r="J179" s="84"/>
      <c r="K179" s="35"/>
      <c r="L179" s="53"/>
      <c r="M179" s="35"/>
      <c r="N179" s="35"/>
      <c r="O179" s="33"/>
      <c r="P179" s="34"/>
      <c r="Q179" s="34"/>
      <c r="R179" s="34"/>
      <c r="S179" s="34"/>
      <c r="T179" s="34"/>
      <c r="U179" s="34"/>
      <c r="V179" s="34"/>
      <c r="W179" s="34"/>
      <c r="X179" s="84"/>
      <c r="Y179" s="35"/>
      <c r="Z179" s="53"/>
      <c r="AA179" s="35"/>
      <c r="AB179" s="35"/>
      <c r="AC179" s="33"/>
      <c r="AD179" s="34"/>
      <c r="AE179" s="34"/>
      <c r="AF179" s="34"/>
      <c r="AG179" s="34"/>
      <c r="AH179" s="34"/>
      <c r="AI179" s="34"/>
      <c r="AJ179" s="34"/>
      <c r="AK179" s="34"/>
      <c r="AL179" s="84"/>
      <c r="AM179" s="35"/>
      <c r="AN179" s="53"/>
      <c r="AO179" s="35"/>
      <c r="AP179" s="35"/>
      <c r="AQ179" s="33"/>
      <c r="AR179" s="34"/>
      <c r="AS179" s="34"/>
      <c r="AT179" s="34"/>
      <c r="AU179" s="34"/>
      <c r="AV179" s="34"/>
      <c r="AW179" s="34"/>
      <c r="AX179" s="34"/>
      <c r="AY179" s="34"/>
      <c r="AZ179" s="84"/>
      <c r="BA179" s="35"/>
      <c r="BB179" s="53"/>
      <c r="BC179" s="35"/>
      <c r="BD179" s="35"/>
      <c r="BE179" s="33"/>
      <c r="BF179" s="36"/>
      <c r="BG179" s="37"/>
      <c r="BH179" s="37"/>
      <c r="BI179" s="33"/>
      <c r="BJ179" s="33"/>
    </row>
    <row r="180" spans="1:62" s="4" customFormat="1" ht="15.75" x14ac:dyDescent="0.2">
      <c r="A180" s="4" t="s">
        <v>190</v>
      </c>
      <c r="J180" s="82"/>
      <c r="L180" s="51"/>
      <c r="M180" s="19"/>
      <c r="N180" s="19"/>
      <c r="X180" s="82"/>
      <c r="Z180" s="51"/>
      <c r="AA180" s="19"/>
      <c r="AB180" s="19"/>
      <c r="AL180" s="82"/>
      <c r="AN180" s="51"/>
      <c r="AO180" s="19"/>
      <c r="AP180" s="19"/>
      <c r="AZ180" s="82"/>
      <c r="BB180" s="51"/>
      <c r="BC180" s="19"/>
      <c r="BD180" s="64" t="s">
        <v>128</v>
      </c>
      <c r="BE180" s="41"/>
      <c r="BF180" s="42">
        <f>AVERAGE(BF16, BF31, BF42, BF57, BF72, BF87, BF102, BF117)</f>
        <v>0.13539877759085162</v>
      </c>
      <c r="BG180" s="64">
        <f>AVERAGE(BG16, BG31, BG42, BG57, BG72, BG87, BG102, BG117)</f>
        <v>-1.5479256104237584</v>
      </c>
      <c r="BH180" s="64">
        <f>AVERAGE(BH16, BH31, BH42, BH57, BH72, BH87, BH102, BH117)</f>
        <v>-1.2582930041091125</v>
      </c>
      <c r="BI180" s="41" t="s">
        <v>93</v>
      </c>
      <c r="BJ180" s="42">
        <f>MAX(BJ16:BJ177)</f>
        <v>5.7550107366792252E-2</v>
      </c>
    </row>
    <row r="181" spans="1:62" s="4" customFormat="1" ht="14.25" x14ac:dyDescent="0.25">
      <c r="A181" s="4" t="s">
        <v>120</v>
      </c>
      <c r="J181" s="82"/>
      <c r="L181" s="51"/>
      <c r="M181" s="19"/>
      <c r="N181" s="19"/>
      <c r="X181" s="82"/>
      <c r="Z181" s="51"/>
      <c r="AA181" s="19"/>
      <c r="AB181" s="19"/>
      <c r="AL181" s="82"/>
      <c r="AN181" s="51"/>
      <c r="AO181" s="19"/>
      <c r="AP181" s="19"/>
      <c r="AZ181" s="82"/>
      <c r="BB181" s="51"/>
      <c r="BC181" s="19"/>
      <c r="BD181" s="41" t="s">
        <v>44</v>
      </c>
      <c r="BE181" s="41"/>
      <c r="BF181" s="42">
        <f>STDEVA(BF16, BF31, BF42, BF57, BF72, BF87, BF102, BF117)</f>
        <v>1.9918150588291269E-2</v>
      </c>
      <c r="BG181" s="64">
        <f>STDEVA(BG16, BG31, BG42, BG57, BG72, BG87, BG102, BG117)</f>
        <v>0.23402047703874332</v>
      </c>
      <c r="BH181" s="64">
        <f>STDEVA(BH16, BH31, BH42, BH57, BH72, BH87, BH102, BH117)</f>
        <v>0.30718787250904794</v>
      </c>
      <c r="BI181" s="41" t="s">
        <v>94</v>
      </c>
      <c r="BJ181" s="42">
        <f>MIN(BJ16:BJ177)</f>
        <v>-1.7579836897786916E-2</v>
      </c>
    </row>
    <row r="182" spans="1:62" s="4" customFormat="1" ht="14.25" x14ac:dyDescent="0.25">
      <c r="A182" s="4" t="s">
        <v>121</v>
      </c>
      <c r="J182" s="82"/>
      <c r="L182" s="51"/>
      <c r="M182" s="19"/>
      <c r="N182" s="19"/>
      <c r="X182" s="82"/>
      <c r="Z182" s="51"/>
      <c r="AA182" s="19"/>
      <c r="AB182" s="19"/>
      <c r="AL182" s="82"/>
      <c r="AN182" s="51"/>
      <c r="AO182" s="19"/>
      <c r="AP182" s="19"/>
      <c r="AZ182" s="82"/>
      <c r="BB182" s="51"/>
      <c r="BC182" s="19"/>
      <c r="BD182" s="40" t="s">
        <v>95</v>
      </c>
      <c r="BE182" s="41"/>
      <c r="BF182" s="42">
        <f>AVERAGE(BF132, BF147, BF162, BF177)</f>
        <v>0.13673519403080808</v>
      </c>
      <c r="BG182" s="40">
        <f>AVERAGE(BG132, BG147, BG162, BG177)</f>
        <v>-1.1218824144055695</v>
      </c>
      <c r="BH182" s="40">
        <f>AVERAGE(BH132, BH147, BH162, BH177)</f>
        <v>-0.94112384988024811</v>
      </c>
      <c r="BI182" s="41" t="s">
        <v>118</v>
      </c>
      <c r="BJ182" s="42">
        <f>AVERAGE(BJ16, BJ31, BJ42, BJ57, BJ72, BJ87, BJ102, BJ117, BJ132, BJ147, BJ162, BJ177)</f>
        <v>3.1975657863068142E-2</v>
      </c>
    </row>
    <row r="183" spans="1:62" s="4" customFormat="1" ht="14.25" x14ac:dyDescent="0.25">
      <c r="A183" s="4" t="s">
        <v>192</v>
      </c>
      <c r="J183" s="82"/>
      <c r="L183" s="51"/>
      <c r="M183" s="19"/>
      <c r="N183" s="19"/>
      <c r="X183" s="82"/>
      <c r="Z183" s="51"/>
      <c r="AA183" s="19"/>
      <c r="AB183" s="19"/>
      <c r="AL183" s="82"/>
      <c r="AN183" s="51"/>
      <c r="AO183" s="19"/>
      <c r="AP183" s="19"/>
      <c r="AZ183" s="82"/>
      <c r="BB183" s="51"/>
      <c r="BC183" s="19"/>
      <c r="BD183" s="41" t="s">
        <v>44</v>
      </c>
      <c r="BE183" s="41"/>
      <c r="BF183" s="42">
        <f>STDEVA(BF16, BF31, BF42, BF57, BF72, BF87, BF102, BF117)</f>
        <v>1.9918150588291269E-2</v>
      </c>
      <c r="BG183" s="40">
        <f>STDEVA(BG16, BG31, BG42, BG57, BG72, BG87, BG102, BG117)</f>
        <v>0.23402047703874332</v>
      </c>
      <c r="BH183" s="40">
        <f>STDEVA(BH16, BH31, BH42, BH57, BH72, BH87, BH102, BH117)</f>
        <v>0.30718787250904794</v>
      </c>
      <c r="BI183" s="62" t="s">
        <v>44</v>
      </c>
      <c r="BJ183" s="63">
        <f>STDEVA(BJ16, BJ31, BJ42, BJ57, BJ72, BJ87, BJ102, BJ117, BJ132, BJ147, BJ162, BJ177)</f>
        <v>2.3544881617155355E-2</v>
      </c>
    </row>
    <row r="184" spans="1:62" s="4" customFormat="1" x14ac:dyDescent="0.2">
      <c r="A184" s="33"/>
      <c r="B184" s="34"/>
      <c r="C184" s="34"/>
      <c r="D184" s="34"/>
      <c r="E184" s="34"/>
      <c r="F184" s="34"/>
      <c r="G184" s="34"/>
      <c r="H184" s="34"/>
      <c r="I184" s="34"/>
      <c r="J184" s="84"/>
      <c r="K184" s="35"/>
      <c r="L184" s="53"/>
      <c r="M184" s="35"/>
      <c r="N184" s="35"/>
      <c r="O184" s="33"/>
      <c r="P184" s="34"/>
      <c r="Q184" s="34"/>
      <c r="R184" s="34"/>
      <c r="S184" s="34"/>
      <c r="T184" s="34"/>
      <c r="U184" s="34"/>
      <c r="V184" s="34"/>
      <c r="W184" s="34"/>
      <c r="X184" s="84"/>
      <c r="Y184" s="35"/>
      <c r="Z184" s="53"/>
      <c r="AA184" s="35"/>
      <c r="AB184" s="35"/>
      <c r="AC184" s="33"/>
      <c r="AD184" s="34"/>
      <c r="AE184" s="34"/>
      <c r="AF184" s="34"/>
      <c r="AG184" s="34"/>
      <c r="AH184" s="34"/>
      <c r="AI184" s="34"/>
      <c r="AJ184" s="34"/>
      <c r="AK184" s="34"/>
      <c r="AL184" s="84"/>
      <c r="AM184" s="35"/>
      <c r="AN184" s="53"/>
      <c r="AO184" s="35"/>
      <c r="AP184" s="35"/>
      <c r="AQ184" s="33"/>
      <c r="AR184" s="34"/>
      <c r="AS184" s="34"/>
      <c r="AT184" s="34"/>
      <c r="AU184" s="34"/>
      <c r="AV184" s="34"/>
      <c r="AW184" s="34"/>
      <c r="AX184" s="34"/>
      <c r="AY184" s="34"/>
      <c r="AZ184" s="84"/>
      <c r="BA184" s="35"/>
      <c r="BB184" s="53"/>
      <c r="BC184" s="35"/>
      <c r="BD184" s="35"/>
      <c r="BE184" s="33"/>
      <c r="BF184" s="36"/>
      <c r="BG184" s="37"/>
      <c r="BH184" s="37"/>
    </row>
    <row r="185" spans="1:62" s="4" customFormat="1" x14ac:dyDescent="0.2">
      <c r="A185" s="43" t="s">
        <v>107</v>
      </c>
      <c r="J185" s="82"/>
      <c r="K185" s="10"/>
      <c r="L185" s="51"/>
      <c r="M185" s="16"/>
      <c r="N185" s="16"/>
      <c r="X185" s="82"/>
      <c r="Y185" s="10"/>
      <c r="Z185" s="51"/>
      <c r="AA185" s="16"/>
      <c r="AB185" s="16"/>
      <c r="AL185" s="82"/>
      <c r="AM185" s="10"/>
      <c r="AN185" s="51"/>
      <c r="AO185" s="16"/>
      <c r="AP185" s="16"/>
      <c r="AZ185" s="82"/>
      <c r="BA185" s="10"/>
      <c r="BB185" s="51"/>
      <c r="BC185" s="16"/>
      <c r="BD185" s="16"/>
    </row>
    <row r="186" spans="1:62" s="4" customFormat="1" x14ac:dyDescent="0.2">
      <c r="A186" s="4" t="s">
        <v>124</v>
      </c>
      <c r="J186" s="82"/>
      <c r="L186" s="51"/>
      <c r="M186" s="19"/>
      <c r="N186" s="19"/>
      <c r="X186" s="82"/>
      <c r="Z186" s="51"/>
      <c r="AA186" s="19"/>
      <c r="AB186" s="19"/>
      <c r="AL186" s="82"/>
      <c r="AM186" s="20"/>
      <c r="AN186" s="51"/>
      <c r="AO186" s="19"/>
      <c r="AP186" s="19"/>
      <c r="AZ186" s="82"/>
      <c r="BB186" s="51"/>
      <c r="BC186" s="19"/>
    </row>
    <row r="187" spans="1:62" s="4" customFormat="1" x14ac:dyDescent="0.2">
      <c r="A187" s="4" t="s">
        <v>122</v>
      </c>
      <c r="J187" s="82"/>
      <c r="L187" s="51"/>
      <c r="M187" s="19"/>
      <c r="N187" s="19"/>
      <c r="X187" s="82"/>
      <c r="Z187" s="51"/>
      <c r="AA187" s="19"/>
      <c r="AB187" s="19"/>
      <c r="AL187" s="82"/>
      <c r="AM187" s="20"/>
      <c r="AN187" s="51"/>
      <c r="AO187" s="19"/>
      <c r="AP187" s="19"/>
      <c r="AZ187" s="82"/>
      <c r="BB187" s="51"/>
      <c r="BC187" s="19"/>
    </row>
    <row r="188" spans="1:62" s="4" customFormat="1" x14ac:dyDescent="0.2">
      <c r="A188" s="4" t="s">
        <v>123</v>
      </c>
      <c r="J188" s="82"/>
      <c r="L188" s="51"/>
      <c r="M188" s="19"/>
      <c r="N188" s="19"/>
      <c r="X188" s="82"/>
      <c r="Z188" s="51"/>
      <c r="AA188" s="19"/>
      <c r="AB188" s="19"/>
      <c r="AL188" s="82"/>
      <c r="AN188" s="51"/>
      <c r="AO188" s="19"/>
      <c r="AP188" s="19"/>
      <c r="AZ188" s="82"/>
      <c r="BB188" s="51"/>
      <c r="BC188" s="19"/>
    </row>
    <row r="189" spans="1:62" s="4" customFormat="1" x14ac:dyDescent="0.2">
      <c r="A189" s="44" t="s">
        <v>116</v>
      </c>
      <c r="J189" s="82"/>
      <c r="L189" s="51"/>
      <c r="M189" s="19"/>
      <c r="N189" s="19"/>
      <c r="X189" s="82"/>
      <c r="Z189" s="51"/>
      <c r="AA189" s="19"/>
      <c r="AB189" s="19"/>
      <c r="AL189" s="82"/>
      <c r="AM189" s="20"/>
      <c r="AN189" s="51"/>
      <c r="AO189" s="19"/>
      <c r="AP189" s="19"/>
      <c r="AZ189" s="82"/>
      <c r="BB189" s="51"/>
      <c r="BC189" s="19"/>
    </row>
    <row r="190" spans="1:62" x14ac:dyDescent="0.2">
      <c r="A190" s="61" t="s">
        <v>197</v>
      </c>
      <c r="J190" s="1"/>
      <c r="L190" s="1"/>
      <c r="M190" s="1"/>
      <c r="N190" s="1"/>
      <c r="X190" s="1"/>
      <c r="Z190" s="1"/>
      <c r="AA190" s="1"/>
      <c r="AB190" s="1"/>
      <c r="AL190" s="1"/>
      <c r="AN190" s="1"/>
      <c r="AO190" s="1"/>
      <c r="AP190" s="1"/>
      <c r="AZ190" s="1"/>
      <c r="BB190" s="1"/>
      <c r="BC190" s="1"/>
      <c r="BD190" s="1"/>
    </row>
    <row r="191" spans="1:62" s="4" customFormat="1" x14ac:dyDescent="0.2">
      <c r="A191" s="4" t="s">
        <v>125</v>
      </c>
      <c r="J191" s="82"/>
      <c r="L191" s="51"/>
      <c r="M191" s="19"/>
      <c r="N191" s="19"/>
      <c r="X191" s="82"/>
      <c r="Z191" s="51"/>
      <c r="AA191" s="19"/>
      <c r="AB191" s="19"/>
      <c r="AL191" s="82"/>
      <c r="AN191" s="51"/>
      <c r="AO191" s="19"/>
      <c r="AP191" s="19"/>
      <c r="AZ191" s="82"/>
      <c r="BB191" s="51"/>
      <c r="BC191" s="19"/>
      <c r="BD191" s="19"/>
    </row>
    <row r="192" spans="1:62" s="4" customFormat="1" x14ac:dyDescent="0.2">
      <c r="J192" s="82"/>
      <c r="L192" s="51"/>
      <c r="M192" s="19"/>
      <c r="N192" s="19"/>
      <c r="X192" s="82"/>
      <c r="Z192" s="51"/>
      <c r="AA192" s="19"/>
      <c r="AB192" s="19"/>
      <c r="AL192" s="82"/>
      <c r="AN192" s="51"/>
      <c r="AO192" s="19"/>
      <c r="AP192" s="19"/>
      <c r="AZ192" s="82"/>
      <c r="BB192" s="51"/>
      <c r="BC192" s="19"/>
      <c r="BD192" s="19"/>
    </row>
    <row r="193" spans="10:56" s="4" customFormat="1" x14ac:dyDescent="0.2">
      <c r="J193" s="82"/>
      <c r="L193" s="51"/>
      <c r="M193" s="19"/>
      <c r="N193" s="19"/>
      <c r="X193" s="82"/>
      <c r="Z193" s="51"/>
      <c r="AA193" s="19"/>
      <c r="AB193" s="19"/>
      <c r="AL193" s="82"/>
      <c r="AN193" s="51"/>
      <c r="AO193" s="19"/>
      <c r="AP193" s="19"/>
      <c r="AZ193" s="82"/>
      <c r="BB193" s="51"/>
      <c r="BC193" s="19"/>
      <c r="BD193" s="19"/>
    </row>
    <row r="194" spans="10:56" s="4" customFormat="1" x14ac:dyDescent="0.2">
      <c r="J194" s="82"/>
      <c r="L194" s="51"/>
      <c r="M194" s="19"/>
      <c r="N194" s="19"/>
      <c r="X194" s="82"/>
      <c r="Z194" s="51"/>
      <c r="AA194" s="19"/>
      <c r="AB194" s="19"/>
      <c r="AL194" s="82"/>
      <c r="AN194" s="51"/>
      <c r="AO194" s="19"/>
      <c r="AP194" s="19"/>
      <c r="AZ194" s="82"/>
      <c r="BB194" s="51"/>
      <c r="BC194" s="19"/>
      <c r="BD194" s="19"/>
    </row>
    <row r="195" spans="10:56" s="4" customFormat="1" x14ac:dyDescent="0.2">
      <c r="J195" s="82"/>
      <c r="L195" s="51"/>
      <c r="M195" s="19"/>
      <c r="N195" s="19"/>
      <c r="X195" s="82"/>
      <c r="Z195" s="51"/>
      <c r="AA195" s="19"/>
      <c r="AB195" s="19"/>
      <c r="AL195" s="82"/>
      <c r="AN195" s="51"/>
      <c r="AO195" s="19"/>
      <c r="AP195" s="19"/>
      <c r="AZ195" s="82"/>
      <c r="BB195" s="51"/>
      <c r="BC195" s="19"/>
      <c r="BD195" s="19"/>
    </row>
    <row r="196" spans="10:56" s="4" customFormat="1" x14ac:dyDescent="0.2">
      <c r="J196" s="82"/>
      <c r="L196" s="51"/>
      <c r="M196" s="19"/>
      <c r="N196" s="19"/>
      <c r="X196" s="82"/>
      <c r="Z196" s="51"/>
      <c r="AA196" s="19"/>
      <c r="AB196" s="19"/>
      <c r="AL196" s="82"/>
      <c r="AN196" s="51"/>
      <c r="AO196" s="19"/>
      <c r="AP196" s="19"/>
      <c r="AZ196" s="82"/>
      <c r="BB196" s="51"/>
      <c r="BC196" s="19"/>
      <c r="BD196" s="19"/>
    </row>
    <row r="197" spans="10:56" s="4" customFormat="1" x14ac:dyDescent="0.2">
      <c r="J197" s="82"/>
      <c r="L197" s="51"/>
      <c r="M197" s="19"/>
      <c r="N197" s="19"/>
      <c r="X197" s="82"/>
      <c r="Z197" s="51"/>
      <c r="AA197" s="19"/>
      <c r="AB197" s="19"/>
      <c r="AL197" s="82"/>
      <c r="AN197" s="51"/>
      <c r="AO197" s="19"/>
      <c r="AP197" s="19"/>
      <c r="AZ197" s="82"/>
      <c r="BB197" s="51"/>
      <c r="BC197" s="19"/>
      <c r="BD197" s="19"/>
    </row>
    <row r="198" spans="10:56" s="4" customFormat="1" x14ac:dyDescent="0.2">
      <c r="J198" s="82"/>
      <c r="L198" s="51"/>
      <c r="M198" s="19"/>
      <c r="N198" s="19"/>
      <c r="X198" s="82"/>
      <c r="Z198" s="51"/>
      <c r="AA198" s="19"/>
      <c r="AB198" s="19"/>
      <c r="AL198" s="82"/>
      <c r="AN198" s="51"/>
      <c r="AO198" s="19"/>
      <c r="AP198" s="19"/>
      <c r="AZ198" s="82"/>
      <c r="BB198" s="51"/>
      <c r="BC198" s="19"/>
      <c r="BD198" s="19"/>
    </row>
    <row r="199" spans="10:56" s="4" customFormat="1" x14ac:dyDescent="0.2">
      <c r="J199" s="82"/>
      <c r="L199" s="51"/>
      <c r="M199" s="19"/>
      <c r="N199" s="19"/>
      <c r="X199" s="82"/>
      <c r="Z199" s="51"/>
      <c r="AA199" s="19"/>
      <c r="AB199" s="19"/>
      <c r="AL199" s="82"/>
      <c r="AN199" s="51"/>
      <c r="AO199" s="19"/>
      <c r="AP199" s="19"/>
      <c r="AZ199" s="82"/>
      <c r="BB199" s="51"/>
      <c r="BC199" s="19"/>
      <c r="BD199" s="19"/>
    </row>
    <row r="200" spans="10:56" s="4" customFormat="1" x14ac:dyDescent="0.2">
      <c r="J200" s="82"/>
      <c r="L200" s="51"/>
      <c r="M200" s="19"/>
      <c r="N200" s="19"/>
      <c r="X200" s="82"/>
      <c r="Z200" s="51"/>
      <c r="AA200" s="19"/>
      <c r="AB200" s="19"/>
      <c r="AL200" s="82"/>
      <c r="AN200" s="51"/>
      <c r="AO200" s="19"/>
      <c r="AP200" s="19"/>
      <c r="AZ200" s="82"/>
      <c r="BB200" s="51"/>
      <c r="BC200" s="19"/>
      <c r="BD200" s="19"/>
    </row>
    <row r="201" spans="10:56" s="4" customFormat="1" x14ac:dyDescent="0.2">
      <c r="J201" s="82"/>
      <c r="L201" s="51"/>
      <c r="M201" s="19"/>
      <c r="N201" s="19"/>
      <c r="X201" s="82"/>
      <c r="Z201" s="51"/>
      <c r="AA201" s="19"/>
      <c r="AB201" s="19"/>
      <c r="AL201" s="82"/>
      <c r="AN201" s="51"/>
      <c r="AO201" s="19"/>
      <c r="AP201" s="19"/>
      <c r="AZ201" s="82"/>
      <c r="BB201" s="51"/>
      <c r="BC201" s="19"/>
      <c r="BD201" s="19"/>
    </row>
    <row r="202" spans="10:56" s="4" customFormat="1" x14ac:dyDescent="0.2">
      <c r="J202" s="82"/>
      <c r="L202" s="51"/>
      <c r="M202" s="19"/>
      <c r="N202" s="19"/>
      <c r="X202" s="82"/>
      <c r="Z202" s="51"/>
      <c r="AA202" s="19"/>
      <c r="AB202" s="19"/>
      <c r="AL202" s="82"/>
      <c r="AN202" s="51"/>
      <c r="AO202" s="19"/>
      <c r="AP202" s="19"/>
      <c r="AZ202" s="82"/>
      <c r="BB202" s="51"/>
      <c r="BC202" s="19"/>
      <c r="BD202" s="19"/>
    </row>
    <row r="203" spans="10:56" s="4" customFormat="1" x14ac:dyDescent="0.2">
      <c r="J203" s="82"/>
      <c r="L203" s="51"/>
      <c r="M203" s="19"/>
      <c r="N203" s="19"/>
      <c r="X203" s="82"/>
      <c r="Z203" s="51"/>
      <c r="AA203" s="19"/>
      <c r="AB203" s="19"/>
      <c r="AL203" s="82"/>
      <c r="AN203" s="51"/>
      <c r="AO203" s="19"/>
      <c r="AP203" s="19"/>
      <c r="AZ203" s="82"/>
      <c r="BB203" s="51"/>
      <c r="BC203" s="19"/>
      <c r="BD203" s="19"/>
    </row>
    <row r="204" spans="10:56" s="4" customFormat="1" x14ac:dyDescent="0.2">
      <c r="J204" s="82"/>
      <c r="L204" s="51"/>
      <c r="M204" s="19"/>
      <c r="N204" s="19"/>
      <c r="X204" s="82"/>
      <c r="Z204" s="51"/>
      <c r="AA204" s="19"/>
      <c r="AB204" s="19"/>
      <c r="AL204" s="82"/>
      <c r="AN204" s="51"/>
      <c r="AO204" s="19"/>
      <c r="AP204" s="19"/>
      <c r="AZ204" s="82"/>
      <c r="BB204" s="51"/>
      <c r="BC204" s="19"/>
      <c r="BD204" s="19"/>
    </row>
    <row r="205" spans="10:56" s="4" customFormat="1" x14ac:dyDescent="0.2">
      <c r="J205" s="82"/>
      <c r="L205" s="51"/>
      <c r="M205" s="19"/>
      <c r="N205" s="19"/>
      <c r="X205" s="82"/>
      <c r="Z205" s="51"/>
      <c r="AA205" s="19"/>
      <c r="AB205" s="19"/>
      <c r="AL205" s="82"/>
      <c r="AN205" s="51"/>
      <c r="AO205" s="19"/>
      <c r="AP205" s="19"/>
      <c r="AZ205" s="82"/>
      <c r="BB205" s="51"/>
      <c r="BC205" s="19"/>
      <c r="BD205" s="19"/>
    </row>
    <row r="206" spans="10:56" s="4" customFormat="1" x14ac:dyDescent="0.2">
      <c r="J206" s="82"/>
      <c r="L206" s="51"/>
      <c r="M206" s="19"/>
      <c r="N206" s="19"/>
      <c r="X206" s="82"/>
      <c r="Z206" s="51"/>
      <c r="AA206" s="19"/>
      <c r="AB206" s="19"/>
      <c r="AL206" s="82"/>
      <c r="AN206" s="51"/>
      <c r="AO206" s="19"/>
      <c r="AP206" s="19"/>
      <c r="AZ206" s="82"/>
      <c r="BB206" s="51"/>
      <c r="BC206" s="19"/>
      <c r="BD206" s="19"/>
    </row>
    <row r="207" spans="10:56" s="4" customFormat="1" x14ac:dyDescent="0.2">
      <c r="J207" s="82"/>
      <c r="L207" s="51"/>
      <c r="M207" s="19"/>
      <c r="N207" s="19"/>
      <c r="X207" s="82"/>
      <c r="Z207" s="51"/>
      <c r="AA207" s="19"/>
      <c r="AB207" s="19"/>
      <c r="AL207" s="82"/>
      <c r="AN207" s="51"/>
      <c r="AO207" s="19"/>
      <c r="AP207" s="19"/>
      <c r="AZ207" s="82"/>
      <c r="BB207" s="51"/>
      <c r="BC207" s="19"/>
      <c r="BD207" s="19"/>
    </row>
    <row r="208" spans="10:56" s="4" customFormat="1" x14ac:dyDescent="0.2">
      <c r="J208" s="82"/>
      <c r="L208" s="51"/>
      <c r="M208" s="19"/>
      <c r="N208" s="19"/>
      <c r="X208" s="82"/>
      <c r="Z208" s="51"/>
      <c r="AA208" s="19"/>
      <c r="AB208" s="19"/>
      <c r="AL208" s="82"/>
      <c r="AN208" s="51"/>
      <c r="AO208" s="19"/>
      <c r="AP208" s="19"/>
      <c r="AZ208" s="82"/>
      <c r="BB208" s="51"/>
      <c r="BC208" s="19"/>
      <c r="BD208" s="19"/>
    </row>
    <row r="209" spans="10:56" s="4" customFormat="1" x14ac:dyDescent="0.2">
      <c r="J209" s="82"/>
      <c r="L209" s="51"/>
      <c r="M209" s="19"/>
      <c r="N209" s="19"/>
      <c r="X209" s="82"/>
      <c r="Z209" s="51"/>
      <c r="AA209" s="19"/>
      <c r="AB209" s="19"/>
      <c r="AL209" s="82"/>
      <c r="AN209" s="51"/>
      <c r="AO209" s="19"/>
      <c r="AP209" s="19"/>
      <c r="AZ209" s="82"/>
      <c r="BB209" s="51"/>
      <c r="BC209" s="19"/>
      <c r="BD209" s="19"/>
    </row>
    <row r="210" spans="10:56" s="4" customFormat="1" x14ac:dyDescent="0.2">
      <c r="J210" s="82"/>
      <c r="L210" s="51"/>
      <c r="M210" s="19"/>
      <c r="N210" s="19"/>
      <c r="X210" s="82"/>
      <c r="Z210" s="51"/>
      <c r="AA210" s="19"/>
      <c r="AB210" s="19"/>
      <c r="AL210" s="82"/>
      <c r="AN210" s="51"/>
      <c r="AO210" s="19"/>
      <c r="AP210" s="19"/>
      <c r="AZ210" s="82"/>
      <c r="BB210" s="51"/>
      <c r="BC210" s="19"/>
      <c r="BD210" s="19"/>
    </row>
  </sheetData>
  <mergeCells count="1">
    <mergeCell ref="BJ2:BJ4"/>
  </mergeCells>
  <phoneticPr fontId="10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"/>
  <sheetViews>
    <sheetView workbookViewId="0"/>
  </sheetViews>
  <sheetFormatPr defaultColWidth="9" defaultRowHeight="12.75" x14ac:dyDescent="0.2"/>
  <cols>
    <col min="1" max="1" width="19.625" style="60" customWidth="1"/>
    <col min="2" max="3" width="11" style="66" customWidth="1"/>
    <col min="4" max="4" width="11" style="68" customWidth="1"/>
    <col min="5" max="16384" width="9" style="60"/>
  </cols>
  <sheetData>
    <row r="1" spans="1:4" ht="15.75" x14ac:dyDescent="0.2">
      <c r="A1" s="60" t="s">
        <v>188</v>
      </c>
      <c r="D1" s="76"/>
    </row>
    <row r="2" spans="1:4" ht="15.75" x14ac:dyDescent="0.2">
      <c r="A2" s="58" t="s">
        <v>10</v>
      </c>
      <c r="B2" s="78" t="s">
        <v>126</v>
      </c>
      <c r="C2" s="78" t="s">
        <v>127</v>
      </c>
      <c r="D2" s="65" t="s">
        <v>129</v>
      </c>
    </row>
    <row r="3" spans="1:4" x14ac:dyDescent="0.2">
      <c r="A3" s="67" t="s">
        <v>130</v>
      </c>
    </row>
    <row r="4" spans="1:4" x14ac:dyDescent="0.2">
      <c r="A4" s="60" t="s">
        <v>140</v>
      </c>
      <c r="B4" s="66">
        <v>3.7699999999999997E-2</v>
      </c>
      <c r="C4" s="66">
        <v>0.18410000000000001</v>
      </c>
      <c r="D4" s="68">
        <f>B4/(B4+C4)</f>
        <v>0.16997294860234444</v>
      </c>
    </row>
    <row r="5" spans="1:4" x14ac:dyDescent="0.2">
      <c r="A5" s="60" t="s">
        <v>141</v>
      </c>
      <c r="B5" s="66">
        <v>4.19E-2</v>
      </c>
      <c r="C5" s="66">
        <v>0.17960000000000001</v>
      </c>
      <c r="D5" s="68">
        <f>B5/(B5+C5)</f>
        <v>0.18916478555304739</v>
      </c>
    </row>
    <row r="6" spans="1:4" x14ac:dyDescent="0.2">
      <c r="A6" s="60" t="s">
        <v>142</v>
      </c>
      <c r="B6" s="66">
        <v>3.95E-2</v>
      </c>
      <c r="C6" s="66">
        <v>0.18110000000000001</v>
      </c>
      <c r="D6" s="68">
        <f>B6/(B6+C6)</f>
        <v>0.17905711695376245</v>
      </c>
    </row>
    <row r="7" spans="1:4" x14ac:dyDescent="0.2">
      <c r="A7" s="60" t="s">
        <v>143</v>
      </c>
      <c r="B7" s="66">
        <v>0.04</v>
      </c>
      <c r="C7" s="66">
        <v>0.1825</v>
      </c>
      <c r="D7" s="68">
        <f>B7/(B7+C7)</f>
        <v>0.1797752808988764</v>
      </c>
    </row>
    <row r="8" spans="1:4" x14ac:dyDescent="0.2">
      <c r="A8" s="60" t="s">
        <v>9</v>
      </c>
      <c r="B8" s="66">
        <f>AVERAGE(B4:B7)</f>
        <v>3.9775000000000005E-2</v>
      </c>
      <c r="C8" s="66">
        <f t="shared" ref="C8:D8" si="0">AVERAGE(C4:C7)</f>
        <v>0.18182500000000001</v>
      </c>
      <c r="D8" s="68">
        <f t="shared" si="0"/>
        <v>0.17949253300200768</v>
      </c>
    </row>
    <row r="9" spans="1:4" x14ac:dyDescent="0.2">
      <c r="A9" s="60" t="s">
        <v>44</v>
      </c>
      <c r="B9" s="66">
        <f>STDEVA(B4:B7)</f>
        <v>1.7269916039170555E-3</v>
      </c>
      <c r="C9" s="66">
        <f t="shared" ref="C9:D9" si="1">STDEVA(C4:C7)</f>
        <v>1.9241881404893856E-3</v>
      </c>
      <c r="D9" s="68">
        <f t="shared" si="1"/>
        <v>7.8410137537961062E-3</v>
      </c>
    </row>
    <row r="10" spans="1:4" ht="5.25" customHeight="1" x14ac:dyDescent="0.2"/>
    <row r="11" spans="1:4" x14ac:dyDescent="0.2">
      <c r="A11" s="67" t="s">
        <v>131</v>
      </c>
    </row>
    <row r="12" spans="1:4" x14ac:dyDescent="0.2">
      <c r="A12" s="60" t="s">
        <v>144</v>
      </c>
      <c r="B12" s="66">
        <v>3.09E-2</v>
      </c>
      <c r="C12" s="66">
        <v>0.19270000000000001</v>
      </c>
      <c r="D12" s="68">
        <f>B12/(B12+C12)</f>
        <v>0.13819320214669051</v>
      </c>
    </row>
    <row r="13" spans="1:4" x14ac:dyDescent="0.2">
      <c r="A13" s="60" t="s">
        <v>145</v>
      </c>
      <c r="B13" s="66">
        <v>2.76E-2</v>
      </c>
      <c r="C13" s="66">
        <v>0.19989999999999999</v>
      </c>
      <c r="D13" s="68">
        <f>B13/(B13+C13)</f>
        <v>0.12131868131868133</v>
      </c>
    </row>
    <row r="14" spans="1:4" x14ac:dyDescent="0.2">
      <c r="A14" s="60" t="s">
        <v>146</v>
      </c>
      <c r="B14" s="66">
        <v>4.0899999999999999E-2</v>
      </c>
      <c r="C14" s="66">
        <v>0.19020000000000001</v>
      </c>
      <c r="D14" s="68">
        <f>B14/(B14+C14)</f>
        <v>0.17697966248377325</v>
      </c>
    </row>
    <row r="15" spans="1:4" x14ac:dyDescent="0.2">
      <c r="A15" s="60" t="s">
        <v>147</v>
      </c>
      <c r="B15" s="66">
        <v>3.5400000000000001E-2</v>
      </c>
      <c r="C15" s="66">
        <v>0.19450000000000001</v>
      </c>
      <c r="D15" s="68">
        <f>B15/(B15+C15)</f>
        <v>0.15397999130056547</v>
      </c>
    </row>
    <row r="16" spans="1:4" x14ac:dyDescent="0.2">
      <c r="A16" s="60" t="s">
        <v>2</v>
      </c>
      <c r="B16" s="66">
        <f>AVERAGE(B12:B15)</f>
        <v>3.3699999999999994E-2</v>
      </c>
      <c r="C16" s="66">
        <f t="shared" ref="C16" si="2">AVERAGE(C12:C15)</f>
        <v>0.194325</v>
      </c>
      <c r="D16" s="68">
        <f t="shared" ref="D16" si="3">AVERAGE(D12:D15)</f>
        <v>0.14761788431242764</v>
      </c>
    </row>
    <row r="17" spans="1:4" x14ac:dyDescent="0.2">
      <c r="A17" s="60" t="s">
        <v>44</v>
      </c>
      <c r="B17" s="66">
        <f>STDEVA(B12:B15)</f>
        <v>5.7671483421184852E-3</v>
      </c>
      <c r="C17" s="66">
        <f t="shared" ref="C17:D17" si="4">STDEVA(C12:C15)</f>
        <v>4.1136966344153215E-3</v>
      </c>
      <c r="D17" s="68">
        <f t="shared" si="4"/>
        <v>2.3685882818979303E-2</v>
      </c>
    </row>
    <row r="18" spans="1:4" ht="5.25" customHeight="1" x14ac:dyDescent="0.2"/>
    <row r="19" spans="1:4" x14ac:dyDescent="0.2">
      <c r="A19" s="67" t="s">
        <v>97</v>
      </c>
    </row>
    <row r="20" spans="1:4" x14ac:dyDescent="0.2">
      <c r="A20" s="60" t="s">
        <v>148</v>
      </c>
      <c r="B20" s="66">
        <v>3.2000000000000001E-2</v>
      </c>
      <c r="C20" s="66">
        <v>0.2036</v>
      </c>
      <c r="D20" s="68">
        <f>B20/(B20+C20)</f>
        <v>0.13582342954159593</v>
      </c>
    </row>
    <row r="21" spans="1:4" x14ac:dyDescent="0.2">
      <c r="A21" s="69" t="s">
        <v>149</v>
      </c>
      <c r="B21" s="66">
        <v>2.7699999999999999E-2</v>
      </c>
      <c r="C21" s="66">
        <v>0.2029</v>
      </c>
      <c r="D21" s="68">
        <f>B21/(B21+C21)</f>
        <v>0.12012142237640937</v>
      </c>
    </row>
    <row r="22" spans="1:4" x14ac:dyDescent="0.2">
      <c r="A22" s="69" t="s">
        <v>150</v>
      </c>
      <c r="B22" s="66">
        <f>AVERAGE(B20:B21)</f>
        <v>2.9850000000000002E-2</v>
      </c>
      <c r="C22" s="66">
        <f t="shared" ref="C22:D22" si="5">AVERAGE(C20:C21)</f>
        <v>0.20324999999999999</v>
      </c>
      <c r="D22" s="68">
        <f t="shared" si="5"/>
        <v>0.12797242595900266</v>
      </c>
    </row>
    <row r="23" spans="1:4" x14ac:dyDescent="0.2">
      <c r="A23" s="69" t="s">
        <v>44</v>
      </c>
      <c r="B23" s="66">
        <f>STDEVA(B20:B21)</f>
        <v>3.0405591591021555E-3</v>
      </c>
      <c r="C23" s="66">
        <f t="shared" ref="C23:D23" si="6">STDEVA(C20:C21)</f>
        <v>4.9497474683058763E-4</v>
      </c>
      <c r="D23" s="68">
        <f t="shared" si="6"/>
        <v>1.1102995744743176E-2</v>
      </c>
    </row>
    <row r="24" spans="1:4" ht="5.25" customHeight="1" x14ac:dyDescent="0.2"/>
    <row r="25" spans="1:4" x14ac:dyDescent="0.2">
      <c r="A25" s="67" t="s">
        <v>132</v>
      </c>
    </row>
    <row r="26" spans="1:4" x14ac:dyDescent="0.2">
      <c r="A26" s="60" t="s">
        <v>151</v>
      </c>
      <c r="B26" s="66">
        <v>3.9300000000000002E-2</v>
      </c>
      <c r="C26" s="66">
        <v>0.19040000000000001</v>
      </c>
      <c r="D26" s="68">
        <f>B26/(B26+C26)</f>
        <v>0.17109272964736613</v>
      </c>
    </row>
    <row r="27" spans="1:4" x14ac:dyDescent="0.2">
      <c r="A27" s="60" t="s">
        <v>152</v>
      </c>
      <c r="B27" s="66">
        <v>3.8699999999999998E-2</v>
      </c>
      <c r="C27" s="66">
        <v>0.18870000000000001</v>
      </c>
      <c r="D27" s="68">
        <f>B27/(B27+C27)</f>
        <v>0.17018469656992086</v>
      </c>
    </row>
    <row r="28" spans="1:4" x14ac:dyDescent="0.2">
      <c r="A28" s="60" t="s">
        <v>153</v>
      </c>
      <c r="B28" s="66">
        <v>3.9699999999999999E-2</v>
      </c>
      <c r="C28" s="66">
        <v>0.18870000000000001</v>
      </c>
      <c r="D28" s="68">
        <f>B28/(B28+C28)</f>
        <v>0.17381786339754815</v>
      </c>
    </row>
    <row r="29" spans="1:4" x14ac:dyDescent="0.2">
      <c r="A29" s="60" t="s">
        <v>154</v>
      </c>
      <c r="B29" s="66">
        <v>3.8800000000000001E-2</v>
      </c>
      <c r="C29" s="66">
        <v>0.18920000000000001</v>
      </c>
      <c r="D29" s="68">
        <f>B29/(B29+C29)</f>
        <v>0.17017543859649123</v>
      </c>
    </row>
    <row r="30" spans="1:4" x14ac:dyDescent="0.2">
      <c r="A30" s="60" t="s">
        <v>1</v>
      </c>
      <c r="B30" s="66">
        <f>AVERAGE(B26:B29)</f>
        <v>3.9125E-2</v>
      </c>
      <c r="C30" s="66">
        <f t="shared" ref="C30" si="7">AVERAGE(C26:C29)</f>
        <v>0.18925</v>
      </c>
      <c r="D30" s="68">
        <f t="shared" ref="D30" si="8">AVERAGE(D26:D29)</f>
        <v>0.17131768205283157</v>
      </c>
    </row>
    <row r="31" spans="1:4" x14ac:dyDescent="0.2">
      <c r="A31" s="60" t="s">
        <v>44</v>
      </c>
      <c r="B31" s="66">
        <f>STDEVA(B26:B29)</f>
        <v>4.6457866215887856E-4</v>
      </c>
      <c r="C31" s="66">
        <f t="shared" ref="C31:D31" si="9">STDEVA(C26:C29)</f>
        <v>8.0208062770106771E-4</v>
      </c>
      <c r="D31" s="68">
        <f t="shared" si="9"/>
        <v>1.7214225279529954E-3</v>
      </c>
    </row>
    <row r="32" spans="1:4" ht="5.25" customHeight="1" x14ac:dyDescent="0.2"/>
    <row r="33" spans="1:4" x14ac:dyDescent="0.2">
      <c r="A33" s="70" t="s">
        <v>99</v>
      </c>
    </row>
    <row r="34" spans="1:4" x14ac:dyDescent="0.2">
      <c r="A34" s="60" t="s">
        <v>155</v>
      </c>
      <c r="B34" s="66">
        <v>3.85E-2</v>
      </c>
      <c r="C34" s="66">
        <v>0.18909999999999999</v>
      </c>
      <c r="D34" s="68">
        <f>B34/(B34+C34)</f>
        <v>0.16915641476274165</v>
      </c>
    </row>
    <row r="35" spans="1:4" x14ac:dyDescent="0.2">
      <c r="A35" s="60" t="s">
        <v>156</v>
      </c>
      <c r="B35" s="66">
        <v>3.8100000000000002E-2</v>
      </c>
      <c r="C35" s="66">
        <v>0.18870000000000001</v>
      </c>
      <c r="D35" s="68">
        <f>B35/(B35+C35)</f>
        <v>0.16798941798941799</v>
      </c>
    </row>
    <row r="36" spans="1:4" x14ac:dyDescent="0.2">
      <c r="A36" s="60" t="s">
        <v>157</v>
      </c>
      <c r="B36" s="66">
        <v>4.0899999999999999E-2</v>
      </c>
      <c r="C36" s="66">
        <v>0.19020000000000001</v>
      </c>
      <c r="D36" s="68">
        <f>B36/(B36+C36)</f>
        <v>0.17697966248377325</v>
      </c>
    </row>
    <row r="37" spans="1:4" x14ac:dyDescent="0.2">
      <c r="A37" s="60" t="s">
        <v>158</v>
      </c>
      <c r="B37" s="66">
        <v>3.4500000000000003E-2</v>
      </c>
      <c r="C37" s="66">
        <v>0.19520000000000001</v>
      </c>
      <c r="D37" s="68">
        <f>B37/(B37+C37)</f>
        <v>0.1501959077057031</v>
      </c>
    </row>
    <row r="38" spans="1:4" x14ac:dyDescent="0.2">
      <c r="A38" s="60" t="s">
        <v>6</v>
      </c>
      <c r="B38" s="66">
        <f>AVERAGE(B34:B37)</f>
        <v>3.7999999999999999E-2</v>
      </c>
      <c r="C38" s="66">
        <f t="shared" ref="C38" si="10">AVERAGE(C34:C37)</f>
        <v>0.19080000000000003</v>
      </c>
      <c r="D38" s="68">
        <f t="shared" ref="D38" si="11">AVERAGE(D34:D37)</f>
        <v>0.166080350735409</v>
      </c>
    </row>
    <row r="39" spans="1:4" x14ac:dyDescent="0.2">
      <c r="A39" s="60" t="s">
        <v>44</v>
      </c>
      <c r="B39" s="66">
        <f>STDEVA(B34:B37)</f>
        <v>2.6407069760451128E-3</v>
      </c>
      <c r="C39" s="66">
        <f t="shared" ref="C39:D39" si="12">STDEVA(C34:C37)</f>
        <v>3.0011109054259729E-3</v>
      </c>
      <c r="D39" s="68">
        <f t="shared" si="12"/>
        <v>1.131690821488777E-2</v>
      </c>
    </row>
    <row r="40" spans="1:4" ht="5.25" customHeight="1" x14ac:dyDescent="0.2"/>
    <row r="41" spans="1:4" x14ac:dyDescent="0.2">
      <c r="A41" s="67" t="s">
        <v>133</v>
      </c>
    </row>
    <row r="42" spans="1:4" x14ac:dyDescent="0.2">
      <c r="A42" s="60" t="s">
        <v>159</v>
      </c>
      <c r="B42" s="66">
        <v>4.0599999999999997E-2</v>
      </c>
      <c r="C42" s="66">
        <v>0.1983</v>
      </c>
      <c r="D42" s="68">
        <f>B42/(B42+C42)</f>
        <v>0.169945583926329</v>
      </c>
    </row>
    <row r="43" spans="1:4" x14ac:dyDescent="0.2">
      <c r="A43" s="60" t="s">
        <v>160</v>
      </c>
      <c r="B43" s="66">
        <v>3.6600000000000001E-2</v>
      </c>
      <c r="C43" s="66">
        <v>0.2029</v>
      </c>
      <c r="D43" s="68">
        <f>B43/(B43+C43)</f>
        <v>0.15281837160751566</v>
      </c>
    </row>
    <row r="44" spans="1:4" x14ac:dyDescent="0.2">
      <c r="A44" s="60" t="s">
        <v>161</v>
      </c>
      <c r="B44" s="66">
        <v>4.1300000000000003E-2</v>
      </c>
      <c r="C44" s="66">
        <v>0.19869999999999999</v>
      </c>
      <c r="D44" s="68">
        <f>B44/(B44+C44)</f>
        <v>0.17208333333333337</v>
      </c>
    </row>
    <row r="45" spans="1:4" x14ac:dyDescent="0.2">
      <c r="A45" s="60" t="s">
        <v>162</v>
      </c>
      <c r="B45" s="66">
        <v>4.24E-2</v>
      </c>
      <c r="C45" s="66">
        <v>0.1971</v>
      </c>
      <c r="D45" s="68">
        <f>B45/(B45+C45)</f>
        <v>0.17703549060542798</v>
      </c>
    </row>
    <row r="46" spans="1:4" x14ac:dyDescent="0.2">
      <c r="A46" s="60" t="s">
        <v>7</v>
      </c>
      <c r="B46" s="66">
        <f>AVERAGE(B42:B45)</f>
        <v>4.0224999999999997E-2</v>
      </c>
      <c r="C46" s="66">
        <f t="shared" ref="C46" si="13">AVERAGE(C42:C45)</f>
        <v>0.19924999999999998</v>
      </c>
      <c r="D46" s="68">
        <f t="shared" ref="D46" si="14">AVERAGE(D42:D45)</f>
        <v>0.1679706948681515</v>
      </c>
    </row>
    <row r="47" spans="1:4" x14ac:dyDescent="0.2">
      <c r="A47" s="60" t="s">
        <v>44</v>
      </c>
      <c r="B47" s="66">
        <f>STDEVA(B42:B45)</f>
        <v>2.5276800957927145E-3</v>
      </c>
      <c r="C47" s="66">
        <f t="shared" ref="C47:D47" si="15">STDEVA(C42:C45)</f>
        <v>2.5265259415516261E-3</v>
      </c>
      <c r="D47" s="68">
        <f t="shared" si="15"/>
        <v>1.0528966455937235E-2</v>
      </c>
    </row>
    <row r="48" spans="1:4" ht="5.25" customHeight="1" x14ac:dyDescent="0.2">
      <c r="A48" s="71"/>
    </row>
    <row r="49" spans="1:4" x14ac:dyDescent="0.2">
      <c r="A49" s="67" t="s">
        <v>134</v>
      </c>
    </row>
    <row r="50" spans="1:4" x14ac:dyDescent="0.2">
      <c r="A50" s="69" t="s">
        <v>163</v>
      </c>
      <c r="B50" s="66">
        <v>3.95E-2</v>
      </c>
      <c r="C50" s="66">
        <v>0.18229999999999999</v>
      </c>
      <c r="D50" s="68">
        <f>B50/(B50+C50)</f>
        <v>0.17808836789900812</v>
      </c>
    </row>
    <row r="51" spans="1:4" x14ac:dyDescent="0.2">
      <c r="A51" s="69" t="s">
        <v>164</v>
      </c>
      <c r="B51" s="66">
        <v>3.5099999999999999E-2</v>
      </c>
      <c r="C51" s="66">
        <v>0.18429999999999999</v>
      </c>
      <c r="D51" s="68">
        <f>B51/(B51+C51)</f>
        <v>0.15998176845943482</v>
      </c>
    </row>
    <row r="52" spans="1:4" x14ac:dyDescent="0.2">
      <c r="A52" s="69" t="s">
        <v>165</v>
      </c>
      <c r="B52" s="66">
        <v>3.5400000000000001E-2</v>
      </c>
      <c r="C52" s="66">
        <v>0.186</v>
      </c>
      <c r="D52" s="68">
        <f>B52/(B52+C52)</f>
        <v>0.15989159891598917</v>
      </c>
    </row>
    <row r="53" spans="1:4" x14ac:dyDescent="0.2">
      <c r="A53" s="69" t="s">
        <v>166</v>
      </c>
      <c r="B53" s="66">
        <v>3.4099999999999998E-2</v>
      </c>
      <c r="C53" s="66">
        <v>0.1842</v>
      </c>
      <c r="D53" s="68">
        <f>B53/(B53+C53)</f>
        <v>0.15620705451213926</v>
      </c>
    </row>
    <row r="54" spans="1:4" x14ac:dyDescent="0.2">
      <c r="A54" s="69" t="s">
        <v>167</v>
      </c>
      <c r="B54" s="66">
        <f>AVERAGE(B50:B53)</f>
        <v>3.6025000000000001E-2</v>
      </c>
      <c r="C54" s="66">
        <f t="shared" ref="C54" si="16">AVERAGE(C50:C53)</f>
        <v>0.1842</v>
      </c>
      <c r="D54" s="68">
        <f t="shared" ref="D54" si="17">AVERAGE(D50:D53)</f>
        <v>0.16354219744664283</v>
      </c>
    </row>
    <row r="55" spans="1:4" x14ac:dyDescent="0.2">
      <c r="A55" s="60" t="s">
        <v>44</v>
      </c>
      <c r="B55" s="66">
        <f>STDEVA(B50:B53)</f>
        <v>2.3824007499439167E-3</v>
      </c>
      <c r="C55" s="66">
        <f t="shared" ref="C55:D55" si="18">STDEVA(C50:C53)</f>
        <v>1.5121728296285043E-3</v>
      </c>
      <c r="D55" s="68">
        <f t="shared" si="18"/>
        <v>9.8556062033041923E-3</v>
      </c>
    </row>
    <row r="56" spans="1:4" ht="5.25" customHeight="1" x14ac:dyDescent="0.2"/>
    <row r="57" spans="1:4" x14ac:dyDescent="0.2">
      <c r="A57" s="67" t="s">
        <v>135</v>
      </c>
    </row>
    <row r="58" spans="1:4" x14ac:dyDescent="0.2">
      <c r="A58" s="60" t="s">
        <v>168</v>
      </c>
      <c r="B58" s="66">
        <v>4.4900000000000002E-2</v>
      </c>
      <c r="C58" s="66">
        <v>0.1875</v>
      </c>
      <c r="D58" s="68">
        <f>B58/(B58+C58)</f>
        <v>0.1932013769363167</v>
      </c>
    </row>
    <row r="59" spans="1:4" x14ac:dyDescent="0.2">
      <c r="A59" s="60" t="s">
        <v>169</v>
      </c>
      <c r="B59" s="66">
        <v>4.4200000000000003E-2</v>
      </c>
      <c r="C59" s="66">
        <v>0.1908</v>
      </c>
      <c r="D59" s="68">
        <f>B59/(B59+C59)</f>
        <v>0.18808510638297873</v>
      </c>
    </row>
    <row r="60" spans="1:4" x14ac:dyDescent="0.2">
      <c r="A60" s="60" t="s">
        <v>170</v>
      </c>
      <c r="B60" s="66">
        <v>4.48E-2</v>
      </c>
      <c r="C60" s="66">
        <v>0.18729999999999999</v>
      </c>
      <c r="D60" s="68">
        <f>B60/(B60+C60)</f>
        <v>0.1930202498922878</v>
      </c>
    </row>
    <row r="61" spans="1:4" x14ac:dyDescent="0.2">
      <c r="A61" s="60" t="s">
        <v>171</v>
      </c>
      <c r="B61" s="66">
        <v>4.4600000000000001E-2</v>
      </c>
      <c r="C61" s="66">
        <v>0.18890000000000001</v>
      </c>
      <c r="D61" s="68">
        <f>B61/(B61+C61)</f>
        <v>0.19100642398286938</v>
      </c>
    </row>
    <row r="62" spans="1:4" x14ac:dyDescent="0.2">
      <c r="A62" s="69" t="s">
        <v>8</v>
      </c>
      <c r="B62" s="66">
        <f>AVERAGE(B58:B61)</f>
        <v>4.4625000000000005E-2</v>
      </c>
      <c r="C62" s="66">
        <f t="shared" ref="C62" si="19">AVERAGE(C58:C61)</f>
        <v>0.18862499999999999</v>
      </c>
      <c r="D62" s="68">
        <f t="shared" ref="D62" si="20">AVERAGE(D58:D61)</f>
        <v>0.19132828929861315</v>
      </c>
    </row>
    <row r="63" spans="1:4" x14ac:dyDescent="0.2">
      <c r="A63" s="69" t="s">
        <v>44</v>
      </c>
      <c r="B63" s="66">
        <f>STDEVA(B58:B61)</f>
        <v>3.095695936834443E-4</v>
      </c>
      <c r="C63" s="66">
        <f t="shared" ref="C63:D63" si="21">STDEVA(C58:C61)</f>
        <v>1.6152915113584513E-3</v>
      </c>
      <c r="D63" s="68">
        <f t="shared" si="21"/>
        <v>2.3799874407797153E-3</v>
      </c>
    </row>
    <row r="64" spans="1:4" ht="5.25" customHeight="1" x14ac:dyDescent="0.2"/>
    <row r="65" spans="1:4" x14ac:dyDescent="0.2">
      <c r="A65" s="70" t="s">
        <v>136</v>
      </c>
    </row>
    <row r="66" spans="1:4" x14ac:dyDescent="0.2">
      <c r="A66" s="60" t="s">
        <v>172</v>
      </c>
      <c r="B66" s="66">
        <v>6.0199999999999997E-2</v>
      </c>
      <c r="C66" s="66">
        <v>0.32790000000000002</v>
      </c>
      <c r="D66" s="68">
        <f>B66/(B66+C66)</f>
        <v>0.15511466116980158</v>
      </c>
    </row>
    <row r="67" spans="1:4" x14ac:dyDescent="0.2">
      <c r="A67" s="60" t="s">
        <v>173</v>
      </c>
      <c r="B67" s="66">
        <v>5.9299999999999999E-2</v>
      </c>
      <c r="C67" s="66">
        <v>0.34670000000000001</v>
      </c>
      <c r="D67" s="68">
        <f>B67/(B67+C67)</f>
        <v>0.14605911330049259</v>
      </c>
    </row>
    <row r="68" spans="1:4" x14ac:dyDescent="0.2">
      <c r="A68" s="60" t="s">
        <v>174</v>
      </c>
      <c r="B68" s="66">
        <v>6.5600000000000006E-2</v>
      </c>
      <c r="C68" s="66">
        <v>0.34689999999999999</v>
      </c>
      <c r="D68" s="68">
        <f>B68/(B68+C68)</f>
        <v>0.15903030303030305</v>
      </c>
    </row>
    <row r="69" spans="1:4" x14ac:dyDescent="0.2">
      <c r="A69" s="60" t="s">
        <v>175</v>
      </c>
      <c r="B69" s="66">
        <v>7.0699999999999999E-2</v>
      </c>
      <c r="C69" s="66">
        <v>0.35039999999999999</v>
      </c>
      <c r="D69" s="68">
        <f>B69/(B69+C69)</f>
        <v>0.16789361196865354</v>
      </c>
    </row>
    <row r="70" spans="1:4" x14ac:dyDescent="0.2">
      <c r="A70" s="60" t="s">
        <v>0</v>
      </c>
      <c r="B70" s="66">
        <f>AVERAGE(B66:B69)</f>
        <v>6.3949999999999993E-2</v>
      </c>
      <c r="C70" s="66">
        <f t="shared" ref="C70" si="22">AVERAGE(C66:C69)</f>
        <v>0.34297500000000003</v>
      </c>
      <c r="D70" s="68">
        <f t="shared" ref="D70" si="23">AVERAGE(D66:D69)</f>
        <v>0.15702442236731268</v>
      </c>
    </row>
    <row r="71" spans="1:4" x14ac:dyDescent="0.2">
      <c r="A71" s="60" t="s">
        <v>44</v>
      </c>
      <c r="B71" s="66">
        <f>STDEVA(B66:B69)</f>
        <v>5.2905576265645212E-3</v>
      </c>
      <c r="C71" s="66">
        <f t="shared" ref="C71:D71" si="24">STDEVA(C66:C69)</f>
        <v>1.0192603527395067E-2</v>
      </c>
      <c r="D71" s="68">
        <f t="shared" si="24"/>
        <v>9.0562691101516504E-3</v>
      </c>
    </row>
    <row r="72" spans="1:4" ht="5.25" customHeight="1" x14ac:dyDescent="0.2"/>
    <row r="73" spans="1:4" x14ac:dyDescent="0.2">
      <c r="A73" s="67" t="s">
        <v>137</v>
      </c>
    </row>
    <row r="74" spans="1:4" x14ac:dyDescent="0.2">
      <c r="A74" s="60" t="s">
        <v>176</v>
      </c>
      <c r="B74" s="66">
        <v>5.7700000000000001E-2</v>
      </c>
      <c r="C74" s="66">
        <v>0.32340000000000002</v>
      </c>
      <c r="D74" s="68">
        <f>B74/(B74+C74)</f>
        <v>0.15140383101548149</v>
      </c>
    </row>
    <row r="75" spans="1:4" x14ac:dyDescent="0.2">
      <c r="A75" s="60" t="s">
        <v>177</v>
      </c>
      <c r="B75" s="66">
        <v>5.3600000000000002E-2</v>
      </c>
      <c r="C75" s="66">
        <v>0.33169999999999999</v>
      </c>
      <c r="D75" s="68">
        <f>B75/(B75+C75)</f>
        <v>0.13911237996366468</v>
      </c>
    </row>
    <row r="76" spans="1:4" x14ac:dyDescent="0.2">
      <c r="A76" s="60" t="s">
        <v>178</v>
      </c>
      <c r="B76" s="66">
        <v>5.8000000000000003E-2</v>
      </c>
      <c r="C76" s="66">
        <v>0.3286</v>
      </c>
      <c r="D76" s="68">
        <f>B76/(B76+C76)</f>
        <v>0.15002586652871186</v>
      </c>
    </row>
    <row r="77" spans="1:4" x14ac:dyDescent="0.2">
      <c r="A77" s="60" t="s">
        <v>179</v>
      </c>
      <c r="B77" s="66">
        <v>4.9500000000000002E-2</v>
      </c>
      <c r="C77" s="66">
        <v>0.33400000000000002</v>
      </c>
      <c r="D77" s="68">
        <f>B77/(B77+C77)</f>
        <v>0.12907431551499349</v>
      </c>
    </row>
    <row r="78" spans="1:4" x14ac:dyDescent="0.2">
      <c r="A78" s="60" t="s">
        <v>3</v>
      </c>
      <c r="B78" s="66">
        <f>AVERAGE(B74:B77)</f>
        <v>5.4699999999999999E-2</v>
      </c>
      <c r="C78" s="66">
        <f t="shared" ref="C78" si="25">AVERAGE(C74:C77)</f>
        <v>0.32942500000000002</v>
      </c>
      <c r="D78" s="68">
        <f t="shared" ref="D78" si="26">AVERAGE(D74:D77)</f>
        <v>0.14240409825571287</v>
      </c>
    </row>
    <row r="79" spans="1:4" x14ac:dyDescent="0.2">
      <c r="A79" s="60" t="s">
        <v>44</v>
      </c>
      <c r="B79" s="66">
        <f>STDEVA(B74:B77)</f>
        <v>4.0058290860528071E-3</v>
      </c>
      <c r="C79" s="66">
        <f t="shared" ref="C79:D79" si="27">STDEVA(C74:C77)</f>
        <v>4.5857569349744909E-3</v>
      </c>
      <c r="D79" s="68">
        <f t="shared" si="27"/>
        <v>1.0449961061865758E-2</v>
      </c>
    </row>
    <row r="80" spans="1:4" ht="5.25" customHeight="1" x14ac:dyDescent="0.2"/>
    <row r="81" spans="1:4" x14ac:dyDescent="0.2">
      <c r="A81" s="67" t="s">
        <v>138</v>
      </c>
    </row>
    <row r="82" spans="1:4" x14ac:dyDescent="0.2">
      <c r="A82" s="60" t="s">
        <v>180</v>
      </c>
      <c r="B82" s="66">
        <v>5.8299999999999998E-2</v>
      </c>
      <c r="C82" s="66">
        <v>0.28889999999999999</v>
      </c>
      <c r="D82" s="68">
        <f>B82/(B82+C82)</f>
        <v>0.1679147465437788</v>
      </c>
    </row>
    <row r="83" spans="1:4" x14ac:dyDescent="0.2">
      <c r="A83" s="60" t="s">
        <v>181</v>
      </c>
      <c r="B83" s="66">
        <v>5.7599999999999998E-2</v>
      </c>
      <c r="C83" s="66">
        <v>0.29349999999999998</v>
      </c>
      <c r="D83" s="68">
        <f>B83/(B83+C83)</f>
        <v>0.16405582455140988</v>
      </c>
    </row>
    <row r="84" spans="1:4" x14ac:dyDescent="0.2">
      <c r="A84" s="60" t="s">
        <v>182</v>
      </c>
      <c r="B84" s="66">
        <v>5.9700000000000003E-2</v>
      </c>
      <c r="C84" s="66">
        <v>0.28510000000000002</v>
      </c>
      <c r="D84" s="68">
        <f>B84/(B84+C84)</f>
        <v>0.17314385150812067</v>
      </c>
    </row>
    <row r="85" spans="1:4" x14ac:dyDescent="0.2">
      <c r="A85" s="60" t="s">
        <v>183</v>
      </c>
      <c r="B85" s="66">
        <v>5.57E-2</v>
      </c>
      <c r="C85" s="66">
        <v>0.28399999999999997</v>
      </c>
      <c r="D85" s="68">
        <f>B85/(B85+C85)</f>
        <v>0.16396820724168384</v>
      </c>
    </row>
    <row r="86" spans="1:4" x14ac:dyDescent="0.2">
      <c r="A86" s="60" t="s">
        <v>5</v>
      </c>
      <c r="B86" s="66">
        <f>AVERAGE(B82:B85)</f>
        <v>5.7825000000000001E-2</v>
      </c>
      <c r="C86" s="66">
        <f t="shared" ref="C86" si="28">AVERAGE(C82:C85)</f>
        <v>0.28787499999999999</v>
      </c>
      <c r="D86" s="68">
        <f t="shared" ref="D86" si="29">AVERAGE(D82:D85)</f>
        <v>0.16727065746124828</v>
      </c>
    </row>
    <row r="87" spans="1:4" x14ac:dyDescent="0.2">
      <c r="A87" s="60" t="s">
        <v>44</v>
      </c>
      <c r="B87" s="66">
        <f>STDEVA(B82:B85)</f>
        <v>1.6640813281407463E-3</v>
      </c>
      <c r="C87" s="66">
        <f t="shared" ref="C87:D87" si="30">STDEVA(C82:C85)</f>
        <v>4.2975768366216123E-3</v>
      </c>
      <c r="D87" s="68">
        <f t="shared" si="30"/>
        <v>4.3262989243822696E-3</v>
      </c>
    </row>
    <row r="88" spans="1:4" ht="5.25" customHeight="1" x14ac:dyDescent="0.2"/>
    <row r="89" spans="1:4" x14ac:dyDescent="0.2">
      <c r="A89" s="67" t="s">
        <v>139</v>
      </c>
    </row>
    <row r="90" spans="1:4" x14ac:dyDescent="0.2">
      <c r="A90" s="60" t="s">
        <v>184</v>
      </c>
      <c r="B90" s="66">
        <v>5.5100000000000003E-2</v>
      </c>
      <c r="C90" s="66">
        <v>0.27279999999999999</v>
      </c>
      <c r="D90" s="68">
        <f>B90/(B90+C90)</f>
        <v>0.16803903629155234</v>
      </c>
    </row>
    <row r="91" spans="1:4" x14ac:dyDescent="0.2">
      <c r="A91" s="60" t="s">
        <v>185</v>
      </c>
      <c r="B91" s="66">
        <v>5.7700000000000001E-2</v>
      </c>
      <c r="C91" s="66">
        <v>0.26619999999999999</v>
      </c>
      <c r="D91" s="68">
        <f>B91/(B91+C91)</f>
        <v>0.17814140166718126</v>
      </c>
    </row>
    <row r="92" spans="1:4" x14ac:dyDescent="0.2">
      <c r="A92" s="60" t="s">
        <v>186</v>
      </c>
      <c r="B92" s="66">
        <v>5.5800000000000002E-2</v>
      </c>
      <c r="C92" s="66">
        <v>0.27029999999999998</v>
      </c>
      <c r="D92" s="68">
        <f>B92/(B92+C92)</f>
        <v>0.17111315547378106</v>
      </c>
    </row>
    <row r="93" spans="1:4" x14ac:dyDescent="0.2">
      <c r="A93" s="60" t="s">
        <v>187</v>
      </c>
      <c r="B93" s="66">
        <v>5.5599999999999997E-2</v>
      </c>
      <c r="C93" s="66">
        <v>0.26590000000000003</v>
      </c>
      <c r="D93" s="68">
        <f>B93/(B93+C93)</f>
        <v>0.17293934681181958</v>
      </c>
    </row>
    <row r="94" spans="1:4" x14ac:dyDescent="0.2">
      <c r="A94" s="60" t="s">
        <v>4</v>
      </c>
      <c r="B94" s="75">
        <f>AVERAGE(B90:B93)</f>
        <v>5.6050000000000003E-2</v>
      </c>
      <c r="C94" s="75">
        <f t="shared" ref="C94" si="31">AVERAGE(C90:C93)</f>
        <v>0.26879999999999998</v>
      </c>
      <c r="D94" s="77">
        <f t="shared" ref="D94" si="32">AVERAGE(D90:D93)</f>
        <v>0.17255823506108356</v>
      </c>
    </row>
    <row r="95" spans="1:4" x14ac:dyDescent="0.2">
      <c r="A95" s="72" t="s">
        <v>44</v>
      </c>
      <c r="B95" s="73">
        <f>STDEVA(B90:B93)</f>
        <v>1.1387127235025815E-3</v>
      </c>
      <c r="C95" s="73">
        <f t="shared" ref="C95:D95" si="33">STDEVA(C90:C93)</f>
        <v>3.3376638536557145E-3</v>
      </c>
      <c r="D95" s="74">
        <f t="shared" si="33"/>
        <v>4.2358945552726096E-3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Table S3a Sec. standards</vt:lpstr>
      <vt:lpstr>Table S3b  std as unknowns</vt:lpstr>
      <vt:lpstr>Table S3c Samples</vt:lpstr>
      <vt:lpstr>Table S3d Corrected Fe3+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Sulfid</dc:creator>
  <cp:lastModifiedBy>Abing</cp:lastModifiedBy>
  <dcterms:created xsi:type="dcterms:W3CDTF">2022-04-25T16:02:52Z</dcterms:created>
  <dcterms:modified xsi:type="dcterms:W3CDTF">2023-03-22T02:48:16Z</dcterms:modified>
</cp:coreProperties>
</file>