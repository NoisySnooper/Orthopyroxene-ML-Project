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90" windowWidth="22260" windowHeight="12555" tabRatio="628"/>
  </bookViews>
  <sheets>
    <sheet name="Table S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7" i="1" l="1"/>
  <c r="M124" i="1"/>
  <c r="M123" i="1"/>
  <c r="M122" i="1"/>
  <c r="M121" i="1"/>
  <c r="M120" i="1"/>
  <c r="M119" i="1"/>
  <c r="M117" i="1"/>
  <c r="M114" i="1"/>
  <c r="M111" i="1"/>
  <c r="M110" i="1"/>
  <c r="M108" i="1"/>
  <c r="M106" i="1"/>
  <c r="M104" i="1"/>
  <c r="M103" i="1"/>
  <c r="M101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45" i="1"/>
  <c r="M7" i="1"/>
  <c r="M8" i="1"/>
  <c r="M9" i="1"/>
  <c r="M10" i="1"/>
  <c r="M11" i="1"/>
  <c r="M12" i="1"/>
  <c r="M13" i="1"/>
  <c r="M14" i="1"/>
  <c r="M15" i="1"/>
  <c r="M16" i="1"/>
  <c r="M17" i="1"/>
  <c r="M6" i="1"/>
</calcChain>
</file>

<file path=xl/sharedStrings.xml><?xml version="1.0" encoding="utf-8"?>
<sst xmlns="http://schemas.openxmlformats.org/spreadsheetml/2006/main" count="569" uniqueCount="212">
  <si>
    <t>17DSH-02</t>
  </si>
  <si>
    <t>17DSH-04</t>
  </si>
  <si>
    <t>17DSH-06</t>
  </si>
  <si>
    <t>17DSH-09</t>
  </si>
  <si>
    <t>17DSH-10</t>
  </si>
  <si>
    <t>17DSH-13</t>
  </si>
  <si>
    <t>17DSH-14</t>
  </si>
  <si>
    <t>17DSH-15</t>
  </si>
  <si>
    <t>17DSH-20</t>
  </si>
  <si>
    <t>MM1240</t>
  </si>
  <si>
    <t>MM1260</t>
  </si>
  <si>
    <t>MM1213</t>
  </si>
  <si>
    <t>DW-v2</t>
  </si>
  <si>
    <t>DW1283</t>
  </si>
  <si>
    <t>DW1342</t>
  </si>
  <si>
    <t>DW599</t>
  </si>
  <si>
    <t>RB1189</t>
  </si>
  <si>
    <t>MM110</t>
  </si>
  <si>
    <t>MM766</t>
  </si>
  <si>
    <t>DW1284</t>
  </si>
  <si>
    <t>DW582</t>
  </si>
  <si>
    <t>MM1278</t>
  </si>
  <si>
    <t>DW210</t>
  </si>
  <si>
    <t>DW211</t>
  </si>
  <si>
    <t>DW196A</t>
    <phoneticPr fontId="2" type="noConversion"/>
  </si>
  <si>
    <t>Um6</t>
    <phoneticPr fontId="2" type="noConversion"/>
  </si>
  <si>
    <t>SLP402</t>
    <phoneticPr fontId="2" type="noConversion"/>
  </si>
  <si>
    <t>4500/8</t>
    <phoneticPr fontId="2" type="noConversion"/>
  </si>
  <si>
    <t>8531/4</t>
    <phoneticPr fontId="2" type="noConversion"/>
  </si>
  <si>
    <t>MHP793</t>
    <phoneticPr fontId="2" type="noConversion"/>
  </si>
  <si>
    <t>AS01</t>
  </si>
  <si>
    <t>AS02</t>
  </si>
  <si>
    <t>AS05</t>
  </si>
  <si>
    <t>AS03</t>
  </si>
  <si>
    <t>AS04</t>
  </si>
  <si>
    <t>AS07</t>
  </si>
  <si>
    <t>OB-93-22</t>
  </si>
  <si>
    <t>GM-92-501</t>
  </si>
  <si>
    <t>OB-93-3</t>
  </si>
  <si>
    <t>OB-93-5</t>
  </si>
  <si>
    <t>JGM-92-1c</t>
  </si>
  <si>
    <t>476415e type 1</t>
  </si>
  <si>
    <t xml:space="preserve">476415g </t>
  </si>
  <si>
    <t>476415h2</t>
  </si>
  <si>
    <t>476415o</t>
  </si>
  <si>
    <t>476415r</t>
  </si>
  <si>
    <t>476424b1</t>
  </si>
  <si>
    <t>References</t>
    <phoneticPr fontId="2" type="noConversion"/>
  </si>
  <si>
    <t>References</t>
    <phoneticPr fontId="2" type="noConversion"/>
  </si>
  <si>
    <t>DH1182</t>
    <phoneticPr fontId="2" type="noConversion"/>
  </si>
  <si>
    <t>Um4</t>
    <phoneticPr fontId="2" type="noConversion"/>
  </si>
  <si>
    <t>Um12</t>
    <phoneticPr fontId="2" type="noConversion"/>
  </si>
  <si>
    <t>MHP792</t>
    <phoneticPr fontId="2" type="noConversion"/>
  </si>
  <si>
    <t>MHP794</t>
    <phoneticPr fontId="2" type="noConversion"/>
  </si>
  <si>
    <t>17DSH-17*</t>
    <phoneticPr fontId="2" type="noConversion"/>
  </si>
  <si>
    <t>17DSH-18*</t>
    <phoneticPr fontId="2" type="noConversion"/>
  </si>
  <si>
    <t>17DSH-19*</t>
    <phoneticPr fontId="2" type="noConversion"/>
  </si>
  <si>
    <t xml:space="preserve"> (°C)</t>
  </si>
  <si>
    <t>476415b2a</t>
    <phoneticPr fontId="2" type="noConversion"/>
  </si>
  <si>
    <t>476415a</t>
    <phoneticPr fontId="2" type="noConversion"/>
  </si>
  <si>
    <t>Location</t>
    <phoneticPr fontId="2" type="noConversion"/>
  </si>
  <si>
    <t>Lherzolite</t>
    <phoneticPr fontId="2" type="noConversion"/>
  </si>
  <si>
    <t>Harzburgite</t>
    <phoneticPr fontId="2" type="noConversion"/>
  </si>
  <si>
    <t>Lherzolite</t>
    <phoneticPr fontId="2" type="noConversion"/>
  </si>
  <si>
    <t>Mo22</t>
    <phoneticPr fontId="2" type="noConversion"/>
  </si>
  <si>
    <t>Vogelsberg/Germany</t>
    <phoneticPr fontId="2" type="noConversion"/>
  </si>
  <si>
    <t>Eifel/Germany</t>
    <phoneticPr fontId="2" type="noConversion"/>
  </si>
  <si>
    <t>New Mexico/US</t>
    <phoneticPr fontId="2" type="noConversion"/>
  </si>
  <si>
    <t>Arizona/US</t>
    <phoneticPr fontId="2" type="noConversion"/>
  </si>
  <si>
    <t>Mexico</t>
  </si>
  <si>
    <t>Tariat Depression/Mongolia</t>
  </si>
  <si>
    <t>Westerwald/Germany</t>
    <phoneticPr fontId="2" type="noConversion"/>
  </si>
  <si>
    <t>Eifel/Germany</t>
    <phoneticPr fontId="2" type="noConversion"/>
  </si>
  <si>
    <t>DHG12-01</t>
    <phoneticPr fontId="2" type="noConversion"/>
  </si>
  <si>
    <t>DHG12-02</t>
    <phoneticPr fontId="2" type="noConversion"/>
  </si>
  <si>
    <t>DHG12-04</t>
    <phoneticPr fontId="2" type="noConversion"/>
  </si>
  <si>
    <t>DHG12-09</t>
    <phoneticPr fontId="2" type="noConversion"/>
  </si>
  <si>
    <t>DHG12-12</t>
    <phoneticPr fontId="2" type="noConversion"/>
  </si>
  <si>
    <t>DHG12-13</t>
    <phoneticPr fontId="2" type="noConversion"/>
  </si>
  <si>
    <t>DHG12-14</t>
    <phoneticPr fontId="2" type="noConversion"/>
  </si>
  <si>
    <t>SW Greenland</t>
  </si>
  <si>
    <t>P</t>
    <phoneticPr fontId="2" type="noConversion"/>
  </si>
  <si>
    <t>(GPa)</t>
    <phoneticPr fontId="2" type="noConversion"/>
  </si>
  <si>
    <r>
      <t>T</t>
    </r>
    <r>
      <rPr>
        <b/>
        <i/>
        <vertAlign val="subscript"/>
        <sz val="10"/>
        <color theme="1"/>
        <rFont val="Times New Roman"/>
        <family val="1"/>
      </rPr>
      <t>REE</t>
    </r>
    <phoneticPr fontId="2" type="noConversion"/>
  </si>
  <si>
    <r>
      <t>T</t>
    </r>
    <r>
      <rPr>
        <b/>
        <i/>
        <vertAlign val="subscript"/>
        <sz val="10"/>
        <color theme="1"/>
        <rFont val="Times New Roman"/>
        <family val="1"/>
      </rPr>
      <t>BKN</t>
    </r>
    <phoneticPr fontId="2" type="noConversion"/>
  </si>
  <si>
    <r>
      <rPr>
        <b/>
        <i/>
        <sz val="10"/>
        <color theme="1"/>
        <rFont val="Times New Roman"/>
        <family val="1"/>
      </rPr>
      <t>T</t>
    </r>
    <r>
      <rPr>
        <b/>
        <i/>
        <vertAlign val="subscript"/>
        <sz val="10"/>
        <color theme="1"/>
        <rFont val="Times New Roman"/>
        <family val="1"/>
      </rPr>
      <t>Ca-in-Ol</t>
    </r>
    <r>
      <rPr>
        <b/>
        <vertAlign val="subscript"/>
        <sz val="10"/>
        <color theme="1"/>
        <rFont val="Times New Roman"/>
        <family val="1"/>
      </rPr>
      <t/>
    </r>
    <phoneticPr fontId="2" type="noConversion"/>
  </si>
  <si>
    <r>
      <t>T</t>
    </r>
    <r>
      <rPr>
        <b/>
        <i/>
        <vertAlign val="subscript"/>
        <sz val="10"/>
        <color theme="1"/>
        <rFont val="Times New Roman"/>
        <family val="1"/>
      </rPr>
      <t>Ol-Sp</t>
    </r>
    <phoneticPr fontId="2" type="noConversion"/>
  </si>
  <si>
    <r>
      <rPr>
        <b/>
        <i/>
        <sz val="10"/>
        <color theme="1"/>
        <rFont val="Times New Roman"/>
        <family val="1"/>
      </rPr>
      <t>T</t>
    </r>
    <r>
      <rPr>
        <b/>
        <i/>
        <vertAlign val="subscript"/>
        <sz val="10"/>
        <color theme="1"/>
        <rFont val="Times New Roman"/>
        <family val="1"/>
      </rPr>
      <t>Al</t>
    </r>
    <r>
      <rPr>
        <b/>
        <vertAlign val="subscript"/>
        <sz val="10"/>
        <color theme="1"/>
        <rFont val="Times New Roman"/>
        <family val="1"/>
      </rPr>
      <t/>
    </r>
    <phoneticPr fontId="2" type="noConversion"/>
  </si>
  <si>
    <r>
      <t xml:space="preserve">σ for </t>
    </r>
    <r>
      <rPr>
        <b/>
        <i/>
        <sz val="10"/>
        <color theme="1"/>
        <rFont val="Times New Roman"/>
        <family val="1"/>
      </rPr>
      <t>T</t>
    </r>
    <r>
      <rPr>
        <b/>
        <i/>
        <vertAlign val="subscript"/>
        <sz val="10"/>
        <color theme="1"/>
        <rFont val="Times New Roman"/>
        <family val="1"/>
      </rPr>
      <t>REE</t>
    </r>
    <phoneticPr fontId="2" type="noConversion"/>
  </si>
  <si>
    <t>RP83-71</t>
  </si>
  <si>
    <t>RP87-3</t>
  </si>
  <si>
    <t>RP87-5</t>
  </si>
  <si>
    <t>RP87-9</t>
  </si>
  <si>
    <t>RP91-2</t>
  </si>
  <si>
    <t>RP91-3</t>
  </si>
  <si>
    <t>RP91-4</t>
  </si>
  <si>
    <t>RP91-9</t>
  </si>
  <si>
    <t>RP91-10</t>
  </si>
  <si>
    <t>RP91-12</t>
  </si>
  <si>
    <t>RP91-21</t>
  </si>
  <si>
    <t>RP91-22</t>
  </si>
  <si>
    <t>Ray Pic/Massif Central</t>
    <phoneticPr fontId="2" type="noConversion"/>
  </si>
  <si>
    <t>Kerguelen Islands</t>
    <phoneticPr fontId="2" type="noConversion"/>
  </si>
  <si>
    <t>Tariat Depression/Mongolia</t>
    <phoneticPr fontId="2" type="noConversion"/>
  </si>
  <si>
    <t>Jiaohe/NE China</t>
    <phoneticPr fontId="2" type="noConversion"/>
  </si>
  <si>
    <t>SL1</t>
  </si>
  <si>
    <t>SL4</t>
  </si>
  <si>
    <t>SL5</t>
  </si>
  <si>
    <t>SL12</t>
  </si>
  <si>
    <t>SL17</t>
  </si>
  <si>
    <t>SL18</t>
  </si>
  <si>
    <t>SL22</t>
  </si>
  <si>
    <t>SL27</t>
  </si>
  <si>
    <t>SL28</t>
  </si>
  <si>
    <t>SL37</t>
  </si>
  <si>
    <t>SL38</t>
  </si>
  <si>
    <t>SL40</t>
  </si>
  <si>
    <t>SL41</t>
  </si>
  <si>
    <t>SL43</t>
  </si>
  <si>
    <t>SL54</t>
  </si>
  <si>
    <t>SL55</t>
  </si>
  <si>
    <t>SL58</t>
  </si>
  <si>
    <t>SL62</t>
  </si>
  <si>
    <t>SL63</t>
  </si>
  <si>
    <t>SL68</t>
  </si>
  <si>
    <t>SL70</t>
  </si>
  <si>
    <t>Summit Lake/Canada</t>
    <phoneticPr fontId="2" type="noConversion"/>
  </si>
  <si>
    <t>Peridotite</t>
    <phoneticPr fontId="2" type="noConversion"/>
  </si>
  <si>
    <t>TM01</t>
  </si>
  <si>
    <t>TM03</t>
  </si>
  <si>
    <t>TM06</t>
  </si>
  <si>
    <t>TM08</t>
  </si>
  <si>
    <t>TM13</t>
  </si>
  <si>
    <t>TM16</t>
  </si>
  <si>
    <t>TM19</t>
  </si>
  <si>
    <t>TM20</t>
  </si>
  <si>
    <t>TM28</t>
  </si>
  <si>
    <t>TM29</t>
  </si>
  <si>
    <t>TM32</t>
  </si>
  <si>
    <t>TM37</t>
  </si>
  <si>
    <t>TM40</t>
  </si>
  <si>
    <t>TM46</t>
  </si>
  <si>
    <t>TM48</t>
  </si>
  <si>
    <t>TM49</t>
  </si>
  <si>
    <t>TM50</t>
  </si>
  <si>
    <t>TM51</t>
  </si>
  <si>
    <t>TM53</t>
  </si>
  <si>
    <t>TM54</t>
  </si>
  <si>
    <t>TM55</t>
  </si>
  <si>
    <t>TM57</t>
  </si>
  <si>
    <t>TM58</t>
  </si>
  <si>
    <t>TM60</t>
  </si>
  <si>
    <t>TM61</t>
  </si>
  <si>
    <t>TM63</t>
  </si>
  <si>
    <t>Mt. Timothy/Canada</t>
    <phoneticPr fontId="2" type="noConversion"/>
  </si>
  <si>
    <r>
      <t xml:space="preserve">Aulbach, S., Sun, J., Tappe, S., Höfer, H. E., &amp; Gerdes, A. (2017). Volatile-rich metasomatism in the cratonic mantle beneath SW Greenland: link to kimberlites and mid-lithospheric discontinuities. </t>
    </r>
    <r>
      <rPr>
        <i/>
        <sz val="10"/>
        <color theme="1"/>
        <rFont val="Times New Roman"/>
        <family val="1"/>
      </rPr>
      <t>Journal of Petrology</t>
    </r>
    <r>
      <rPr>
        <sz val="10"/>
        <color theme="1"/>
        <rFont val="Times New Roman"/>
        <family val="1"/>
      </rPr>
      <t>, 58(12), 2311–2338.</t>
    </r>
    <phoneticPr fontId="2" type="noConversion"/>
  </si>
  <si>
    <r>
      <t xml:space="preserve">Pan, S., Zheng, J., Griffin, W. L., Xu, Y., &amp; Li, X. (2015). Nature and evolution of the lithospheric mantle beneath the eastern Central Asian Orogenic Belt: Constraints from peridotite xenoliths in the central part of the Great Xing'an Range, NE China. </t>
    </r>
    <r>
      <rPr>
        <i/>
        <sz val="10"/>
        <color theme="1"/>
        <rFont val="Times New Roman"/>
        <family val="1"/>
      </rPr>
      <t>Lithos</t>
    </r>
    <r>
      <rPr>
        <sz val="10"/>
        <color theme="1"/>
        <rFont val="Times New Roman"/>
        <family val="1"/>
      </rPr>
      <t>, 238, 52–63.</t>
    </r>
    <phoneticPr fontId="2" type="noConversion"/>
  </si>
  <si>
    <r>
      <t xml:space="preserve">Witt-Eickschen, G., &amp; O'Neill, H. S. C. (2005). The effect of temperature on the equilibrium distribution of trace elements between clinopyroxene, orthopyroxene, olivine and spinel in upper mantle peridotite. </t>
    </r>
    <r>
      <rPr>
        <i/>
        <sz val="10"/>
        <color theme="1"/>
        <rFont val="Times New Roman"/>
        <family val="1"/>
      </rPr>
      <t>Chemical Geology</t>
    </r>
    <r>
      <rPr>
        <sz val="10"/>
        <color theme="1"/>
        <rFont val="Times New Roman"/>
        <family val="1"/>
      </rPr>
      <t>, 221(1-2), 65–101.</t>
    </r>
    <phoneticPr fontId="2" type="noConversion"/>
  </si>
  <si>
    <r>
      <t xml:space="preserve">Witt-Eickschen, G., Palme, H., O’neill, H. S. C., &amp; Allen, C. M. (2009). The geochemistry of the volatile trace elements As, Cd, Ga, In and Sn in the Earth’s mantle: New evidence from in situ analyses of mantle xenoliths. </t>
    </r>
    <r>
      <rPr>
        <i/>
        <sz val="10"/>
        <color theme="1"/>
        <rFont val="Times New Roman"/>
        <family val="1"/>
      </rPr>
      <t>Geochimica et Cosmochimica Acta</t>
    </r>
    <r>
      <rPr>
        <sz val="10"/>
        <color theme="1"/>
        <rFont val="Times New Roman"/>
        <family val="1"/>
      </rPr>
      <t>, 73(6), 1755–1778.</t>
    </r>
    <phoneticPr fontId="2" type="noConversion"/>
  </si>
  <si>
    <r>
      <t xml:space="preserve">De Hoog, J. C., Gall, L., &amp; Cornell, D. H. (2010). Trace-element geochemistry of mantle olivine and application to mantle petrogenesis and geothermobarometry. </t>
    </r>
    <r>
      <rPr>
        <i/>
        <sz val="10"/>
        <color theme="1"/>
        <rFont val="Times New Roman"/>
        <family val="1"/>
      </rPr>
      <t>Chemical Geology</t>
    </r>
    <r>
      <rPr>
        <sz val="10"/>
        <color theme="1"/>
        <rFont val="Times New Roman"/>
        <family val="1"/>
      </rPr>
      <t>, 270(1-4), 196–215.</t>
    </r>
    <phoneticPr fontId="2" type="noConversion"/>
  </si>
  <si>
    <r>
      <t xml:space="preserve">Canil, D., &amp; Russell, J. K. (2022). Xenoliths reveal a hot Moho and thin lithosphere at the Cordillera-craton boundary of western Canada. </t>
    </r>
    <r>
      <rPr>
        <i/>
        <sz val="10"/>
        <color theme="1"/>
        <rFont val="Times New Roman"/>
        <family val="1"/>
      </rPr>
      <t>Geology</t>
    </r>
    <r>
      <rPr>
        <sz val="10"/>
        <color theme="1"/>
        <rFont val="Times New Roman"/>
        <family val="1"/>
      </rPr>
      <t>, 50(10), 1135–1139.</t>
    </r>
    <phoneticPr fontId="2" type="noConversion"/>
  </si>
  <si>
    <r>
      <t xml:space="preserve">Canil, D., Russell, J. K., &amp; Fode, D. (2021). A test of models for recent lithosphere foundering or replacement in the Canadian Cordillera using peridotite xenolith geothermometry. </t>
    </r>
    <r>
      <rPr>
        <i/>
        <sz val="10"/>
        <color theme="1"/>
        <rFont val="Times New Roman"/>
        <family val="1"/>
      </rPr>
      <t>Lithos</t>
    </r>
    <r>
      <rPr>
        <sz val="10"/>
        <color theme="1"/>
        <rFont val="Times New Roman"/>
        <family val="1"/>
      </rPr>
      <t>, 398, 106329.</t>
    </r>
    <phoneticPr fontId="2" type="noConversion"/>
  </si>
  <si>
    <t>Canil et al., 2021; Canil &amp; Russell, 2022</t>
    <phoneticPr fontId="2" type="noConversion"/>
  </si>
  <si>
    <t>Canil &amp; Russell, 2022</t>
    <phoneticPr fontId="2" type="noConversion"/>
  </si>
  <si>
    <t>De Hoog et al., 2010</t>
    <phoneticPr fontId="2" type="noConversion"/>
  </si>
  <si>
    <t>Aulbach et al., 2017</t>
    <phoneticPr fontId="2" type="noConversion"/>
  </si>
  <si>
    <t>Grégoire et al., 2000</t>
    <phoneticPr fontId="2" type="noConversion"/>
  </si>
  <si>
    <t>Witt-Eickschen &amp; O’Neill, 2005</t>
    <phoneticPr fontId="2" type="noConversion"/>
  </si>
  <si>
    <t>Witt-Eickschen et al., 2009</t>
    <phoneticPr fontId="2" type="noConversion"/>
  </si>
  <si>
    <t>Pan et al., 2015</t>
    <phoneticPr fontId="2" type="noConversion"/>
  </si>
  <si>
    <r>
      <t xml:space="preserve">Grégoire, M., Moine, B. N., O’Reilly, S. Y., Cottin, J. Y., &amp; Giret, A. (2000). Trace element residence and partitioning in mantle xenoliths metasomatized by highly alkaline, silicate-and carbonate-rich melts (Kerguelen Islands, Indian Ocean). </t>
    </r>
    <r>
      <rPr>
        <i/>
        <sz val="10"/>
        <color theme="1"/>
        <rFont val="Times New Roman"/>
        <family val="1"/>
      </rPr>
      <t>Journal of Petrology</t>
    </r>
    <r>
      <rPr>
        <sz val="10"/>
        <color theme="1"/>
        <rFont val="Times New Roman"/>
        <family val="1"/>
      </rPr>
      <t>, 41(4), 477–509.</t>
    </r>
    <phoneticPr fontId="2" type="noConversion"/>
  </si>
  <si>
    <t>Sample</t>
    <phoneticPr fontId="2" type="noConversion"/>
  </si>
  <si>
    <t>Lithology</t>
    <phoneticPr fontId="2" type="noConversion"/>
  </si>
  <si>
    <r>
      <t xml:space="preserve">2SE for </t>
    </r>
    <r>
      <rPr>
        <b/>
        <i/>
        <sz val="10"/>
        <color theme="1"/>
        <rFont val="Times New Roman"/>
        <family val="1"/>
      </rPr>
      <t>T</t>
    </r>
    <r>
      <rPr>
        <b/>
        <i/>
        <vertAlign val="subscript"/>
        <sz val="10"/>
        <color theme="1"/>
        <rFont val="Times New Roman"/>
        <family val="1"/>
      </rPr>
      <t>Al</t>
    </r>
    <phoneticPr fontId="2" type="noConversion"/>
  </si>
  <si>
    <r>
      <t>T</t>
    </r>
    <r>
      <rPr>
        <i/>
        <vertAlign val="subscript"/>
        <sz val="10"/>
        <color theme="1"/>
        <rFont val="Times New Roman"/>
        <family val="1"/>
      </rPr>
      <t>BKN</t>
    </r>
    <r>
      <rPr>
        <sz val="10"/>
        <color theme="1"/>
        <rFont val="Times New Roman"/>
        <family val="1"/>
      </rPr>
      <t xml:space="preserve">, major-element two-pyroxene thermometer of </t>
    </r>
    <r>
      <rPr>
        <sz val="10"/>
        <color rgb="FF0000FF"/>
        <rFont val="Times New Roman"/>
        <family val="1"/>
      </rPr>
      <t>Brey &amp; Köhler (1990)</t>
    </r>
    <r>
      <rPr>
        <sz val="10"/>
        <color theme="1"/>
        <rFont val="Times New Roman"/>
        <family val="1"/>
      </rPr>
      <t>.</t>
    </r>
  </si>
  <si>
    <r>
      <t>T</t>
    </r>
    <r>
      <rPr>
        <i/>
        <vertAlign val="subscript"/>
        <sz val="10"/>
        <color theme="1"/>
        <rFont val="Times New Roman"/>
        <family val="1"/>
      </rPr>
      <t>Al</t>
    </r>
    <r>
      <rPr>
        <sz val="10"/>
        <color theme="1"/>
        <rFont val="Times New Roman"/>
        <family val="1"/>
      </rPr>
      <t xml:space="preserve">, Al-in-olivine thermometer of </t>
    </r>
    <r>
      <rPr>
        <sz val="10"/>
        <color rgb="FF0000FF"/>
        <rFont val="Times New Roman"/>
        <family val="1"/>
      </rPr>
      <t>Coogan et al. (2014)</t>
    </r>
    <r>
      <rPr>
        <sz val="10"/>
        <color theme="1"/>
        <rFont val="Times New Roman"/>
        <family val="1"/>
      </rPr>
      <t xml:space="preserve">; 2SE for </t>
    </r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Al</t>
    </r>
    <r>
      <rPr>
        <sz val="10"/>
        <color theme="1"/>
        <rFont val="Times New Roman"/>
        <family val="1"/>
      </rPr>
      <t>, the uncertainty of temperature by error propagation.</t>
    </r>
    <phoneticPr fontId="2" type="noConversion"/>
  </si>
  <si>
    <r>
      <t>T</t>
    </r>
    <r>
      <rPr>
        <i/>
        <vertAlign val="subscript"/>
        <sz val="10"/>
        <color theme="1"/>
        <rFont val="Times New Roman"/>
        <family val="1"/>
      </rPr>
      <t>REE</t>
    </r>
    <r>
      <rPr>
        <sz val="10"/>
        <color theme="1"/>
        <rFont val="Times New Roman"/>
        <family val="1"/>
      </rPr>
      <t xml:space="preserve">, REE-in-two-pyroxene thermometer of </t>
    </r>
    <r>
      <rPr>
        <sz val="10"/>
        <color rgb="FF0000FF"/>
        <rFont val="Times New Roman"/>
        <family val="1"/>
      </rPr>
      <t>Liang et al. (2013)</t>
    </r>
    <r>
      <rPr>
        <sz val="10"/>
        <color theme="1"/>
        <rFont val="Times New Roman"/>
        <family val="1"/>
      </rPr>
      <t xml:space="preserve">; σ for </t>
    </r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REE</t>
    </r>
    <r>
      <rPr>
        <sz val="10"/>
        <color theme="1"/>
        <rFont val="Times New Roman"/>
        <family val="1"/>
      </rPr>
      <t xml:space="preserve">, standard deviation of calculated </t>
    </r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REE</t>
    </r>
    <r>
      <rPr>
        <sz val="10"/>
        <color theme="1"/>
        <rFont val="Times New Roman"/>
        <family val="1"/>
      </rPr>
      <t>.</t>
    </r>
    <phoneticPr fontId="2" type="noConversion"/>
  </si>
  <si>
    <r>
      <t>T</t>
    </r>
    <r>
      <rPr>
        <i/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 xml:space="preserve"> and </t>
    </r>
    <r>
      <rPr>
        <i/>
        <sz val="10"/>
        <color theme="1"/>
        <rFont val="Times New Roman"/>
        <family val="1"/>
      </rPr>
      <t>T</t>
    </r>
    <r>
      <rPr>
        <i/>
        <vertAlign val="subscript"/>
        <sz val="10"/>
        <color theme="1"/>
        <rFont val="Times New Roman"/>
        <family val="1"/>
      </rPr>
      <t>Sc</t>
    </r>
    <r>
      <rPr>
        <sz val="10"/>
        <color theme="1"/>
        <rFont val="Times New Roman"/>
        <family val="1"/>
      </rPr>
      <t xml:space="preserve">, empirical thermometers of </t>
    </r>
    <r>
      <rPr>
        <sz val="10"/>
        <color rgb="FF0000FF"/>
        <rFont val="Times New Roman"/>
        <family val="1"/>
      </rPr>
      <t>Seitz et al. (1999)</t>
    </r>
    <r>
      <rPr>
        <sz val="10"/>
        <color theme="1"/>
        <rFont val="Times New Roman"/>
        <family val="1"/>
      </rPr>
      <t xml:space="preserve"> based on partitioning of V and Sc between two pyroxenes, respectively.</t>
    </r>
  </si>
  <si>
    <r>
      <t>T</t>
    </r>
    <r>
      <rPr>
        <i/>
        <vertAlign val="subscript"/>
        <sz val="10"/>
        <color theme="1"/>
        <rFont val="Times New Roman"/>
        <family val="1"/>
      </rPr>
      <t>Ol-Sp</t>
    </r>
    <r>
      <rPr>
        <sz val="10"/>
        <color theme="1"/>
        <rFont val="Times New Roman"/>
        <family val="1"/>
      </rPr>
      <t xml:space="preserve">, olivine-spinel Fe-Mg thermometer of </t>
    </r>
    <r>
      <rPr>
        <sz val="10"/>
        <color rgb="FF0000FF"/>
        <rFont val="Times New Roman"/>
        <family val="1"/>
      </rPr>
      <t>Li et al. (1995)</t>
    </r>
    <r>
      <rPr>
        <sz val="10"/>
        <color theme="1"/>
        <rFont val="Times New Roman"/>
        <family val="1"/>
      </rPr>
      <t>, calculated using uncorrected Fe</t>
    </r>
    <r>
      <rPr>
        <vertAlign val="superscript"/>
        <sz val="10"/>
        <color theme="1"/>
        <rFont val="Times New Roman"/>
        <family val="1"/>
      </rPr>
      <t>2+</t>
    </r>
    <r>
      <rPr>
        <sz val="10"/>
        <color theme="1"/>
        <rFont val="Times New Roman"/>
        <family val="1"/>
      </rPr>
      <t xml:space="preserve"> and Fe</t>
    </r>
    <r>
      <rPr>
        <vertAlign val="superscript"/>
        <sz val="10"/>
        <color theme="1"/>
        <rFont val="Times New Roman"/>
        <family val="1"/>
      </rPr>
      <t>3+</t>
    </r>
    <r>
      <rPr>
        <sz val="10"/>
        <color theme="1"/>
        <rFont val="Times New Roman"/>
        <family val="1"/>
      </rPr>
      <t xml:space="preserve"> that were calculated from EPMA data based on perfect crystal stoichiometry using the method of </t>
    </r>
    <r>
      <rPr>
        <sz val="10"/>
        <color rgb="FF0000FF"/>
        <rFont val="Times New Roman"/>
        <family val="1"/>
      </rPr>
      <t>Droop (1987)</t>
    </r>
    <r>
      <rPr>
        <sz val="10"/>
        <color theme="1"/>
        <rFont val="Times New Roman"/>
        <family val="1"/>
      </rPr>
      <t>.</t>
    </r>
    <phoneticPr fontId="2" type="noConversion"/>
  </si>
  <si>
    <r>
      <t xml:space="preserve">Liang, Y., Sun, C., &amp; Yao, L. (2013). A REE-in-two-pyroxene thermometer for mafic and ultramafic rocks. </t>
    </r>
    <r>
      <rPr>
        <i/>
        <sz val="10"/>
        <color rgb="FF262626"/>
        <rFont val="Times New Roman"/>
        <family val="1"/>
      </rPr>
      <t>Geochimica et Cosmochimica Acta</t>
    </r>
    <r>
      <rPr>
        <sz val="10"/>
        <color rgb="FF262626"/>
        <rFont val="Times New Roman"/>
        <family val="1"/>
      </rPr>
      <t>, 102, 246–260.</t>
    </r>
  </si>
  <si>
    <r>
      <t xml:space="preserve">Brey, G. P., &amp; Köhler, T. (1990). Geothermobarometry in four-phase lherzolites II. New thermobarometers, and practical assessment of existing thermobarometers. </t>
    </r>
    <r>
      <rPr>
        <i/>
        <sz val="10"/>
        <color rgb="FF262626"/>
        <rFont val="Times New Roman"/>
        <family val="1"/>
      </rPr>
      <t>Journal of Petrology</t>
    </r>
    <r>
      <rPr>
        <sz val="10"/>
        <color rgb="FF262626"/>
        <rFont val="Times New Roman"/>
        <family val="1"/>
      </rPr>
      <t>, 31(6), 1353–1378.</t>
    </r>
  </si>
  <si>
    <r>
      <t xml:space="preserve">Coogan, L. A., Saunders, A. D., &amp; Wilson, R. N. (2014). Aluminum-in-olivine thermometry of primitive basalts: Evidence of an anomalously hot mantle source for large igneous provinces. </t>
    </r>
    <r>
      <rPr>
        <i/>
        <sz val="10"/>
        <color rgb="FF262626"/>
        <rFont val="Times New Roman"/>
        <family val="1"/>
      </rPr>
      <t>Chemical Geology</t>
    </r>
    <r>
      <rPr>
        <sz val="10"/>
        <color rgb="FF262626"/>
        <rFont val="Times New Roman"/>
        <family val="1"/>
      </rPr>
      <t>, 368, 1–10.</t>
    </r>
  </si>
  <si>
    <r>
      <t xml:space="preserve">Li, J., Kornprobst, J., Vielzeuf, D., &amp; Fabriès, J. (1995). An improved experimental calibration of the olivine-spinel geothermometer. </t>
    </r>
    <r>
      <rPr>
        <i/>
        <sz val="10"/>
        <color rgb="FF262626"/>
        <rFont val="Times New Roman"/>
        <family val="1"/>
      </rPr>
      <t>Chinese Journal of Geochemistry</t>
    </r>
    <r>
      <rPr>
        <sz val="10"/>
        <color rgb="FF262626"/>
        <rFont val="Times New Roman"/>
        <family val="1"/>
      </rPr>
      <t>, 14(1), 68–77.</t>
    </r>
  </si>
  <si>
    <r>
      <t xml:space="preserve">Seitz, H. M., Altherr, R., &amp; Ludwig, T. (1999). Partitioning of transition elements between orthopyroxene and clinopyroxene in peridotitic and websteritic xenoliths: new empirical geothermometers. </t>
    </r>
    <r>
      <rPr>
        <i/>
        <sz val="10"/>
        <color rgb="FF262626"/>
        <rFont val="Times New Roman"/>
        <family val="1"/>
      </rPr>
      <t>Geochimica et Cosmochimica Acta</t>
    </r>
    <r>
      <rPr>
        <sz val="10"/>
        <color rgb="FF262626"/>
        <rFont val="Times New Roman"/>
        <family val="1"/>
      </rPr>
      <t>, 63(23–24), 3967–3982.</t>
    </r>
  </si>
  <si>
    <r>
      <t>Droop, G. T. R. (1987). A general equation for estimating Fe3+ concentrations in ferromagnesian silicates and oxides from microprobe analyses, using stoichiometric criteria. </t>
    </r>
    <r>
      <rPr>
        <i/>
        <sz val="10"/>
        <color rgb="FF262626"/>
        <rFont val="Times New Roman"/>
        <family val="1"/>
      </rPr>
      <t>Mineralogical magazine</t>
    </r>
    <r>
      <rPr>
        <sz val="10"/>
        <color rgb="FF262626"/>
        <rFont val="Times New Roman"/>
        <family val="1"/>
      </rPr>
      <t>, 51(361), 431–435.</t>
    </r>
    <phoneticPr fontId="2" type="noConversion"/>
  </si>
  <si>
    <r>
      <rPr>
        <b/>
        <i/>
        <sz val="10"/>
        <color theme="1"/>
        <rFont val="Times New Roman"/>
        <family val="1"/>
      </rPr>
      <t>T</t>
    </r>
    <r>
      <rPr>
        <b/>
        <i/>
        <vertAlign val="subscript"/>
        <sz val="10"/>
        <color theme="1"/>
        <rFont val="Times New Roman"/>
        <family val="1"/>
      </rPr>
      <t>V</t>
    </r>
    <phoneticPr fontId="2" type="noConversion"/>
  </si>
  <si>
    <r>
      <rPr>
        <b/>
        <i/>
        <sz val="10"/>
        <color theme="1"/>
        <rFont val="Times New Roman"/>
        <family val="1"/>
      </rPr>
      <t>T</t>
    </r>
    <r>
      <rPr>
        <b/>
        <i/>
        <vertAlign val="subscript"/>
        <sz val="10"/>
        <color theme="1"/>
        <rFont val="Times New Roman"/>
        <family val="1"/>
      </rPr>
      <t>Sc</t>
    </r>
    <phoneticPr fontId="2" type="noConversion"/>
  </si>
  <si>
    <r>
      <t xml:space="preserve"> (°C)</t>
    </r>
    <r>
      <rPr>
        <vertAlign val="subscript"/>
        <sz val="10"/>
        <color theme="1"/>
        <rFont val="Times New Roman"/>
        <family val="1"/>
      </rPr>
      <t>uncor.</t>
    </r>
    <phoneticPr fontId="2" type="noConversion"/>
  </si>
  <si>
    <t>Lin et al., 2023; This study</t>
  </si>
  <si>
    <r>
      <t>Lin, A. B., Aulbach, S., Zheng, J. P., Cai, R., Liu, J., Xiong, Q., &amp; Pan, S. K. (2023). Lithospheric mantle provinces and crust-mantle decoupling beneath northeastern China: Insights from peridotite xenoliths. </t>
    </r>
    <r>
      <rPr>
        <i/>
        <sz val="10"/>
        <color theme="1"/>
        <rFont val="Times New Roman"/>
        <family val="1"/>
      </rPr>
      <t>Geological Society of America Bulletin</t>
    </r>
    <r>
      <rPr>
        <sz val="10"/>
        <color theme="1"/>
        <rFont val="Times New Roman"/>
        <family val="1"/>
      </rPr>
      <t>, 135(3–4), 990–1008.</t>
    </r>
    <phoneticPr fontId="2" type="noConversion"/>
  </si>
  <si>
    <t>Eqn. 12</t>
    <phoneticPr fontId="2" type="noConversion"/>
  </si>
  <si>
    <t>Eqn. 15</t>
    <phoneticPr fontId="2" type="noConversion"/>
  </si>
  <si>
    <t>De Hoog et al., 2010</t>
    <phoneticPr fontId="2" type="noConversion"/>
  </si>
  <si>
    <t>Eqn. 11</t>
    <phoneticPr fontId="2" type="noConversion"/>
  </si>
  <si>
    <r>
      <rPr>
        <b/>
        <i/>
        <sz val="10"/>
        <color theme="1"/>
        <rFont val="Times New Roman"/>
        <family val="1"/>
      </rPr>
      <t>T</t>
    </r>
    <r>
      <rPr>
        <b/>
        <i/>
        <vertAlign val="subscript"/>
        <sz val="10"/>
        <color theme="1"/>
        <rFont val="Times New Roman"/>
        <family val="1"/>
      </rPr>
      <t>Ca-in-Ol</t>
    </r>
    <r>
      <rPr>
        <b/>
        <vertAlign val="subscript"/>
        <sz val="10"/>
        <color theme="1"/>
        <rFont val="Times New Roman"/>
        <family val="1"/>
      </rPr>
      <t/>
    </r>
    <phoneticPr fontId="2" type="noConversion"/>
  </si>
  <si>
    <r>
      <t>∆</t>
    </r>
    <r>
      <rPr>
        <b/>
        <i/>
        <sz val="10"/>
        <color theme="1"/>
        <rFont val="Times New Roman"/>
        <family val="1"/>
      </rPr>
      <t>T</t>
    </r>
    <r>
      <rPr>
        <b/>
        <i/>
        <vertAlign val="subscript"/>
        <sz val="10"/>
        <color theme="1"/>
        <rFont val="Times New Roman"/>
        <family val="1"/>
      </rPr>
      <t>Ca-in-Ol</t>
    </r>
    <phoneticPr fontId="2" type="noConversion"/>
  </si>
  <si>
    <r>
      <rPr>
        <b/>
        <i/>
        <sz val="10"/>
        <color theme="1"/>
        <rFont val="Times New Roman"/>
        <family val="1"/>
      </rPr>
      <t>P</t>
    </r>
    <r>
      <rPr>
        <b/>
        <i/>
        <vertAlign val="subscript"/>
        <sz val="10"/>
        <color theme="1"/>
        <rFont val="Times New Roman"/>
        <family val="1"/>
      </rPr>
      <t>PK</t>
    </r>
    <phoneticPr fontId="2" type="noConversion"/>
  </si>
  <si>
    <t>Eqn. 38</t>
  </si>
  <si>
    <r>
      <t>P</t>
    </r>
    <r>
      <rPr>
        <b/>
        <i/>
        <vertAlign val="subscript"/>
        <sz val="10"/>
        <color theme="1"/>
        <rFont val="Times New Roman"/>
        <family val="1"/>
      </rPr>
      <t>KB</t>
    </r>
    <r>
      <rPr>
        <b/>
        <i/>
        <sz val="10"/>
        <color theme="1"/>
        <rFont val="Times New Roman"/>
        <family val="1"/>
      </rPr>
      <t>-T</t>
    </r>
    <r>
      <rPr>
        <b/>
        <i/>
        <vertAlign val="subscript"/>
        <sz val="10"/>
        <color theme="1"/>
        <rFont val="Times New Roman"/>
        <family val="1"/>
      </rPr>
      <t>BKN</t>
    </r>
    <phoneticPr fontId="2" type="noConversion"/>
  </si>
  <si>
    <r>
      <t>P</t>
    </r>
    <r>
      <rPr>
        <b/>
        <i/>
        <vertAlign val="subscript"/>
        <sz val="10"/>
        <color theme="1"/>
        <rFont val="Times New Roman"/>
        <family val="1"/>
      </rPr>
      <t>KB</t>
    </r>
    <r>
      <rPr>
        <b/>
        <i/>
        <sz val="10"/>
        <color theme="1"/>
        <rFont val="Times New Roman"/>
        <family val="1"/>
      </rPr>
      <t>-T</t>
    </r>
    <r>
      <rPr>
        <b/>
        <i/>
        <vertAlign val="subscript"/>
        <sz val="10"/>
        <color theme="1"/>
        <rFont val="Times New Roman"/>
        <family val="1"/>
      </rPr>
      <t>Al</t>
    </r>
    <phoneticPr fontId="2" type="noConversion"/>
  </si>
  <si>
    <r>
      <t>P</t>
    </r>
    <r>
      <rPr>
        <b/>
        <i/>
        <vertAlign val="subscript"/>
        <sz val="10"/>
        <color theme="1"/>
        <rFont val="Times New Roman"/>
        <family val="1"/>
      </rPr>
      <t>SC</t>
    </r>
    <r>
      <rPr>
        <b/>
        <i/>
        <sz val="10"/>
        <color theme="1"/>
        <rFont val="Times New Roman"/>
        <family val="1"/>
      </rPr>
      <t>-T</t>
    </r>
    <r>
      <rPr>
        <b/>
        <i/>
        <vertAlign val="subscript"/>
        <sz val="10"/>
        <color theme="1"/>
        <rFont val="Times New Roman"/>
        <family val="1"/>
      </rPr>
      <t>BKN</t>
    </r>
    <phoneticPr fontId="2" type="noConversion"/>
  </si>
  <si>
    <r>
      <t>P</t>
    </r>
    <r>
      <rPr>
        <b/>
        <i/>
        <vertAlign val="subscript"/>
        <sz val="10"/>
        <color theme="1"/>
        <rFont val="Times New Roman"/>
        <family val="1"/>
      </rPr>
      <t>SC</t>
    </r>
    <r>
      <rPr>
        <b/>
        <i/>
        <sz val="10"/>
        <color theme="1"/>
        <rFont val="Times New Roman"/>
        <family val="1"/>
      </rPr>
      <t>-T</t>
    </r>
    <r>
      <rPr>
        <b/>
        <i/>
        <vertAlign val="subscript"/>
        <sz val="10"/>
        <color theme="1"/>
        <rFont val="Times New Roman"/>
        <family val="1"/>
      </rPr>
      <t>Al</t>
    </r>
    <phoneticPr fontId="2" type="noConversion"/>
  </si>
  <si>
    <t>Putirka, 2008</t>
    <phoneticPr fontId="2" type="noConversion"/>
  </si>
  <si>
    <r>
      <rPr>
        <b/>
        <sz val="10"/>
        <color theme="1"/>
        <rFont val="Times New Roman"/>
        <family val="1"/>
      </rPr>
      <t>Table S5</t>
    </r>
    <r>
      <rPr>
        <sz val="10"/>
        <color theme="1"/>
        <rFont val="Times New Roman"/>
        <family val="1"/>
      </rPr>
      <t xml:space="preserve"> Summary of temperatures at a pre-set pressure of 1.5 or 4.0 GPa  and computed pressures (this study and recalculated for literature data)</t>
    </r>
    <phoneticPr fontId="2" type="noConversion"/>
  </si>
  <si>
    <r>
      <t>P</t>
    </r>
    <r>
      <rPr>
        <i/>
        <vertAlign val="subscript"/>
        <sz val="10"/>
        <color theme="1"/>
        <rFont val="Times New Roman"/>
        <family val="1"/>
      </rPr>
      <t>KB</t>
    </r>
    <r>
      <rPr>
        <sz val="10"/>
        <color theme="1"/>
        <rFont val="Times New Roman"/>
        <family val="1"/>
      </rPr>
      <t xml:space="preserve">, olivine-clinopyroxene Ca barometer of </t>
    </r>
    <r>
      <rPr>
        <sz val="10"/>
        <color rgb="FF0000FF"/>
        <rFont val="Times New Roman"/>
        <family val="1"/>
      </rPr>
      <t>Köhler &amp; Brey (1990)</t>
    </r>
    <r>
      <rPr>
        <sz val="10"/>
        <color theme="1"/>
        <rFont val="Times New Roman"/>
        <family val="1"/>
      </rPr>
      <t>.</t>
    </r>
    <phoneticPr fontId="2" type="noConversion"/>
  </si>
  <si>
    <r>
      <t>T</t>
    </r>
    <r>
      <rPr>
        <i/>
        <vertAlign val="subscript"/>
        <sz val="10"/>
        <color theme="1"/>
        <rFont val="Times New Roman"/>
        <family val="1"/>
      </rPr>
      <t>Ca-in-Ol</t>
    </r>
    <r>
      <rPr>
        <sz val="10"/>
        <color theme="1"/>
        <rFont val="Times New Roman"/>
        <family val="1"/>
      </rPr>
      <t xml:space="preserve">, Ca-in-olivine thermometer of </t>
    </r>
    <r>
      <rPr>
        <sz val="10"/>
        <color rgb="FF0000FF"/>
        <rFont val="Times New Roman"/>
        <family val="1"/>
      </rPr>
      <t xml:space="preserve">De Hoog et al. (2010) </t>
    </r>
    <r>
      <rPr>
        <sz val="10"/>
        <color theme="1"/>
        <rFont val="Times New Roman"/>
        <family val="1"/>
      </rPr>
      <t xml:space="preserve">or </t>
    </r>
    <r>
      <rPr>
        <sz val="10"/>
        <color rgb="FF0000FF"/>
        <rFont val="Times New Roman"/>
        <family val="1"/>
      </rPr>
      <t>Shejwalkar &amp; Coogan (2013)</t>
    </r>
    <r>
      <rPr>
        <sz val="10"/>
        <color theme="1"/>
        <rFont val="Times New Roman"/>
        <family val="1"/>
      </rPr>
      <t>.</t>
    </r>
    <phoneticPr fontId="2" type="noConversion"/>
  </si>
  <si>
    <r>
      <t>P</t>
    </r>
    <r>
      <rPr>
        <i/>
        <vertAlign val="subscript"/>
        <sz val="10"/>
        <color theme="1"/>
        <rFont val="Times New Roman"/>
        <family val="1"/>
      </rPr>
      <t>KB</t>
    </r>
    <r>
      <rPr>
        <sz val="10"/>
        <color theme="1"/>
        <rFont val="Times New Roman"/>
        <family val="1"/>
      </rPr>
      <t xml:space="preserve">, Ca-in-olivine barometer of </t>
    </r>
    <r>
      <rPr>
        <sz val="10"/>
        <color rgb="FF0000FF"/>
        <rFont val="Times New Roman"/>
        <family val="1"/>
      </rPr>
      <t>Shejwalkar &amp; Coogan (2013)</t>
    </r>
    <r>
      <rPr>
        <sz val="10"/>
        <color theme="1"/>
        <rFont val="Times New Roman"/>
        <family val="1"/>
      </rPr>
      <t>.</t>
    </r>
    <phoneticPr fontId="2" type="noConversion"/>
  </si>
  <si>
    <r>
      <t xml:space="preserve">Köhler, T. P., &amp; Brey, G. (1990). Calcium exchange between olivine and clinopyroxene calibrated as a geothermobarometer for natural peridotites from 2 to 60 kb with applications. </t>
    </r>
    <r>
      <rPr>
        <i/>
        <sz val="10"/>
        <color theme="1"/>
        <rFont val="Times New Roman"/>
        <family val="1"/>
      </rPr>
      <t>Geochimica et Cosmochimica Acta</t>
    </r>
    <r>
      <rPr>
        <sz val="10"/>
        <color theme="1"/>
        <rFont val="Times New Roman"/>
        <family val="1"/>
      </rPr>
      <t>, 54(9), 2375–2388.</t>
    </r>
    <phoneticPr fontId="2" type="noConversion"/>
  </si>
  <si>
    <r>
      <t xml:space="preserve">Shejwalkar, A., &amp; Coogan, L. A. (2013). Experimental calibration of the roles of temperature and composition in the Ca-in-olivine geothermometer at 0.1 MPa. </t>
    </r>
    <r>
      <rPr>
        <i/>
        <sz val="10"/>
        <color theme="1"/>
        <rFont val="Times New Roman"/>
        <family val="1"/>
      </rPr>
      <t>Lithos</t>
    </r>
    <r>
      <rPr>
        <sz val="10"/>
        <color theme="1"/>
        <rFont val="Times New Roman"/>
        <family val="1"/>
      </rPr>
      <t>, 177, 54–60.</t>
    </r>
    <phoneticPr fontId="2" type="noConversion"/>
  </si>
  <si>
    <r>
      <t>Putirka, K. D. (2008). Thermometers and barometers for volcanic systems. </t>
    </r>
    <r>
      <rPr>
        <i/>
        <sz val="10"/>
        <color theme="1"/>
        <rFont val="Times New Roman"/>
        <family val="1"/>
      </rPr>
      <t>Reviews in mineralogy and geochemistry</t>
    </r>
    <r>
      <rPr>
        <sz val="10"/>
        <color theme="1"/>
        <rFont val="Times New Roman"/>
        <family val="1"/>
      </rPr>
      <t>, 69(1), 61–120.</t>
    </r>
    <phoneticPr fontId="2" type="noConversion"/>
  </si>
  <si>
    <t>Shejwalkar &amp; Coogan, 2013</t>
    <phoneticPr fontId="2" type="noConversion"/>
  </si>
  <si>
    <r>
      <t>P</t>
    </r>
    <r>
      <rPr>
        <i/>
        <vertAlign val="subscript"/>
        <sz val="10"/>
        <color theme="1"/>
        <rFont val="Times New Roman"/>
        <family val="1"/>
      </rPr>
      <t>PK</t>
    </r>
    <r>
      <rPr>
        <sz val="10"/>
        <color theme="1"/>
        <rFont val="Times New Roman"/>
        <family val="1"/>
      </rPr>
      <t xml:space="preserve">, major-element two-pyroxene barometer of </t>
    </r>
    <r>
      <rPr>
        <sz val="10"/>
        <color rgb="FF0000FF"/>
        <rFont val="Times New Roman"/>
        <family val="1"/>
      </rPr>
      <t>Putrika (2008)</t>
    </r>
    <r>
      <rPr>
        <sz val="10"/>
        <color theme="1"/>
        <rFont val="Times New Roman"/>
        <family val="1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</si>
</sst>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0.00_ "/>
    <numFmt numFmtId="177" formatCode="0.00_);[Red]\(0.00\)"/>
    <numFmt numFmtId="178" formatCode="0_);[Red]\(0\)"/>
    <numFmt numFmtId="179" formatCode="0.0_);[Red]\(0.0\)"/>
    <numFmt numFmtId="180" formatCode="0_ ;[Red]\-0\ "/>
    <numFmt numFmtId="181" formatCode="0.00_ ;[Red]\-0.00\ "/>
    <numFmt numFmtId="182" formatCode="0.0_ "/>
    <numFmt numFmtId="183" formatCode="0.000_);[Red]\(0.000\)"/>
    <numFmt numFmtId="184" formatCode="0.00000_);[Red]\(0.00000\)"/>
    <numFmt numFmtId="185" formatCode="0.0000_);[Red]\(0.0000\)"/>
    <numFmt numFmtId="186" formatCode="0.0000_ "/>
  </numFmts>
  <fonts count="16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vertAlign val="sub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b/>
      <vertAlign val="subscript"/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i/>
      <sz val="10"/>
      <color theme="1"/>
      <name val="Times New Roman"/>
      <family val="1"/>
    </font>
    <font>
      <b/>
      <i/>
      <vertAlign val="subscript"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262626"/>
      <name val="Times New Roman"/>
      <family val="1"/>
    </font>
    <font>
      <i/>
      <sz val="10"/>
      <color rgb="FF26262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76" fontId="1" fillId="0" borderId="0" xfId="0" applyNumberFormat="1" applyFont="1" applyFill="1" applyBorder="1"/>
    <xf numFmtId="176" fontId="1" fillId="0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49" fontId="1" fillId="0" borderId="0" xfId="0" applyNumberFormat="1" applyFont="1" applyFill="1"/>
    <xf numFmtId="176" fontId="5" fillId="0" borderId="0" xfId="0" applyNumberFormat="1" applyFont="1" applyFill="1"/>
    <xf numFmtId="0" fontId="5" fillId="0" borderId="0" xfId="0" applyFont="1" applyFill="1" applyAlignment="1">
      <alignment horizontal="left"/>
    </xf>
    <xf numFmtId="0" fontId="5" fillId="0" borderId="0" xfId="0" applyFont="1" applyFill="1"/>
    <xf numFmtId="176" fontId="5" fillId="0" borderId="0" xfId="0" applyNumberFormat="1" applyFont="1" applyFill="1" applyBorder="1"/>
    <xf numFmtId="176" fontId="4" fillId="0" borderId="1" xfId="0" applyNumberFormat="1" applyFont="1" applyFill="1" applyBorder="1"/>
    <xf numFmtId="0" fontId="1" fillId="0" borderId="0" xfId="0" applyFont="1" applyFill="1" applyBorder="1"/>
    <xf numFmtId="176" fontId="1" fillId="0" borderId="1" xfId="0" applyNumberFormat="1" applyFont="1" applyFill="1" applyBorder="1"/>
    <xf numFmtId="176" fontId="4" fillId="0" borderId="0" xfId="0" applyNumberFormat="1" applyFont="1" applyFill="1" applyBorder="1"/>
    <xf numFmtId="177" fontId="9" fillId="0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78" fontId="9" fillId="0" borderId="2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Alignment="1" applyProtection="1">
      <alignment horizontal="center" vertical="center"/>
      <protection locked="0"/>
    </xf>
    <xf numFmtId="178" fontId="7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176" fontId="5" fillId="0" borderId="1" xfId="0" applyNumberFormat="1" applyFont="1" applyFill="1" applyBorder="1"/>
    <xf numFmtId="0" fontId="11" fillId="0" borderId="0" xfId="0" applyFont="1"/>
    <xf numFmtId="0" fontId="14" fillId="0" borderId="0" xfId="0" applyFont="1" applyAlignment="1">
      <alignment vertical="center"/>
    </xf>
    <xf numFmtId="0" fontId="1" fillId="0" borderId="0" xfId="0" applyFont="1"/>
    <xf numFmtId="177" fontId="1" fillId="0" borderId="0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/>
    <xf numFmtId="177" fontId="1" fillId="0" borderId="0" xfId="0" applyNumberFormat="1" applyFont="1" applyFill="1" applyBorder="1" applyAlignment="1">
      <alignment horizontal="center"/>
    </xf>
    <xf numFmtId="177" fontId="1" fillId="0" borderId="0" xfId="0" applyNumberFormat="1" applyFont="1" applyFill="1" applyBorder="1"/>
    <xf numFmtId="177" fontId="1" fillId="0" borderId="0" xfId="0" applyNumberFormat="1" applyFont="1"/>
    <xf numFmtId="181" fontId="1" fillId="0" borderId="0" xfId="0" applyNumberFormat="1" applyFont="1" applyFill="1"/>
    <xf numFmtId="181" fontId="1" fillId="0" borderId="0" xfId="0" applyNumberFormat="1" applyFont="1" applyFill="1" applyAlignment="1"/>
    <xf numFmtId="0" fontId="4" fillId="0" borderId="2" xfId="0" applyFont="1" applyFill="1" applyBorder="1" applyAlignment="1">
      <alignment vertical="center"/>
    </xf>
    <xf numFmtId="177" fontId="9" fillId="0" borderId="2" xfId="0" applyNumberFormat="1" applyFont="1" applyBorder="1"/>
    <xf numFmtId="178" fontId="5" fillId="0" borderId="1" xfId="0" applyNumberFormat="1" applyFont="1" applyFill="1" applyBorder="1" applyAlignment="1">
      <alignment vertical="center"/>
    </xf>
    <xf numFmtId="0" fontId="1" fillId="0" borderId="1" xfId="0" applyFont="1" applyFill="1" applyBorder="1"/>
    <xf numFmtId="177" fontId="1" fillId="0" borderId="1" xfId="0" applyNumberFormat="1" applyFont="1" applyFill="1" applyBorder="1"/>
    <xf numFmtId="177" fontId="5" fillId="0" borderId="1" xfId="0" applyNumberFormat="1" applyFont="1" applyFill="1" applyBorder="1"/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82" fontId="1" fillId="0" borderId="0" xfId="0" applyNumberFormat="1" applyFont="1" applyFill="1" applyBorder="1" applyAlignment="1">
      <alignment horizontal="center" vertical="center"/>
    </xf>
    <xf numFmtId="183" fontId="1" fillId="0" borderId="0" xfId="0" applyNumberFormat="1" applyFont="1" applyFill="1" applyBorder="1" applyAlignment="1">
      <alignment horizontal="center" vertical="center"/>
    </xf>
    <xf numFmtId="184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85" fontId="1" fillId="0" borderId="0" xfId="0" applyNumberFormat="1" applyFont="1" applyFill="1" applyBorder="1" applyAlignment="1">
      <alignment horizontal="center" vertical="center"/>
    </xf>
    <xf numFmtId="18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77" fontId="1" fillId="2" borderId="0" xfId="0" applyNumberFormat="1" applyFont="1" applyFill="1"/>
    <xf numFmtId="178" fontId="5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59"/>
  <sheetViews>
    <sheetView tabSelected="1" workbookViewId="0">
      <pane ySplit="5" topLeftCell="A6" activePane="bottomLeft" state="frozen"/>
      <selection pane="bottomLeft"/>
    </sheetView>
  </sheetViews>
  <sheetFormatPr defaultRowHeight="12.75" x14ac:dyDescent="0.2"/>
  <cols>
    <col min="1" max="2" width="10.75" style="3" customWidth="1"/>
    <col min="3" max="3" width="20" style="3" customWidth="1"/>
    <col min="4" max="4" width="26.5" style="3" customWidth="1"/>
    <col min="5" max="5" width="5.875" style="18" customWidth="1"/>
    <col min="6" max="6" width="7.125" style="20" customWidth="1"/>
    <col min="7" max="7" width="8.125" style="20" customWidth="1"/>
    <col min="8" max="8" width="7.375" style="20" customWidth="1"/>
    <col min="9" max="9" width="6.875" style="20" customWidth="1"/>
    <col min="10" max="10" width="8.25" style="20" customWidth="1"/>
    <col min="11" max="11" width="7" style="20" customWidth="1"/>
    <col min="12" max="12" width="19.125" style="20" customWidth="1"/>
    <col min="13" max="13" width="7.25" style="20" customWidth="1"/>
    <col min="14" max="14" width="6.875" style="20" customWidth="1"/>
    <col min="15" max="16" width="6.25" style="20" customWidth="1"/>
    <col min="17" max="17" width="2.125" style="3" customWidth="1"/>
    <col min="18" max="18" width="9" style="37"/>
    <col min="19" max="19" width="8.125" style="37" customWidth="1"/>
    <col min="20" max="20" width="6.875" style="37" customWidth="1"/>
    <col min="21" max="21" width="8" style="37" customWidth="1"/>
    <col min="22" max="22" width="6.875" style="37" customWidth="1"/>
    <col min="23" max="16384" width="9" style="3"/>
  </cols>
  <sheetData>
    <row r="1" spans="1:22" x14ac:dyDescent="0.2">
      <c r="A1" s="3" t="s">
        <v>203</v>
      </c>
    </row>
    <row r="2" spans="1:22" s="16" customFormat="1" ht="14.25" x14ac:dyDescent="0.25">
      <c r="A2" s="15" t="s">
        <v>171</v>
      </c>
      <c r="B2" s="15" t="s">
        <v>172</v>
      </c>
      <c r="C2" s="15" t="s">
        <v>60</v>
      </c>
      <c r="D2" s="15" t="s">
        <v>48</v>
      </c>
      <c r="E2" s="14" t="s">
        <v>81</v>
      </c>
      <c r="F2" s="27" t="s">
        <v>83</v>
      </c>
      <c r="G2" s="22" t="s">
        <v>88</v>
      </c>
      <c r="H2" s="27" t="s">
        <v>84</v>
      </c>
      <c r="I2" s="22" t="s">
        <v>87</v>
      </c>
      <c r="J2" s="22" t="s">
        <v>173</v>
      </c>
      <c r="K2" s="22" t="s">
        <v>85</v>
      </c>
      <c r="L2" s="22" t="s">
        <v>194</v>
      </c>
      <c r="M2" s="22" t="s">
        <v>195</v>
      </c>
      <c r="N2" s="27" t="s">
        <v>86</v>
      </c>
      <c r="O2" s="27" t="s">
        <v>185</v>
      </c>
      <c r="P2" s="27" t="s">
        <v>186</v>
      </c>
      <c r="Q2" s="43"/>
      <c r="R2" s="14" t="s">
        <v>196</v>
      </c>
      <c r="S2" s="44" t="s">
        <v>198</v>
      </c>
      <c r="T2" s="44" t="s">
        <v>199</v>
      </c>
      <c r="U2" s="44" t="s">
        <v>200</v>
      </c>
      <c r="V2" s="44" t="s">
        <v>201</v>
      </c>
    </row>
    <row r="3" spans="1:22" s="11" customFormat="1" ht="14.25" x14ac:dyDescent="0.2">
      <c r="A3" s="1"/>
      <c r="B3" s="1"/>
      <c r="C3" s="1"/>
      <c r="D3" s="1"/>
      <c r="E3" s="35" t="s">
        <v>82</v>
      </c>
      <c r="F3" s="25" t="s">
        <v>57</v>
      </c>
      <c r="G3" s="25" t="s">
        <v>57</v>
      </c>
      <c r="H3" s="25" t="s">
        <v>57</v>
      </c>
      <c r="I3" s="25" t="s">
        <v>57</v>
      </c>
      <c r="J3" s="25" t="s">
        <v>57</v>
      </c>
      <c r="K3" s="25" t="s">
        <v>57</v>
      </c>
      <c r="L3" s="25" t="s">
        <v>57</v>
      </c>
      <c r="M3" s="25"/>
      <c r="N3" s="25" t="s">
        <v>187</v>
      </c>
      <c r="O3" s="25" t="s">
        <v>57</v>
      </c>
      <c r="P3" s="25" t="s">
        <v>57</v>
      </c>
      <c r="R3" s="35" t="s">
        <v>82</v>
      </c>
      <c r="S3" s="35" t="s">
        <v>82</v>
      </c>
      <c r="T3" s="35" t="s">
        <v>82</v>
      </c>
      <c r="U3" s="35" t="s">
        <v>82</v>
      </c>
      <c r="V3" s="35" t="s">
        <v>82</v>
      </c>
    </row>
    <row r="4" spans="1:22" s="11" customFormat="1" x14ac:dyDescent="0.2">
      <c r="A4" s="1"/>
      <c r="B4" s="1"/>
      <c r="C4" s="1"/>
      <c r="D4" s="1"/>
      <c r="E4" s="35"/>
      <c r="F4" s="25"/>
      <c r="G4" s="25"/>
      <c r="H4" s="25"/>
      <c r="I4" s="25" t="s">
        <v>190</v>
      </c>
      <c r="J4" s="25"/>
      <c r="K4" s="25" t="s">
        <v>191</v>
      </c>
      <c r="L4" s="25" t="s">
        <v>193</v>
      </c>
      <c r="M4" s="25"/>
      <c r="N4" s="25"/>
      <c r="O4" s="25"/>
      <c r="P4" s="25"/>
      <c r="R4" s="38" t="s">
        <v>197</v>
      </c>
      <c r="S4" s="39"/>
      <c r="T4" s="39"/>
      <c r="U4" s="39"/>
      <c r="V4" s="39"/>
    </row>
    <row r="5" spans="1:22" s="11" customFormat="1" ht="14.25" customHeight="1" x14ac:dyDescent="0.2">
      <c r="A5" s="12"/>
      <c r="B5" s="12"/>
      <c r="C5" s="12"/>
      <c r="D5" s="12"/>
      <c r="E5" s="17"/>
      <c r="F5" s="23"/>
      <c r="G5" s="23"/>
      <c r="H5" s="23"/>
      <c r="I5" s="60" t="s">
        <v>192</v>
      </c>
      <c r="J5" s="60"/>
      <c r="K5" s="60"/>
      <c r="L5" s="45" t="s">
        <v>210</v>
      </c>
      <c r="M5" s="45"/>
      <c r="N5" s="23"/>
      <c r="O5" s="23"/>
      <c r="P5" s="23"/>
      <c r="Q5" s="46"/>
      <c r="R5" s="48" t="s">
        <v>202</v>
      </c>
      <c r="S5" s="47"/>
      <c r="T5" s="47"/>
      <c r="U5" s="47"/>
      <c r="V5" s="47"/>
    </row>
    <row r="6" spans="1:22" x14ac:dyDescent="0.2">
      <c r="A6" s="1" t="s">
        <v>0</v>
      </c>
      <c r="B6" s="1" t="s">
        <v>61</v>
      </c>
      <c r="C6" s="1" t="s">
        <v>104</v>
      </c>
      <c r="D6" s="9" t="s">
        <v>188</v>
      </c>
      <c r="E6" s="21">
        <v>1.5</v>
      </c>
      <c r="F6" s="20">
        <v>978.36721360877175</v>
      </c>
      <c r="G6" s="20">
        <v>7.1553176784012154</v>
      </c>
      <c r="H6" s="20">
        <v>1051.5528361049915</v>
      </c>
      <c r="I6" s="20">
        <v>961.58599257214269</v>
      </c>
      <c r="J6" s="20">
        <v>40.346121890516223</v>
      </c>
      <c r="K6" s="20">
        <v>923.04286797548525</v>
      </c>
      <c r="L6" s="20">
        <v>917.63905821809317</v>
      </c>
      <c r="M6" s="36">
        <f>K6-L6</f>
        <v>5.4038097573920822</v>
      </c>
      <c r="N6" s="20">
        <v>1232.71512856761</v>
      </c>
      <c r="O6" s="20">
        <v>984.75291857937714</v>
      </c>
      <c r="P6" s="20">
        <v>979.96162838319242</v>
      </c>
      <c r="R6" s="37">
        <v>1.6879707882190662</v>
      </c>
      <c r="S6" s="37">
        <v>2.9279290207260402</v>
      </c>
      <c r="T6" s="37">
        <v>1.8016467871559925</v>
      </c>
      <c r="U6" s="37">
        <v>3.7354760960470359</v>
      </c>
      <c r="V6" s="37">
        <v>2.1640835896723671</v>
      </c>
    </row>
    <row r="7" spans="1:22" x14ac:dyDescent="0.2">
      <c r="A7" s="1" t="s">
        <v>1</v>
      </c>
      <c r="B7" s="1" t="s">
        <v>61</v>
      </c>
      <c r="C7" s="1" t="s">
        <v>104</v>
      </c>
      <c r="D7" s="9" t="s">
        <v>188</v>
      </c>
      <c r="E7" s="21">
        <v>1.5</v>
      </c>
      <c r="F7" s="20">
        <v>884.29297363335638</v>
      </c>
      <c r="G7" s="20">
        <v>7.4458761642979852</v>
      </c>
      <c r="H7" s="20">
        <v>926.80771366263923</v>
      </c>
      <c r="I7" s="20">
        <v>824.85887759639559</v>
      </c>
      <c r="J7" s="20">
        <v>55.056365055158743</v>
      </c>
      <c r="K7" s="20">
        <v>824.74643803721938</v>
      </c>
      <c r="L7" s="20">
        <v>826.08267085128091</v>
      </c>
      <c r="M7" s="36">
        <f t="shared" ref="M7:M17" si="0">K7-L7</f>
        <v>-1.3362328140615318</v>
      </c>
      <c r="N7" s="20">
        <v>1067.4986358890669</v>
      </c>
      <c r="O7" s="20">
        <v>995.16754885252703</v>
      </c>
      <c r="P7" s="20">
        <v>997.53702337415757</v>
      </c>
      <c r="R7" s="37">
        <v>0.97320156895290921</v>
      </c>
      <c r="S7" s="37">
        <v>4.0982266239184799</v>
      </c>
      <c r="T7" s="37">
        <v>2.5899642003370205</v>
      </c>
      <c r="U7" s="37">
        <v>4.1081048564428375</v>
      </c>
      <c r="V7" s="37">
        <v>1.8979289067714973</v>
      </c>
    </row>
    <row r="8" spans="1:22" x14ac:dyDescent="0.2">
      <c r="A8" s="1" t="s">
        <v>2</v>
      </c>
      <c r="B8" s="1" t="s">
        <v>61</v>
      </c>
      <c r="C8" s="1" t="s">
        <v>104</v>
      </c>
      <c r="D8" s="9" t="s">
        <v>188</v>
      </c>
      <c r="E8" s="21">
        <v>1.5</v>
      </c>
      <c r="F8" s="20">
        <v>898.66799276726317</v>
      </c>
      <c r="G8" s="20">
        <v>8.3777673460776523</v>
      </c>
      <c r="H8" s="20">
        <v>865.76622398502866</v>
      </c>
      <c r="I8" s="20">
        <v>811.66748407325827</v>
      </c>
      <c r="J8" s="20">
        <v>47.86006410125912</v>
      </c>
      <c r="K8" s="20">
        <v>805.91846975641238</v>
      </c>
      <c r="L8" s="20">
        <v>808.57539127505015</v>
      </c>
      <c r="M8" s="36">
        <f t="shared" si="0"/>
        <v>-2.6569215186377733</v>
      </c>
      <c r="N8" s="20">
        <v>1049.2559312339445</v>
      </c>
      <c r="O8" s="20">
        <v>1026.4891359285914</v>
      </c>
      <c r="P8" s="20">
        <v>1016.5981183563069</v>
      </c>
      <c r="R8" s="59">
        <v>0.58858957687984348</v>
      </c>
      <c r="S8" s="37">
        <v>3.895767396707865</v>
      </c>
      <c r="T8" s="37">
        <v>3.0610659110608802</v>
      </c>
      <c r="U8" s="37">
        <v>3.3808947622726735</v>
      </c>
      <c r="V8" s="37">
        <v>2.1285619153552267</v>
      </c>
    </row>
    <row r="9" spans="1:22" x14ac:dyDescent="0.2">
      <c r="A9" s="1" t="s">
        <v>3</v>
      </c>
      <c r="B9" s="1" t="s">
        <v>61</v>
      </c>
      <c r="C9" s="1" t="s">
        <v>104</v>
      </c>
      <c r="D9" s="9" t="s">
        <v>188</v>
      </c>
      <c r="E9" s="21">
        <v>1.5</v>
      </c>
      <c r="F9" s="20">
        <v>984.66291758818113</v>
      </c>
      <c r="G9" s="20">
        <v>5.1955973676596132</v>
      </c>
      <c r="H9" s="20">
        <v>973.06778170010773</v>
      </c>
      <c r="I9" s="20">
        <v>966.08335773787894</v>
      </c>
      <c r="J9" s="20">
        <v>40.303516588298613</v>
      </c>
      <c r="K9" s="20">
        <v>943.1468921383655</v>
      </c>
      <c r="L9" s="20">
        <v>941.17899813583062</v>
      </c>
      <c r="M9" s="36">
        <f t="shared" si="0"/>
        <v>1.9678940025348766</v>
      </c>
      <c r="N9" s="20">
        <v>1178.955512221366</v>
      </c>
      <c r="O9" s="20">
        <v>1098.8456979568987</v>
      </c>
      <c r="P9" s="20">
        <v>1064.1806308558487</v>
      </c>
      <c r="R9" s="37">
        <v>0.80914311685431761</v>
      </c>
      <c r="S9" s="37">
        <v>1.8665679276588054</v>
      </c>
      <c r="T9" s="37">
        <v>1.7778623281891406</v>
      </c>
      <c r="U9" s="37">
        <v>1.8057721717317965</v>
      </c>
      <c r="V9" s="37">
        <v>1.6740123606310988</v>
      </c>
    </row>
    <row r="10" spans="1:22" x14ac:dyDescent="0.2">
      <c r="A10" s="1" t="s">
        <v>4</v>
      </c>
      <c r="B10" s="1" t="s">
        <v>61</v>
      </c>
      <c r="C10" s="1" t="s">
        <v>104</v>
      </c>
      <c r="D10" s="9" t="s">
        <v>188</v>
      </c>
      <c r="E10" s="21">
        <v>1.5</v>
      </c>
      <c r="F10" s="20">
        <v>971.24352619774061</v>
      </c>
      <c r="G10" s="20">
        <v>4.5312826822611889</v>
      </c>
      <c r="H10" s="20">
        <v>1021.938210262564</v>
      </c>
      <c r="I10" s="20">
        <v>947.82616876100565</v>
      </c>
      <c r="J10" s="20">
        <v>40.318268414778629</v>
      </c>
      <c r="K10" s="20">
        <v>916.55613529623065</v>
      </c>
      <c r="L10" s="20">
        <v>913.87250814391473</v>
      </c>
      <c r="M10" s="36">
        <f t="shared" si="0"/>
        <v>2.6836271523159212</v>
      </c>
      <c r="N10" s="20">
        <v>1106.6060306552135</v>
      </c>
      <c r="O10" s="20">
        <v>977.8243618975871</v>
      </c>
      <c r="P10" s="20">
        <v>967.03290813005515</v>
      </c>
      <c r="R10" s="37">
        <v>1.6182470390218477</v>
      </c>
      <c r="S10" s="37">
        <v>2.8121813202194805</v>
      </c>
      <c r="T10" s="37">
        <v>1.8694664601488398</v>
      </c>
      <c r="U10" s="37">
        <v>3.3586383074541066</v>
      </c>
      <c r="V10" s="37">
        <v>2.0191706804447871</v>
      </c>
    </row>
    <row r="11" spans="1:22" x14ac:dyDescent="0.2">
      <c r="A11" s="1" t="s">
        <v>5</v>
      </c>
      <c r="B11" s="1" t="s">
        <v>61</v>
      </c>
      <c r="C11" s="1" t="s">
        <v>104</v>
      </c>
      <c r="D11" s="9" t="s">
        <v>188</v>
      </c>
      <c r="E11" s="21">
        <v>1.5</v>
      </c>
      <c r="F11" s="20">
        <v>910.3586801424384</v>
      </c>
      <c r="G11" s="20">
        <v>10.619887492329024</v>
      </c>
      <c r="H11" s="20">
        <v>790.67235785183505</v>
      </c>
      <c r="I11" s="20">
        <v>831.54811534354417</v>
      </c>
      <c r="J11" s="20">
        <v>52.582901559850001</v>
      </c>
      <c r="K11" s="20">
        <v>844.89138870300212</v>
      </c>
      <c r="L11" s="20">
        <v>847.63616820187622</v>
      </c>
      <c r="M11" s="36">
        <f t="shared" si="0"/>
        <v>-2.7447794988740952</v>
      </c>
      <c r="N11" s="20">
        <v>1054.470953636448</v>
      </c>
      <c r="O11" s="20">
        <v>1077.4675632246744</v>
      </c>
      <c r="P11" s="20">
        <v>1049.3551244405994</v>
      </c>
      <c r="R11" s="59">
        <v>0.77497320458536634</v>
      </c>
      <c r="S11" s="37">
        <v>1.8502124383636844</v>
      </c>
      <c r="T11" s="37">
        <v>2.4427657947097878</v>
      </c>
      <c r="U11" s="37">
        <v>0.43965675251649372</v>
      </c>
      <c r="V11" s="37">
        <v>1.428059481859262</v>
      </c>
    </row>
    <row r="12" spans="1:22" x14ac:dyDescent="0.2">
      <c r="A12" s="1" t="s">
        <v>6</v>
      </c>
      <c r="B12" s="1" t="s">
        <v>61</v>
      </c>
      <c r="C12" s="1" t="s">
        <v>104</v>
      </c>
      <c r="D12" s="9" t="s">
        <v>188</v>
      </c>
      <c r="E12" s="21">
        <v>1.5</v>
      </c>
      <c r="F12" s="20">
        <v>935.94144082200603</v>
      </c>
      <c r="G12" s="20">
        <v>5.0488741215608384</v>
      </c>
      <c r="H12" s="20">
        <v>953.10635253440375</v>
      </c>
      <c r="I12" s="20">
        <v>910.42902070588093</v>
      </c>
      <c r="J12" s="20">
        <v>38.110482428790405</v>
      </c>
      <c r="K12" s="20">
        <v>893.61447665911396</v>
      </c>
      <c r="L12" s="20">
        <v>891.18588486576778</v>
      </c>
      <c r="M12" s="36">
        <f t="shared" si="0"/>
        <v>2.428591793346186</v>
      </c>
      <c r="N12" s="20">
        <v>1177.5873823217744</v>
      </c>
      <c r="O12" s="20">
        <v>983.02072882364064</v>
      </c>
      <c r="P12" s="20">
        <v>988.99698832856029</v>
      </c>
      <c r="R12" s="37">
        <v>1.356614184112217</v>
      </c>
      <c r="S12" s="37">
        <v>2.5839918028082844</v>
      </c>
      <c r="T12" s="37">
        <v>2.0177754255194773</v>
      </c>
      <c r="U12" s="37">
        <v>2.7259196330200797</v>
      </c>
      <c r="V12" s="37">
        <v>1.8842996267099097</v>
      </c>
    </row>
    <row r="13" spans="1:22" x14ac:dyDescent="0.2">
      <c r="A13" s="1" t="s">
        <v>7</v>
      </c>
      <c r="B13" s="1" t="s">
        <v>61</v>
      </c>
      <c r="C13" s="1" t="s">
        <v>104</v>
      </c>
      <c r="D13" s="9" t="s">
        <v>188</v>
      </c>
      <c r="E13" s="21">
        <v>1.5</v>
      </c>
      <c r="F13" s="20">
        <v>958.19145988978687</v>
      </c>
      <c r="G13" s="20">
        <v>9.0227257275924782</v>
      </c>
      <c r="H13" s="20">
        <v>893.39348439560524</v>
      </c>
      <c r="I13" s="20">
        <v>893.1928008839418</v>
      </c>
      <c r="J13" s="20">
        <v>37.368727526994888</v>
      </c>
      <c r="K13" s="20">
        <v>886.3626013174121</v>
      </c>
      <c r="L13" s="20">
        <v>884.14910436830064</v>
      </c>
      <c r="M13" s="36">
        <f t="shared" si="0"/>
        <v>2.2134969491114589</v>
      </c>
      <c r="N13" s="20">
        <v>1181.1543082135054</v>
      </c>
      <c r="O13" s="20">
        <v>1001.5529123553461</v>
      </c>
      <c r="P13" s="20">
        <v>992.07254878897925</v>
      </c>
      <c r="R13" s="37">
        <v>1.3490160866476451</v>
      </c>
      <c r="S13" s="37">
        <v>2.0393030844231275</v>
      </c>
      <c r="T13" s="37">
        <v>2.0345931465157938</v>
      </c>
      <c r="U13" s="37">
        <v>1.7277588124974472</v>
      </c>
      <c r="V13" s="37">
        <v>1.7204075390786262</v>
      </c>
    </row>
    <row r="14" spans="1:22" x14ac:dyDescent="0.2">
      <c r="A14" s="1" t="s">
        <v>54</v>
      </c>
      <c r="B14" s="1" t="s">
        <v>62</v>
      </c>
      <c r="C14" s="1" t="s">
        <v>104</v>
      </c>
      <c r="D14" s="9" t="s">
        <v>188</v>
      </c>
      <c r="E14" s="21">
        <v>1.5</v>
      </c>
      <c r="H14" s="20">
        <v>1127.4743572037046</v>
      </c>
      <c r="I14" s="20">
        <v>996.7844164419173</v>
      </c>
      <c r="J14" s="20">
        <v>41.444965754468456</v>
      </c>
      <c r="K14" s="20">
        <v>906.7627648486291</v>
      </c>
      <c r="L14" s="20">
        <v>905.91305771517955</v>
      </c>
      <c r="M14" s="36">
        <f t="shared" si="0"/>
        <v>0.84970713344955584</v>
      </c>
      <c r="N14" s="20">
        <v>1056.7510528689113</v>
      </c>
      <c r="R14" s="37">
        <v>1.6537634467071869</v>
      </c>
      <c r="S14" s="37">
        <v>4.3386557366176763</v>
      </c>
      <c r="T14" s="37">
        <v>2.6119795249065443</v>
      </c>
      <c r="U14" s="37">
        <v>5.2444355671735767</v>
      </c>
      <c r="V14" s="37">
        <v>3.1464273301717434</v>
      </c>
    </row>
    <row r="15" spans="1:22" x14ac:dyDescent="0.2">
      <c r="A15" s="1" t="s">
        <v>55</v>
      </c>
      <c r="B15" s="1" t="s">
        <v>62</v>
      </c>
      <c r="C15" s="1" t="s">
        <v>104</v>
      </c>
      <c r="D15" s="9" t="s">
        <v>188</v>
      </c>
      <c r="E15" s="21">
        <v>1.5</v>
      </c>
      <c r="H15" s="20">
        <v>1033.2545535326053</v>
      </c>
      <c r="I15" s="20">
        <v>997.59536137656528</v>
      </c>
      <c r="J15" s="20">
        <v>40.801672675659098</v>
      </c>
      <c r="K15" s="20">
        <v>911.28272290265272</v>
      </c>
      <c r="L15" s="20">
        <v>907.78193731655551</v>
      </c>
      <c r="M15" s="36">
        <f t="shared" si="0"/>
        <v>3.5007855860972086</v>
      </c>
      <c r="N15" s="20">
        <v>1118.3914578502845</v>
      </c>
      <c r="R15" s="37">
        <v>1.3046278151321673</v>
      </c>
      <c r="S15" s="37">
        <v>3.1985878305481545</v>
      </c>
      <c r="T15" s="37">
        <v>2.7373563222703314</v>
      </c>
      <c r="U15" s="37">
        <v>3.7137516438010971</v>
      </c>
      <c r="V15" s="37">
        <v>3.0985349802217117</v>
      </c>
    </row>
    <row r="16" spans="1:22" x14ac:dyDescent="0.2">
      <c r="A16" s="1" t="s">
        <v>56</v>
      </c>
      <c r="B16" s="1" t="s">
        <v>62</v>
      </c>
      <c r="C16" s="1" t="s">
        <v>104</v>
      </c>
      <c r="D16" s="9" t="s">
        <v>188</v>
      </c>
      <c r="E16" s="21">
        <v>1.5</v>
      </c>
      <c r="H16" s="20">
        <v>1106.2265269273144</v>
      </c>
      <c r="I16" s="20">
        <v>964.55354187309035</v>
      </c>
      <c r="J16" s="20">
        <v>40.012587442851405</v>
      </c>
      <c r="K16" s="20">
        <v>890.87503215867946</v>
      </c>
      <c r="L16" s="20">
        <v>892.72363891985356</v>
      </c>
      <c r="M16" s="36">
        <f t="shared" si="0"/>
        <v>-1.8486067611740964</v>
      </c>
      <c r="N16" s="20">
        <v>1110.1971061968757</v>
      </c>
      <c r="R16" s="37">
        <v>1.2605459129593908</v>
      </c>
      <c r="S16" s="37">
        <v>4.6494113866609119</v>
      </c>
      <c r="T16" s="37">
        <v>2.7701635080495635</v>
      </c>
      <c r="U16" s="37">
        <v>5.3083819315471272</v>
      </c>
      <c r="V16" s="37">
        <v>2.9390914434950473</v>
      </c>
    </row>
    <row r="17" spans="1:22" x14ac:dyDescent="0.2">
      <c r="A17" s="1" t="s">
        <v>8</v>
      </c>
      <c r="B17" s="1" t="s">
        <v>62</v>
      </c>
      <c r="C17" s="1" t="s">
        <v>104</v>
      </c>
      <c r="D17" s="9" t="s">
        <v>188</v>
      </c>
      <c r="E17" s="21">
        <v>1.5</v>
      </c>
      <c r="F17" s="20">
        <v>1040.5884401237277</v>
      </c>
      <c r="G17" s="20">
        <v>12.513772071180231</v>
      </c>
      <c r="H17" s="20">
        <v>943.88669893417057</v>
      </c>
      <c r="I17" s="20">
        <v>903.42097541360772</v>
      </c>
      <c r="J17" s="20">
        <v>41.276597473181035</v>
      </c>
      <c r="K17" s="20">
        <v>905.1631546995809</v>
      </c>
      <c r="L17" s="20">
        <v>906.70618710586723</v>
      </c>
      <c r="M17" s="36">
        <f t="shared" si="0"/>
        <v>-1.5430324062863292</v>
      </c>
      <c r="N17" s="20">
        <v>1093.9503403345493</v>
      </c>
      <c r="O17" s="20">
        <v>1046.5292701808694</v>
      </c>
      <c r="P17" s="20">
        <v>1054.3518661375294</v>
      </c>
      <c r="R17" s="59">
        <v>0.7032661236893617</v>
      </c>
      <c r="S17" s="37">
        <v>2.5154052770101716</v>
      </c>
      <c r="T17" s="37">
        <v>1.9766494263226047</v>
      </c>
      <c r="U17" s="37">
        <v>2.1841432400200391</v>
      </c>
      <c r="V17" s="37">
        <v>1.3751474193685898</v>
      </c>
    </row>
    <row r="18" spans="1:22" x14ac:dyDescent="0.2">
      <c r="A18" s="2" t="s">
        <v>9</v>
      </c>
      <c r="B18" s="1" t="s">
        <v>62</v>
      </c>
      <c r="C18" s="2" t="s">
        <v>72</v>
      </c>
      <c r="D18" s="6" t="s">
        <v>167</v>
      </c>
      <c r="E18" s="21">
        <v>1.5</v>
      </c>
      <c r="F18" s="20">
        <v>1298.8727130366497</v>
      </c>
      <c r="G18" s="20">
        <v>12.398809901076392</v>
      </c>
      <c r="H18" s="20">
        <v>1234.1528899086511</v>
      </c>
      <c r="N18" s="20">
        <v>1195.2554613132479</v>
      </c>
      <c r="O18" s="20">
        <v>1247.2619442699486</v>
      </c>
      <c r="P18" s="20">
        <v>1269.4152261806892</v>
      </c>
      <c r="R18" s="37">
        <v>0.93573891584376023</v>
      </c>
    </row>
    <row r="19" spans="1:22" x14ac:dyDescent="0.2">
      <c r="A19" s="2" t="s">
        <v>10</v>
      </c>
      <c r="B19" s="2" t="s">
        <v>63</v>
      </c>
      <c r="C19" s="2" t="s">
        <v>72</v>
      </c>
      <c r="D19" s="6" t="s">
        <v>167</v>
      </c>
      <c r="E19" s="21">
        <v>1.5</v>
      </c>
      <c r="F19" s="20">
        <v>1270.7518488728165</v>
      </c>
      <c r="G19" s="20">
        <v>13.248700305675053</v>
      </c>
      <c r="H19" s="20">
        <v>1226.8293153654104</v>
      </c>
      <c r="N19" s="20">
        <v>1195.3472641484782</v>
      </c>
      <c r="O19" s="20">
        <v>1250.4353868952151</v>
      </c>
      <c r="P19" s="20">
        <v>1273.95835470067</v>
      </c>
      <c r="R19" s="37">
        <v>0.93751749211892876</v>
      </c>
    </row>
    <row r="20" spans="1:22" x14ac:dyDescent="0.2">
      <c r="A20" s="2" t="s">
        <v>11</v>
      </c>
      <c r="B20" s="1" t="s">
        <v>62</v>
      </c>
      <c r="C20" s="2" t="s">
        <v>72</v>
      </c>
      <c r="D20" s="6" t="s">
        <v>167</v>
      </c>
      <c r="E20" s="21">
        <v>1.5</v>
      </c>
      <c r="F20" s="20">
        <v>1273.6426749223519</v>
      </c>
      <c r="G20" s="20">
        <v>15.584835662435179</v>
      </c>
      <c r="H20" s="20">
        <v>1239.1483138667468</v>
      </c>
      <c r="N20" s="20">
        <v>1137.6264123452552</v>
      </c>
      <c r="O20" s="20">
        <v>1228.435803218418</v>
      </c>
      <c r="P20" s="20">
        <v>1259.5172454181584</v>
      </c>
      <c r="R20" s="37">
        <v>0.98248612349143372</v>
      </c>
    </row>
    <row r="21" spans="1:22" x14ac:dyDescent="0.2">
      <c r="A21" s="2" t="s">
        <v>12</v>
      </c>
      <c r="B21" s="1" t="s">
        <v>62</v>
      </c>
      <c r="C21" s="2" t="s">
        <v>72</v>
      </c>
      <c r="D21" s="6" t="s">
        <v>167</v>
      </c>
      <c r="E21" s="21">
        <v>1.5</v>
      </c>
      <c r="F21" s="20">
        <v>1270.3345135427271</v>
      </c>
      <c r="G21" s="20">
        <v>15.960535076304941</v>
      </c>
      <c r="H21" s="20">
        <v>1245.4833111957118</v>
      </c>
      <c r="N21" s="20">
        <v>1184.1334756663873</v>
      </c>
      <c r="O21" s="20">
        <v>1198.1109384121805</v>
      </c>
      <c r="P21" s="20">
        <v>1232.4667741578301</v>
      </c>
      <c r="R21" s="37">
        <v>0.9824725820002882</v>
      </c>
    </row>
    <row r="22" spans="1:22" x14ac:dyDescent="0.2">
      <c r="A22" s="2" t="s">
        <v>13</v>
      </c>
      <c r="B22" s="2" t="s">
        <v>63</v>
      </c>
      <c r="C22" s="2" t="s">
        <v>72</v>
      </c>
      <c r="D22" s="6" t="s">
        <v>167</v>
      </c>
      <c r="E22" s="21">
        <v>1.5</v>
      </c>
      <c r="F22" s="20">
        <v>1291.7779976810743</v>
      </c>
      <c r="G22" s="20">
        <v>15.888865127771675</v>
      </c>
      <c r="H22" s="20">
        <v>1235.0924999888175</v>
      </c>
      <c r="N22" s="20">
        <v>1208.2305746777511</v>
      </c>
      <c r="O22" s="20">
        <v>1193.3846715154937</v>
      </c>
      <c r="P22" s="20">
        <v>1216.7898313145447</v>
      </c>
      <c r="R22" s="37">
        <v>1.091000726742045</v>
      </c>
    </row>
    <row r="23" spans="1:22" x14ac:dyDescent="0.2">
      <c r="A23" s="2" t="s">
        <v>14</v>
      </c>
      <c r="B23" s="1" t="s">
        <v>62</v>
      </c>
      <c r="C23" s="2" t="s">
        <v>72</v>
      </c>
      <c r="D23" s="6" t="s">
        <v>167</v>
      </c>
      <c r="E23" s="21">
        <v>1.5</v>
      </c>
      <c r="F23" s="20">
        <v>1242.2085278806499</v>
      </c>
      <c r="G23" s="20">
        <v>11.427146612447554</v>
      </c>
      <c r="H23" s="20">
        <v>1211.0394538692231</v>
      </c>
      <c r="N23" s="20">
        <v>1196.093946782496</v>
      </c>
      <c r="O23" s="20">
        <v>1165.7878178444025</v>
      </c>
      <c r="P23" s="20">
        <v>1182.919665781669</v>
      </c>
      <c r="R23" s="37">
        <v>1.1357579472514563</v>
      </c>
    </row>
    <row r="24" spans="1:22" x14ac:dyDescent="0.2">
      <c r="A24" s="2" t="s">
        <v>15</v>
      </c>
      <c r="B24" s="2" t="s">
        <v>63</v>
      </c>
      <c r="C24" s="2" t="s">
        <v>72</v>
      </c>
      <c r="D24" s="6" t="s">
        <v>167</v>
      </c>
      <c r="E24" s="21">
        <v>1.5</v>
      </c>
      <c r="F24" s="20">
        <v>1192.6266604941266</v>
      </c>
      <c r="G24" s="20">
        <v>7.9060522006869096</v>
      </c>
      <c r="H24" s="20">
        <v>1200.059026231364</v>
      </c>
      <c r="N24" s="20">
        <v>1122.5795328674494</v>
      </c>
      <c r="O24" s="20">
        <v>1155.5392176323724</v>
      </c>
      <c r="P24" s="20">
        <v>1173.9521936869878</v>
      </c>
      <c r="R24" s="37">
        <v>1.3237584180483837</v>
      </c>
    </row>
    <row r="25" spans="1:22" x14ac:dyDescent="0.2">
      <c r="A25" s="2" t="s">
        <v>16</v>
      </c>
      <c r="B25" s="2" t="s">
        <v>63</v>
      </c>
      <c r="C25" s="2" t="s">
        <v>71</v>
      </c>
      <c r="D25" s="6" t="s">
        <v>167</v>
      </c>
      <c r="E25" s="21">
        <v>1.5</v>
      </c>
      <c r="F25" s="20">
        <v>1166.2448419368247</v>
      </c>
      <c r="G25" s="20">
        <v>11.433936535326083</v>
      </c>
      <c r="H25" s="20">
        <v>1167.96736177598</v>
      </c>
      <c r="N25" s="20">
        <v>1206.1910678438862</v>
      </c>
      <c r="O25" s="20">
        <v>1110.7019230010328</v>
      </c>
      <c r="P25" s="20">
        <v>1118.8522630988366</v>
      </c>
      <c r="R25" s="37">
        <v>0.9127703560830408</v>
      </c>
    </row>
    <row r="26" spans="1:22" x14ac:dyDescent="0.2">
      <c r="A26" s="2" t="s">
        <v>64</v>
      </c>
      <c r="B26" s="2" t="s">
        <v>63</v>
      </c>
      <c r="C26" s="5" t="s">
        <v>70</v>
      </c>
      <c r="D26" s="6" t="s">
        <v>167</v>
      </c>
      <c r="E26" s="21">
        <v>1.5</v>
      </c>
      <c r="F26" s="20">
        <v>1110.2986809000467</v>
      </c>
      <c r="G26" s="20">
        <v>7.162909849471415</v>
      </c>
      <c r="H26" s="20">
        <v>1133.7950003889068</v>
      </c>
      <c r="N26" s="29">
        <v>1254.8197325292153</v>
      </c>
      <c r="O26" s="20">
        <v>1069.3888783850314</v>
      </c>
      <c r="P26" s="20">
        <v>1089.5120116029982</v>
      </c>
      <c r="R26" s="37">
        <v>1.0361557805184396</v>
      </c>
    </row>
    <row r="27" spans="1:22" x14ac:dyDescent="0.2">
      <c r="A27" s="2" t="s">
        <v>17</v>
      </c>
      <c r="B27" s="1" t="s">
        <v>62</v>
      </c>
      <c r="C27" s="2" t="s">
        <v>72</v>
      </c>
      <c r="D27" s="6" t="s">
        <v>167</v>
      </c>
      <c r="E27" s="21">
        <v>1.5</v>
      </c>
      <c r="F27" s="20">
        <v>986.65057832149307</v>
      </c>
      <c r="G27" s="20">
        <v>7.6189111696265321</v>
      </c>
      <c r="H27" s="20">
        <v>1014.6954259641312</v>
      </c>
      <c r="N27" s="29">
        <v>1037.0557825166584</v>
      </c>
      <c r="O27" s="20">
        <v>967.19621194053502</v>
      </c>
      <c r="P27" s="20">
        <v>1017.1358926275796</v>
      </c>
      <c r="R27" s="37">
        <v>1.055395392502811</v>
      </c>
    </row>
    <row r="28" spans="1:22" x14ac:dyDescent="0.2">
      <c r="A28" s="2" t="s">
        <v>18</v>
      </c>
      <c r="B28" s="1" t="s">
        <v>62</v>
      </c>
      <c r="C28" s="2" t="s">
        <v>72</v>
      </c>
      <c r="D28" s="6" t="s">
        <v>167</v>
      </c>
      <c r="E28" s="21">
        <v>1.5</v>
      </c>
      <c r="F28" s="20">
        <v>1024.4677715751172</v>
      </c>
      <c r="G28" s="20">
        <v>7.136372271957053</v>
      </c>
      <c r="H28" s="20">
        <v>1026.9294038164362</v>
      </c>
      <c r="N28" s="29">
        <v>1066.0625296901162</v>
      </c>
      <c r="O28" s="20">
        <v>1082.1986486761868</v>
      </c>
      <c r="P28" s="20">
        <v>1016.2714686416634</v>
      </c>
      <c r="R28" s="37">
        <v>0.98460671683772338</v>
      </c>
    </row>
    <row r="29" spans="1:22" x14ac:dyDescent="0.2">
      <c r="A29" s="2" t="s">
        <v>19</v>
      </c>
      <c r="B29" s="2" t="s">
        <v>63</v>
      </c>
      <c r="C29" s="2" t="s">
        <v>72</v>
      </c>
      <c r="D29" s="6" t="s">
        <v>167</v>
      </c>
      <c r="E29" s="21">
        <v>1.5</v>
      </c>
      <c r="F29" s="20">
        <v>963.97781330751843</v>
      </c>
      <c r="G29" s="20">
        <v>7.6494888421985419</v>
      </c>
      <c r="H29" s="20">
        <v>903.58105009614417</v>
      </c>
      <c r="N29" s="29">
        <v>1043.4556379942901</v>
      </c>
      <c r="O29" s="20">
        <v>1054.4820749435321</v>
      </c>
      <c r="P29" s="20">
        <v>995.69786986997769</v>
      </c>
      <c r="R29" s="37">
        <v>0.96143556172087996</v>
      </c>
    </row>
    <row r="30" spans="1:22" x14ac:dyDescent="0.2">
      <c r="A30" s="2" t="s">
        <v>20</v>
      </c>
      <c r="B30" s="2" t="s">
        <v>63</v>
      </c>
      <c r="C30" s="2" t="s">
        <v>72</v>
      </c>
      <c r="D30" s="6" t="s">
        <v>167</v>
      </c>
      <c r="E30" s="21">
        <v>1.5</v>
      </c>
      <c r="F30" s="20">
        <v>988.66824229235419</v>
      </c>
      <c r="G30" s="20">
        <v>11.868793764914233</v>
      </c>
      <c r="H30" s="20">
        <v>948.85884513678013</v>
      </c>
      <c r="N30" s="29">
        <v>1032.0443507037226</v>
      </c>
      <c r="O30" s="20">
        <v>1013.3630765601317</v>
      </c>
      <c r="P30" s="20">
        <v>970.9541926594768</v>
      </c>
      <c r="R30" s="37">
        <v>1.0628197248728646</v>
      </c>
    </row>
    <row r="31" spans="1:22" x14ac:dyDescent="0.2">
      <c r="A31" s="2" t="s">
        <v>21</v>
      </c>
      <c r="B31" s="2" t="s">
        <v>63</v>
      </c>
      <c r="C31" s="2" t="s">
        <v>72</v>
      </c>
      <c r="D31" s="6" t="s">
        <v>167</v>
      </c>
      <c r="E31" s="21">
        <v>1.5</v>
      </c>
      <c r="F31" s="20">
        <v>976.55902739180021</v>
      </c>
      <c r="G31" s="20">
        <v>12.537228672261499</v>
      </c>
      <c r="H31" s="20">
        <v>969.50202154388887</v>
      </c>
      <c r="N31" s="29">
        <v>1023.1432431931686</v>
      </c>
      <c r="O31" s="20">
        <v>1059.5526002778124</v>
      </c>
      <c r="P31" s="20">
        <v>1007.547490230656</v>
      </c>
      <c r="R31" s="37">
        <v>1.0977432914724607</v>
      </c>
    </row>
    <row r="32" spans="1:22" x14ac:dyDescent="0.2">
      <c r="A32" s="2" t="s">
        <v>22</v>
      </c>
      <c r="B32" s="2" t="s">
        <v>63</v>
      </c>
      <c r="C32" s="2" t="s">
        <v>72</v>
      </c>
      <c r="D32" s="6" t="s">
        <v>167</v>
      </c>
      <c r="E32" s="21">
        <v>1.5</v>
      </c>
      <c r="F32" s="20">
        <v>927.79542757745855</v>
      </c>
      <c r="G32" s="20">
        <v>10.453636020622685</v>
      </c>
      <c r="H32" s="20">
        <v>909.52374080852326</v>
      </c>
      <c r="N32" s="29">
        <v>1078.3752576988372</v>
      </c>
      <c r="O32" s="20">
        <v>994.56361246881579</v>
      </c>
      <c r="P32" s="20">
        <v>964.25261752508027</v>
      </c>
      <c r="R32" s="37">
        <v>1.0432162448498055</v>
      </c>
    </row>
    <row r="33" spans="1:19" x14ac:dyDescent="0.2">
      <c r="A33" s="2" t="s">
        <v>23</v>
      </c>
      <c r="B33" s="1" t="s">
        <v>62</v>
      </c>
      <c r="C33" s="2" t="s">
        <v>72</v>
      </c>
      <c r="D33" s="6" t="s">
        <v>167</v>
      </c>
      <c r="E33" s="21">
        <v>1.5</v>
      </c>
      <c r="F33" s="20">
        <v>922.6711549504613</v>
      </c>
      <c r="G33" s="20">
        <v>10.478861935177378</v>
      </c>
      <c r="H33" s="20">
        <v>955.1554012871544</v>
      </c>
      <c r="N33" s="29">
        <v>1045.4433764539731</v>
      </c>
      <c r="O33" s="20">
        <v>859.92623091663359</v>
      </c>
      <c r="P33" s="20">
        <v>889.19392339255683</v>
      </c>
      <c r="R33" s="37">
        <v>1.2902846267523584</v>
      </c>
    </row>
    <row r="34" spans="1:19" x14ac:dyDescent="0.2">
      <c r="A34" s="4" t="s">
        <v>49</v>
      </c>
      <c r="B34" s="2" t="s">
        <v>63</v>
      </c>
      <c r="C34" s="4" t="s">
        <v>65</v>
      </c>
      <c r="D34" s="7" t="s">
        <v>168</v>
      </c>
      <c r="E34" s="21">
        <v>1.5</v>
      </c>
      <c r="F34" s="20">
        <v>1153.6782032425872</v>
      </c>
      <c r="G34" s="20">
        <v>8.5652376717848373</v>
      </c>
      <c r="H34" s="20">
        <v>1160.0731501588725</v>
      </c>
      <c r="N34" s="29">
        <v>1499.9485057304528</v>
      </c>
      <c r="O34" s="20">
        <v>1097.3394477133008</v>
      </c>
      <c r="P34" s="20">
        <v>1120.0843111321628</v>
      </c>
      <c r="R34" s="37">
        <v>1.3112978917245346</v>
      </c>
    </row>
    <row r="35" spans="1:19" x14ac:dyDescent="0.2">
      <c r="A35" s="4" t="s">
        <v>24</v>
      </c>
      <c r="B35" s="2" t="s">
        <v>63</v>
      </c>
      <c r="C35" s="4" t="s">
        <v>66</v>
      </c>
      <c r="D35" s="7" t="s">
        <v>168</v>
      </c>
      <c r="E35" s="21">
        <v>1.5</v>
      </c>
      <c r="F35" s="20">
        <v>1195.9200546486427</v>
      </c>
      <c r="G35" s="20">
        <v>7.7075279629621294</v>
      </c>
      <c r="H35" s="20">
        <v>1195.1183420990046</v>
      </c>
      <c r="N35" s="29">
        <v>1253.6274114413932</v>
      </c>
      <c r="O35" s="20">
        <v>1142.053600730012</v>
      </c>
      <c r="P35" s="20">
        <v>1169.2251622435226</v>
      </c>
      <c r="R35" s="37">
        <v>1.3680848116075428</v>
      </c>
    </row>
    <row r="36" spans="1:19" x14ac:dyDescent="0.2">
      <c r="A36" s="4" t="s">
        <v>50</v>
      </c>
      <c r="B36" s="2" t="s">
        <v>63</v>
      </c>
      <c r="C36" s="4" t="s">
        <v>67</v>
      </c>
      <c r="D36" s="7" t="s">
        <v>168</v>
      </c>
      <c r="E36" s="21">
        <v>1.5</v>
      </c>
      <c r="F36" s="20">
        <v>1035.5435378432358</v>
      </c>
      <c r="G36" s="20">
        <v>8.0284779626993483</v>
      </c>
      <c r="H36" s="20">
        <v>1054.0156330718487</v>
      </c>
      <c r="N36" s="29">
        <v>1164.0874401772826</v>
      </c>
      <c r="O36" s="20">
        <v>1067.2709220100066</v>
      </c>
      <c r="P36" s="20">
        <v>1067.3507672288767</v>
      </c>
      <c r="R36" s="37">
        <v>1.347104328110396</v>
      </c>
    </row>
    <row r="37" spans="1:19" x14ac:dyDescent="0.2">
      <c r="A37" s="4" t="s">
        <v>25</v>
      </c>
      <c r="B37" s="2" t="s">
        <v>63</v>
      </c>
      <c r="C37" s="4" t="s">
        <v>67</v>
      </c>
      <c r="D37" s="7" t="s">
        <v>168</v>
      </c>
      <c r="E37" s="21">
        <v>1.5</v>
      </c>
      <c r="F37" s="20">
        <v>1028.3209727801827</v>
      </c>
      <c r="G37" s="20">
        <v>7.8085612053770497</v>
      </c>
      <c r="H37" s="20">
        <v>1039.1950964321295</v>
      </c>
      <c r="N37" s="29">
        <v>1206.2185412932986</v>
      </c>
      <c r="O37" s="20">
        <v>1047.8743847872829</v>
      </c>
      <c r="P37" s="20">
        <v>1052.3965335133248</v>
      </c>
      <c r="R37" s="37">
        <v>1.2610891651366656</v>
      </c>
    </row>
    <row r="38" spans="1:19" x14ac:dyDescent="0.2">
      <c r="A38" s="4" t="s">
        <v>51</v>
      </c>
      <c r="B38" s="2" t="s">
        <v>63</v>
      </c>
      <c r="C38" s="4" t="s">
        <v>68</v>
      </c>
      <c r="D38" s="7" t="s">
        <v>168</v>
      </c>
      <c r="E38" s="21">
        <v>1.5</v>
      </c>
      <c r="F38" s="20">
        <v>1011.2627917914925</v>
      </c>
      <c r="G38" s="20">
        <v>9.6738402083963884</v>
      </c>
      <c r="H38" s="20">
        <v>995.02399600611659</v>
      </c>
      <c r="N38" s="29">
        <v>1135.5643679701298</v>
      </c>
      <c r="O38" s="20">
        <v>1047.422734708407</v>
      </c>
      <c r="P38" s="20">
        <v>1046.4923691185325</v>
      </c>
      <c r="R38" s="37">
        <v>1.0227786256170674</v>
      </c>
    </row>
    <row r="39" spans="1:19" x14ac:dyDescent="0.2">
      <c r="A39" s="4" t="s">
        <v>26</v>
      </c>
      <c r="B39" s="2" t="s">
        <v>63</v>
      </c>
      <c r="C39" s="4" t="s">
        <v>69</v>
      </c>
      <c r="D39" s="7" t="s">
        <v>168</v>
      </c>
      <c r="E39" s="21">
        <v>1.5</v>
      </c>
      <c r="F39" s="20">
        <v>1136.7215557891036</v>
      </c>
      <c r="G39" s="20">
        <v>9.6061538994234077</v>
      </c>
      <c r="H39" s="20">
        <v>1094.9262441888445</v>
      </c>
      <c r="N39" s="29">
        <v>1295.6581067806123</v>
      </c>
      <c r="O39" s="20">
        <v>1090.9951289287533</v>
      </c>
      <c r="P39" s="20">
        <v>1096.8103723002328</v>
      </c>
      <c r="R39" s="37">
        <v>1.2810890023493564</v>
      </c>
    </row>
    <row r="40" spans="1:19" x14ac:dyDescent="0.2">
      <c r="A40" s="5" t="s">
        <v>27</v>
      </c>
      <c r="B40" s="2" t="s">
        <v>63</v>
      </c>
      <c r="C40" s="5" t="s">
        <v>103</v>
      </c>
      <c r="D40" s="7" t="s">
        <v>168</v>
      </c>
      <c r="E40" s="21">
        <v>1.5</v>
      </c>
      <c r="F40" s="20">
        <v>911.17054556748224</v>
      </c>
      <c r="G40" s="20">
        <v>8.0068463129797731</v>
      </c>
      <c r="H40" s="20">
        <v>947.8132202669716</v>
      </c>
      <c r="N40" s="29">
        <v>1177.030008155512</v>
      </c>
      <c r="O40" s="20">
        <v>983.017419776922</v>
      </c>
      <c r="P40" s="20">
        <v>977.64437622719424</v>
      </c>
      <c r="R40" s="37">
        <v>1.7379727968872156</v>
      </c>
    </row>
    <row r="41" spans="1:19" x14ac:dyDescent="0.2">
      <c r="A41" s="5" t="s">
        <v>28</v>
      </c>
      <c r="B41" s="2" t="s">
        <v>63</v>
      </c>
      <c r="C41" s="5" t="s">
        <v>70</v>
      </c>
      <c r="D41" s="7" t="s">
        <v>168</v>
      </c>
      <c r="E41" s="21">
        <v>1.5</v>
      </c>
      <c r="F41" s="20">
        <v>884.95200031229194</v>
      </c>
      <c r="G41" s="20">
        <v>10.640513844109364</v>
      </c>
      <c r="H41" s="20">
        <v>916.78230907629916</v>
      </c>
      <c r="N41" s="29">
        <v>1190.5120880195404</v>
      </c>
      <c r="O41" s="20">
        <v>994.4630447031052</v>
      </c>
      <c r="P41" s="20">
        <v>978.93927615406801</v>
      </c>
      <c r="R41" s="37">
        <v>1.4560621632892397</v>
      </c>
    </row>
    <row r="42" spans="1:19" x14ac:dyDescent="0.2">
      <c r="A42" s="4" t="s">
        <v>52</v>
      </c>
      <c r="B42" s="2" t="s">
        <v>63</v>
      </c>
      <c r="C42" s="5" t="s">
        <v>70</v>
      </c>
      <c r="D42" s="7" t="s">
        <v>168</v>
      </c>
      <c r="E42" s="21">
        <v>1.5</v>
      </c>
      <c r="F42" s="20">
        <v>1012.8037511507715</v>
      </c>
      <c r="G42" s="20">
        <v>7.3316382173802728</v>
      </c>
      <c r="H42" s="20">
        <v>1075.9401763860574</v>
      </c>
      <c r="N42" s="29">
        <v>1143.3596484024206</v>
      </c>
      <c r="O42" s="20">
        <v>993.88931824879592</v>
      </c>
      <c r="P42" s="20">
        <v>1000.3803168924433</v>
      </c>
      <c r="R42" s="37">
        <v>1.5088752854852125</v>
      </c>
    </row>
    <row r="43" spans="1:19" x14ac:dyDescent="0.2">
      <c r="A43" s="4" t="s">
        <v>29</v>
      </c>
      <c r="B43" s="2" t="s">
        <v>63</v>
      </c>
      <c r="C43" s="5" t="s">
        <v>70</v>
      </c>
      <c r="D43" s="7" t="s">
        <v>168</v>
      </c>
      <c r="E43" s="21">
        <v>1.5</v>
      </c>
      <c r="F43" s="20">
        <v>947.37699409451545</v>
      </c>
      <c r="G43" s="20">
        <v>9.038482055086078</v>
      </c>
      <c r="H43" s="20">
        <v>984.63412570474327</v>
      </c>
      <c r="N43" s="29">
        <v>1049.7215166488209</v>
      </c>
      <c r="O43" s="20">
        <v>1028.7052649545012</v>
      </c>
      <c r="P43" s="20">
        <v>1007.9843333021172</v>
      </c>
      <c r="R43" s="37">
        <v>1.7214287170944711</v>
      </c>
    </row>
    <row r="44" spans="1:19" x14ac:dyDescent="0.2">
      <c r="A44" s="4" t="s">
        <v>53</v>
      </c>
      <c r="B44" s="2" t="s">
        <v>63</v>
      </c>
      <c r="C44" s="5" t="s">
        <v>70</v>
      </c>
      <c r="D44" s="7" t="s">
        <v>168</v>
      </c>
      <c r="E44" s="21">
        <v>1.5</v>
      </c>
      <c r="F44" s="20">
        <v>913.86773263088241</v>
      </c>
      <c r="G44" s="20">
        <v>11.12253668937616</v>
      </c>
      <c r="H44" s="20">
        <v>978.60766776760568</v>
      </c>
      <c r="N44" s="29">
        <v>1045.7175070356225</v>
      </c>
      <c r="O44" s="20">
        <v>986.00076833203161</v>
      </c>
      <c r="P44" s="20">
        <v>982.57754613677912</v>
      </c>
      <c r="R44" s="37">
        <v>1.5999957137448608</v>
      </c>
    </row>
    <row r="45" spans="1:19" x14ac:dyDescent="0.2">
      <c r="A45" s="3" t="s">
        <v>30</v>
      </c>
      <c r="B45" s="2" t="s">
        <v>63</v>
      </c>
      <c r="C45" s="1" t="s">
        <v>104</v>
      </c>
      <c r="D45" s="8" t="s">
        <v>169</v>
      </c>
      <c r="E45" s="21">
        <v>1.5</v>
      </c>
      <c r="F45" s="20">
        <v>869.32270633679639</v>
      </c>
      <c r="G45" s="20">
        <v>18.408620770268019</v>
      </c>
      <c r="H45" s="20">
        <v>822.07951949100959</v>
      </c>
      <c r="K45" s="20">
        <v>847.07202071730535</v>
      </c>
      <c r="L45" s="20">
        <v>847.05097523267455</v>
      </c>
      <c r="M45" s="36">
        <f t="shared" ref="M45:M62" si="1">K45-L45</f>
        <v>2.1045484630803912E-2</v>
      </c>
      <c r="N45" s="20">
        <v>1102.4411405145979</v>
      </c>
      <c r="O45" s="20">
        <v>988.98326886199447</v>
      </c>
      <c r="P45" s="20">
        <v>935.71716345185973</v>
      </c>
      <c r="R45" s="37">
        <v>1.3861731227654386</v>
      </c>
      <c r="S45" s="18"/>
    </row>
    <row r="46" spans="1:19" x14ac:dyDescent="0.2">
      <c r="A46" s="3" t="s">
        <v>31</v>
      </c>
      <c r="B46" s="2" t="s">
        <v>63</v>
      </c>
      <c r="C46" s="1" t="s">
        <v>104</v>
      </c>
      <c r="D46" s="8" t="s">
        <v>169</v>
      </c>
      <c r="E46" s="21">
        <v>1.5</v>
      </c>
      <c r="F46" s="20">
        <v>819.70427756741799</v>
      </c>
      <c r="G46" s="20">
        <v>6.8038725725819296</v>
      </c>
      <c r="H46" s="20">
        <v>814.15637412821559</v>
      </c>
      <c r="K46" s="20">
        <v>815.99683443364324</v>
      </c>
      <c r="L46" s="20">
        <v>822.08720181955073</v>
      </c>
      <c r="M46" s="36">
        <f t="shared" si="1"/>
        <v>-6.0903673859074843</v>
      </c>
      <c r="N46" s="20">
        <v>1025.0425779027969</v>
      </c>
      <c r="O46" s="20">
        <v>957.14969705419708</v>
      </c>
      <c r="P46" s="20">
        <v>953.38359096594809</v>
      </c>
      <c r="R46" s="37">
        <v>1.2461524412744271</v>
      </c>
      <c r="S46" s="18"/>
    </row>
    <row r="47" spans="1:19" x14ac:dyDescent="0.2">
      <c r="A47" s="3" t="s">
        <v>33</v>
      </c>
      <c r="B47" s="2" t="s">
        <v>63</v>
      </c>
      <c r="C47" s="1" t="s">
        <v>104</v>
      </c>
      <c r="D47" s="8" t="s">
        <v>169</v>
      </c>
      <c r="E47" s="21">
        <v>1.5</v>
      </c>
      <c r="F47" s="20">
        <v>1136.4147860196658</v>
      </c>
      <c r="G47" s="20">
        <v>18.922014524658408</v>
      </c>
      <c r="H47" s="20">
        <v>1133.5339010313751</v>
      </c>
      <c r="K47" s="20">
        <v>1024.5096395805492</v>
      </c>
      <c r="L47" s="20">
        <v>1018.3608987908597</v>
      </c>
      <c r="M47" s="36">
        <f t="shared" si="1"/>
        <v>6.1487407896895547</v>
      </c>
      <c r="O47" s="20">
        <v>1013.4634922847938</v>
      </c>
      <c r="P47" s="20">
        <v>1071.6054368543923</v>
      </c>
      <c r="R47" s="37">
        <v>1.2685425240654005</v>
      </c>
      <c r="S47" s="18"/>
    </row>
    <row r="48" spans="1:19" x14ac:dyDescent="0.2">
      <c r="A48" s="3" t="s">
        <v>34</v>
      </c>
      <c r="B48" s="2" t="s">
        <v>63</v>
      </c>
      <c r="C48" s="1" t="s">
        <v>104</v>
      </c>
      <c r="D48" s="8" t="s">
        <v>169</v>
      </c>
      <c r="E48" s="21">
        <v>1.5</v>
      </c>
      <c r="F48" s="20">
        <v>1184.4665538531881</v>
      </c>
      <c r="G48" s="20">
        <v>23.92155443298395</v>
      </c>
      <c r="H48" s="20">
        <v>1175.0223299251188</v>
      </c>
      <c r="K48" s="20">
        <v>1062.6897636473414</v>
      </c>
      <c r="L48" s="20">
        <v>1053.8601572831935</v>
      </c>
      <c r="M48" s="36">
        <f t="shared" si="1"/>
        <v>8.8296063641478213</v>
      </c>
      <c r="N48" s="20">
        <v>1095.9386713424856</v>
      </c>
      <c r="O48" s="20">
        <v>1133.6212118215726</v>
      </c>
      <c r="P48" s="20">
        <v>1105.3100763418249</v>
      </c>
      <c r="R48" s="37">
        <v>1.1997251088457088</v>
      </c>
      <c r="S48" s="18"/>
    </row>
    <row r="49" spans="1:22" x14ac:dyDescent="0.2">
      <c r="A49" s="3" t="s">
        <v>32</v>
      </c>
      <c r="B49" s="2" t="s">
        <v>63</v>
      </c>
      <c r="C49" s="1" t="s">
        <v>104</v>
      </c>
      <c r="D49" s="8" t="s">
        <v>169</v>
      </c>
      <c r="E49" s="21">
        <v>1.5</v>
      </c>
      <c r="F49" s="20">
        <v>1283.5140958644693</v>
      </c>
      <c r="G49" s="20">
        <v>21.544889318793196</v>
      </c>
      <c r="H49" s="20">
        <v>1174.6282475137282</v>
      </c>
      <c r="K49" s="20">
        <v>1064.463315414856</v>
      </c>
      <c r="L49" s="20">
        <v>1055.3125639653047</v>
      </c>
      <c r="M49" s="36">
        <f t="shared" si="1"/>
        <v>9.1507514495513078</v>
      </c>
      <c r="N49" s="20">
        <v>1094.8391884654525</v>
      </c>
      <c r="O49" s="20">
        <v>1114.2971759611728</v>
      </c>
      <c r="P49" s="20">
        <v>1140.170185035201</v>
      </c>
      <c r="R49" s="37">
        <v>1.1155789384195618</v>
      </c>
      <c r="S49" s="18"/>
    </row>
    <row r="50" spans="1:22" x14ac:dyDescent="0.2">
      <c r="A50" s="3" t="s">
        <v>35</v>
      </c>
      <c r="B50" s="1" t="s">
        <v>62</v>
      </c>
      <c r="C50" s="1" t="s">
        <v>104</v>
      </c>
      <c r="D50" s="8" t="s">
        <v>169</v>
      </c>
      <c r="E50" s="21">
        <v>1.5</v>
      </c>
      <c r="F50" s="20">
        <v>1338.4237208978388</v>
      </c>
      <c r="G50" s="20">
        <v>16.625614834066983</v>
      </c>
      <c r="H50" s="20">
        <v>1262.5530468392794</v>
      </c>
      <c r="K50" s="20">
        <v>1147.5528652086357</v>
      </c>
      <c r="L50" s="20">
        <v>1135.2904782391104</v>
      </c>
      <c r="M50" s="36">
        <f t="shared" si="1"/>
        <v>12.262386969525323</v>
      </c>
      <c r="N50" s="20">
        <v>987.82879379041503</v>
      </c>
      <c r="O50" s="20">
        <v>1279.072687627948</v>
      </c>
      <c r="P50" s="20">
        <v>1317.7535186243697</v>
      </c>
      <c r="R50" s="37">
        <v>0.83787686999363997</v>
      </c>
      <c r="S50" s="18"/>
    </row>
    <row r="51" spans="1:22" x14ac:dyDescent="0.2">
      <c r="A51" s="3" t="s">
        <v>73</v>
      </c>
      <c r="B51" s="1" t="s">
        <v>62</v>
      </c>
      <c r="C51" s="1" t="s">
        <v>104</v>
      </c>
      <c r="D51" s="8" t="s">
        <v>169</v>
      </c>
      <c r="E51" s="21">
        <v>1.5</v>
      </c>
      <c r="F51" s="20">
        <v>1270.1485075172786</v>
      </c>
      <c r="G51" s="20">
        <v>25.998811765727893</v>
      </c>
      <c r="H51" s="20">
        <v>1078.2633559575579</v>
      </c>
      <c r="K51" s="20">
        <v>997.52403272947868</v>
      </c>
      <c r="L51" s="20">
        <v>984.58155918192483</v>
      </c>
      <c r="M51" s="36">
        <f t="shared" si="1"/>
        <v>12.942473547553845</v>
      </c>
      <c r="N51" s="20">
        <v>1070.3363480953808</v>
      </c>
      <c r="O51" s="20">
        <v>1161.5221507821434</v>
      </c>
      <c r="P51" s="20">
        <v>1125.0707795933192</v>
      </c>
      <c r="R51" s="37">
        <v>0.98870896486445137</v>
      </c>
      <c r="S51" s="18"/>
    </row>
    <row r="52" spans="1:22" x14ac:dyDescent="0.2">
      <c r="A52" s="3" t="s">
        <v>74</v>
      </c>
      <c r="B52" s="2" t="s">
        <v>63</v>
      </c>
      <c r="C52" s="1" t="s">
        <v>104</v>
      </c>
      <c r="D52" s="8" t="s">
        <v>169</v>
      </c>
      <c r="E52" s="21">
        <v>1.5</v>
      </c>
      <c r="F52" s="20">
        <v>1056.2985407573337</v>
      </c>
      <c r="G52" s="20">
        <v>19.198045891772374</v>
      </c>
      <c r="H52" s="20">
        <v>1080.4158279717949</v>
      </c>
      <c r="K52" s="20">
        <v>1003.4046550971104</v>
      </c>
      <c r="L52" s="20">
        <v>993.04074755957231</v>
      </c>
      <c r="M52" s="36">
        <f t="shared" si="1"/>
        <v>10.363907537538125</v>
      </c>
      <c r="N52" s="20">
        <v>1026.6972794514813</v>
      </c>
      <c r="O52" s="20">
        <v>1039.6393695779079</v>
      </c>
      <c r="P52" s="20">
        <v>1052.3032749723332</v>
      </c>
      <c r="R52" s="37">
        <v>0.99546713649586249</v>
      </c>
      <c r="S52" s="18"/>
    </row>
    <row r="53" spans="1:22" x14ac:dyDescent="0.2">
      <c r="A53" s="3" t="s">
        <v>75</v>
      </c>
      <c r="B53" s="1" t="s">
        <v>62</v>
      </c>
      <c r="C53" s="1" t="s">
        <v>104</v>
      </c>
      <c r="D53" s="8" t="s">
        <v>169</v>
      </c>
      <c r="E53" s="21">
        <v>1.5</v>
      </c>
      <c r="F53" s="20">
        <v>1256.4653820340541</v>
      </c>
      <c r="G53" s="20">
        <v>23.951341797698603</v>
      </c>
      <c r="H53" s="20">
        <v>1236.1997683647878</v>
      </c>
      <c r="K53" s="20">
        <v>1090.7800232955922</v>
      </c>
      <c r="L53" s="20">
        <v>1078.821465028421</v>
      </c>
      <c r="M53" s="36">
        <f t="shared" si="1"/>
        <v>11.958558267171156</v>
      </c>
      <c r="O53" s="20">
        <v>1181.9771667600244</v>
      </c>
      <c r="P53" s="20">
        <v>1220.3600979547421</v>
      </c>
      <c r="R53" s="37">
        <v>1.3028067578407438</v>
      </c>
      <c r="S53" s="18"/>
    </row>
    <row r="54" spans="1:22" x14ac:dyDescent="0.2">
      <c r="A54" s="3" t="s">
        <v>76</v>
      </c>
      <c r="B54" s="1" t="s">
        <v>62</v>
      </c>
      <c r="C54" s="1" t="s">
        <v>104</v>
      </c>
      <c r="D54" s="8" t="s">
        <v>169</v>
      </c>
      <c r="E54" s="21">
        <v>1.5</v>
      </c>
      <c r="F54" s="20">
        <v>883.43141316539175</v>
      </c>
      <c r="G54" s="20">
        <v>12.646856926651548</v>
      </c>
      <c r="H54" s="20">
        <v>935.86084778902125</v>
      </c>
      <c r="K54" s="20">
        <v>928.50105280132766</v>
      </c>
      <c r="L54" s="20">
        <v>928.65293589095359</v>
      </c>
      <c r="M54" s="36">
        <f t="shared" si="1"/>
        <v>-0.151883089625926</v>
      </c>
      <c r="N54" s="20">
        <v>1011.2334403071667</v>
      </c>
      <c r="O54" s="20">
        <v>1033.7402079340275</v>
      </c>
      <c r="P54" s="20">
        <v>986.39882428355327</v>
      </c>
      <c r="R54" s="37">
        <v>0.79679036618645482</v>
      </c>
      <c r="S54" s="18"/>
    </row>
    <row r="55" spans="1:22" x14ac:dyDescent="0.2">
      <c r="A55" s="3" t="s">
        <v>77</v>
      </c>
      <c r="B55" s="1" t="s">
        <v>62</v>
      </c>
      <c r="C55" s="1" t="s">
        <v>104</v>
      </c>
      <c r="D55" s="8" t="s">
        <v>169</v>
      </c>
      <c r="E55" s="21">
        <v>1.5</v>
      </c>
      <c r="F55" s="20">
        <v>1238.2338762946774</v>
      </c>
      <c r="G55" s="20">
        <v>16.685046033928526</v>
      </c>
      <c r="H55" s="20">
        <v>1239.6885579230761</v>
      </c>
      <c r="K55" s="20">
        <v>1106.5833579039938</v>
      </c>
      <c r="L55" s="20">
        <v>1097.1647776460197</v>
      </c>
      <c r="M55" s="36">
        <f t="shared" si="1"/>
        <v>9.4185802579740994</v>
      </c>
      <c r="N55" s="20">
        <v>1188.2870678738118</v>
      </c>
      <c r="O55" s="20">
        <v>1204.6175526102468</v>
      </c>
      <c r="P55" s="20">
        <v>1249.8814185571202</v>
      </c>
      <c r="R55" s="37">
        <v>1.0510466064796637</v>
      </c>
      <c r="S55" s="18"/>
    </row>
    <row r="56" spans="1:22" x14ac:dyDescent="0.2">
      <c r="A56" s="3" t="s">
        <v>78</v>
      </c>
      <c r="B56" s="1" t="s">
        <v>62</v>
      </c>
      <c r="C56" s="1" t="s">
        <v>104</v>
      </c>
      <c r="D56" s="8" t="s">
        <v>169</v>
      </c>
      <c r="E56" s="21">
        <v>1.5</v>
      </c>
      <c r="F56" s="20">
        <v>1253.7574711990565</v>
      </c>
      <c r="G56" s="20">
        <v>17.196193694724396</v>
      </c>
      <c r="H56" s="20">
        <v>1232.6457241181806</v>
      </c>
      <c r="K56" s="20">
        <v>1113.7181907363008</v>
      </c>
      <c r="L56" s="20">
        <v>1103.4285326222082</v>
      </c>
      <c r="M56" s="36">
        <f t="shared" si="1"/>
        <v>10.289658114092617</v>
      </c>
      <c r="N56" s="20">
        <v>1145.6488653216038</v>
      </c>
      <c r="O56" s="20">
        <v>1219.8366404972612</v>
      </c>
      <c r="P56" s="20">
        <v>1236.7701287069303</v>
      </c>
      <c r="R56" s="37">
        <v>1.029290588062258</v>
      </c>
      <c r="S56" s="18"/>
    </row>
    <row r="57" spans="1:22" x14ac:dyDescent="0.2">
      <c r="A57" s="3" t="s">
        <v>79</v>
      </c>
      <c r="B57" s="1" t="s">
        <v>62</v>
      </c>
      <c r="C57" s="1" t="s">
        <v>104</v>
      </c>
      <c r="D57" s="8" t="s">
        <v>169</v>
      </c>
      <c r="E57" s="21">
        <v>1.5</v>
      </c>
      <c r="F57" s="20">
        <v>1293.22638927151</v>
      </c>
      <c r="G57" s="20">
        <v>27.042987113068911</v>
      </c>
      <c r="H57" s="20">
        <v>1255.6881176384932</v>
      </c>
      <c r="K57" s="20">
        <v>1137.2784757541094</v>
      </c>
      <c r="L57" s="20">
        <v>1126.1879413676982</v>
      </c>
      <c r="M57" s="36">
        <f t="shared" si="1"/>
        <v>11.090534386411264</v>
      </c>
      <c r="N57" s="20">
        <v>1235.7323354774912</v>
      </c>
      <c r="O57" s="20">
        <v>1259.1200142290745</v>
      </c>
      <c r="P57" s="20">
        <v>1278.3607228535245</v>
      </c>
      <c r="R57" s="37">
        <v>0.97720259486270178</v>
      </c>
      <c r="S57" s="18"/>
    </row>
    <row r="58" spans="1:22" x14ac:dyDescent="0.2">
      <c r="A58" s="3" t="s">
        <v>36</v>
      </c>
      <c r="B58" s="1" t="s">
        <v>62</v>
      </c>
      <c r="C58" s="3" t="s">
        <v>102</v>
      </c>
      <c r="D58" s="8" t="s">
        <v>166</v>
      </c>
      <c r="E58" s="21">
        <v>1.5</v>
      </c>
      <c r="F58" s="28">
        <v>1113.6242556303901</v>
      </c>
      <c r="G58" s="20">
        <v>24.337481957371203</v>
      </c>
      <c r="H58" s="20">
        <v>1120.2829969551317</v>
      </c>
      <c r="I58" s="20">
        <v>1188.6392145223524</v>
      </c>
      <c r="K58" s="20">
        <v>1054.3016093594777</v>
      </c>
      <c r="L58" s="20">
        <v>1045.8539072908982</v>
      </c>
      <c r="M58" s="36">
        <f t="shared" si="1"/>
        <v>8.4477020685794741</v>
      </c>
      <c r="N58" s="20">
        <v>1175.4876581346775</v>
      </c>
      <c r="O58" s="20">
        <v>1129.3582426734299</v>
      </c>
      <c r="P58" s="20">
        <v>1049.7640605674792</v>
      </c>
      <c r="R58" s="37">
        <v>0.84399931597961264</v>
      </c>
      <c r="S58" s="42">
        <v>1.6121425863697194</v>
      </c>
      <c r="T58" s="41">
        <v>2.7346465948771779</v>
      </c>
      <c r="U58" s="41">
        <v>1.8158243284016446</v>
      </c>
      <c r="V58" s="41">
        <v>2.7708525529837953</v>
      </c>
    </row>
    <row r="59" spans="1:22" x14ac:dyDescent="0.2">
      <c r="A59" s="3" t="s">
        <v>37</v>
      </c>
      <c r="B59" s="1" t="s">
        <v>62</v>
      </c>
      <c r="C59" s="3" t="s">
        <v>102</v>
      </c>
      <c r="D59" s="8" t="s">
        <v>166</v>
      </c>
      <c r="E59" s="21">
        <v>1.5</v>
      </c>
      <c r="F59" s="28">
        <v>1311.0806510468115</v>
      </c>
      <c r="G59" s="20">
        <v>19.161355950526531</v>
      </c>
      <c r="H59" s="20">
        <v>1065.4259132882135</v>
      </c>
      <c r="I59" s="20">
        <v>1275.8560270193295</v>
      </c>
      <c r="K59" s="20">
        <v>1132.9298106336478</v>
      </c>
      <c r="L59" s="20">
        <v>1119.6785076808244</v>
      </c>
      <c r="M59" s="36">
        <f t="shared" si="1"/>
        <v>13.25130295282338</v>
      </c>
      <c r="N59" s="20">
        <v>1034.7012985254864</v>
      </c>
      <c r="O59" s="20">
        <v>1094.1710834754913</v>
      </c>
      <c r="P59" s="20">
        <v>1057.8568014251903</v>
      </c>
      <c r="R59" s="37">
        <v>0.81394301220546572</v>
      </c>
      <c r="S59" s="41">
        <v>-0.41432318383815125</v>
      </c>
      <c r="T59" s="41">
        <v>2.869844655364914</v>
      </c>
      <c r="U59" s="41">
        <v>-0.49959244046586482</v>
      </c>
      <c r="V59" s="41">
        <v>2.3928362771688345</v>
      </c>
    </row>
    <row r="60" spans="1:22" x14ac:dyDescent="0.2">
      <c r="A60" s="3" t="s">
        <v>38</v>
      </c>
      <c r="B60" s="1" t="s">
        <v>62</v>
      </c>
      <c r="C60" s="3" t="s">
        <v>102</v>
      </c>
      <c r="D60" s="8" t="s">
        <v>166</v>
      </c>
      <c r="E60" s="21">
        <v>1.5</v>
      </c>
      <c r="F60" s="28">
        <v>1048.7752798997449</v>
      </c>
      <c r="G60" s="20">
        <v>14.76580638227092</v>
      </c>
      <c r="H60" s="20">
        <v>1101.9705725032786</v>
      </c>
      <c r="I60" s="20">
        <v>1173.7807998021513</v>
      </c>
      <c r="K60" s="20">
        <v>1051.032860634959</v>
      </c>
      <c r="L60" s="20">
        <v>1044.2676666828943</v>
      </c>
      <c r="M60" s="36">
        <f t="shared" si="1"/>
        <v>6.765193952064692</v>
      </c>
      <c r="N60" s="20">
        <v>1125.3609012550996</v>
      </c>
      <c r="O60" s="20">
        <v>983.89330423508568</v>
      </c>
      <c r="P60" s="20">
        <v>962.0145886003188</v>
      </c>
      <c r="R60" s="37">
        <v>1.1809166641181776</v>
      </c>
      <c r="S60" s="41">
        <v>1.3039300799977487</v>
      </c>
      <c r="T60" s="41">
        <v>2.4829222395458315</v>
      </c>
      <c r="U60" s="41">
        <v>1.5944233212280976</v>
      </c>
      <c r="V60" s="41">
        <v>2.62161899804972</v>
      </c>
    </row>
    <row r="61" spans="1:22" x14ac:dyDescent="0.2">
      <c r="A61" s="3" t="s">
        <v>39</v>
      </c>
      <c r="B61" s="1" t="s">
        <v>62</v>
      </c>
      <c r="C61" s="3" t="s">
        <v>102</v>
      </c>
      <c r="D61" s="8" t="s">
        <v>166</v>
      </c>
      <c r="E61" s="21">
        <v>1.5</v>
      </c>
      <c r="F61" s="28">
        <v>1015.3385179364751</v>
      </c>
      <c r="G61" s="20">
        <v>15.546314893212177</v>
      </c>
      <c r="H61" s="20">
        <v>1079.4015485349278</v>
      </c>
      <c r="I61" s="20">
        <v>1143.9341084173186</v>
      </c>
      <c r="K61" s="20">
        <v>1064.1765336113342</v>
      </c>
      <c r="L61" s="20">
        <v>1059.6788409083204</v>
      </c>
      <c r="M61" s="36">
        <f t="shared" si="1"/>
        <v>4.497692703013854</v>
      </c>
      <c r="N61" s="20">
        <v>1151.0931509884917</v>
      </c>
      <c r="O61" s="20">
        <v>999.8195350540982</v>
      </c>
      <c r="P61" s="20">
        <v>1016.1068476857147</v>
      </c>
      <c r="R61" s="37">
        <v>1.2066998406638638</v>
      </c>
      <c r="S61" s="41">
        <v>0.7197455119689592</v>
      </c>
      <c r="T61" s="41">
        <v>1.768868975180736</v>
      </c>
      <c r="U61" s="41">
        <v>0.93909414411058112</v>
      </c>
      <c r="V61" s="41">
        <v>1.8971333393821603</v>
      </c>
    </row>
    <row r="62" spans="1:22" x14ac:dyDescent="0.2">
      <c r="A62" s="3" t="s">
        <v>40</v>
      </c>
      <c r="B62" s="2" t="s">
        <v>63</v>
      </c>
      <c r="C62" s="3" t="s">
        <v>102</v>
      </c>
      <c r="D62" s="8" t="s">
        <v>166</v>
      </c>
      <c r="E62" s="21">
        <v>1.5</v>
      </c>
      <c r="F62" s="28">
        <v>1113.2668842343346</v>
      </c>
      <c r="G62" s="20">
        <v>11.825491599282239</v>
      </c>
      <c r="H62" s="20">
        <v>1072.8592289685148</v>
      </c>
      <c r="I62" s="20">
        <v>1256.3678216514293</v>
      </c>
      <c r="K62" s="20">
        <v>1098.6139143514929</v>
      </c>
      <c r="L62" s="20">
        <v>1071.6741291030428</v>
      </c>
      <c r="M62" s="36">
        <f t="shared" si="1"/>
        <v>26.939785248450107</v>
      </c>
      <c r="N62" s="20">
        <v>1149.3935310957791</v>
      </c>
      <c r="O62" s="20">
        <v>1058.2503477711466</v>
      </c>
      <c r="P62" s="20">
        <v>1090.1015152687944</v>
      </c>
      <c r="R62" s="37">
        <v>0.68583646281826871</v>
      </c>
      <c r="S62" s="41">
        <v>8.8859253035232316E-2</v>
      </c>
      <c r="T62" s="41">
        <v>3.0052957980698927</v>
      </c>
      <c r="U62" s="41">
        <v>0.4664076405499557</v>
      </c>
      <c r="V62" s="41">
        <v>3.0065601873724686</v>
      </c>
    </row>
    <row r="63" spans="1:22" x14ac:dyDescent="0.2">
      <c r="A63" s="2" t="s">
        <v>59</v>
      </c>
      <c r="B63" s="2" t="s">
        <v>63</v>
      </c>
      <c r="C63" s="2" t="s">
        <v>80</v>
      </c>
      <c r="D63" s="6" t="s">
        <v>165</v>
      </c>
      <c r="E63" s="21">
        <v>4</v>
      </c>
      <c r="F63" s="20">
        <v>873.64959517356772</v>
      </c>
      <c r="G63" s="20">
        <v>18.92054327165139</v>
      </c>
      <c r="H63" s="20">
        <v>936.81674748792136</v>
      </c>
      <c r="O63" s="20">
        <v>891.13060995065553</v>
      </c>
      <c r="P63" s="20">
        <v>949.872894368679</v>
      </c>
      <c r="R63" s="37">
        <v>1.491170128223049</v>
      </c>
    </row>
    <row r="64" spans="1:22" x14ac:dyDescent="0.2">
      <c r="A64" s="2" t="s">
        <v>58</v>
      </c>
      <c r="B64" s="2" t="s">
        <v>63</v>
      </c>
      <c r="C64" s="2" t="s">
        <v>80</v>
      </c>
      <c r="D64" s="6" t="s">
        <v>165</v>
      </c>
      <c r="E64" s="21">
        <v>4</v>
      </c>
      <c r="F64" s="20">
        <v>879.38537836722946</v>
      </c>
      <c r="G64" s="20">
        <v>6.3190385236133055</v>
      </c>
      <c r="H64" s="20">
        <v>1288.5645460544856</v>
      </c>
      <c r="R64" s="37">
        <v>2.027256208050555</v>
      </c>
    </row>
    <row r="65" spans="1:22" x14ac:dyDescent="0.2">
      <c r="A65" s="2" t="s">
        <v>41</v>
      </c>
      <c r="B65" s="2" t="s">
        <v>63</v>
      </c>
      <c r="C65" s="2" t="s">
        <v>80</v>
      </c>
      <c r="D65" s="6" t="s">
        <v>165</v>
      </c>
      <c r="E65" s="21">
        <v>4</v>
      </c>
      <c r="F65" s="20">
        <v>995.1789796363563</v>
      </c>
      <c r="G65" s="20">
        <v>19.414840801688491</v>
      </c>
      <c r="H65" s="20">
        <v>952.66320518576538</v>
      </c>
      <c r="O65" s="20">
        <v>906.40609195269963</v>
      </c>
      <c r="P65" s="20">
        <v>919.00731859973303</v>
      </c>
      <c r="R65" s="37">
        <v>1.6611003681526306</v>
      </c>
    </row>
    <row r="66" spans="1:22" x14ac:dyDescent="0.2">
      <c r="A66" s="2" t="s">
        <v>42</v>
      </c>
      <c r="B66" s="2" t="s">
        <v>63</v>
      </c>
      <c r="C66" s="2" t="s">
        <v>80</v>
      </c>
      <c r="D66" s="6" t="s">
        <v>165</v>
      </c>
      <c r="E66" s="21">
        <v>4</v>
      </c>
      <c r="F66" s="20">
        <v>709.64401940802315</v>
      </c>
      <c r="G66" s="20">
        <v>21.305458108088352</v>
      </c>
      <c r="H66" s="20">
        <v>972.59125014289418</v>
      </c>
      <c r="R66" s="37">
        <v>1.3942513122912032</v>
      </c>
    </row>
    <row r="67" spans="1:22" x14ac:dyDescent="0.2">
      <c r="A67" s="2" t="s">
        <v>43</v>
      </c>
      <c r="B67" s="2" t="s">
        <v>63</v>
      </c>
      <c r="C67" s="2" t="s">
        <v>80</v>
      </c>
      <c r="D67" s="6" t="s">
        <v>165</v>
      </c>
      <c r="E67" s="21">
        <v>4</v>
      </c>
      <c r="F67" s="20">
        <v>1004.223960837853</v>
      </c>
      <c r="G67" s="20">
        <v>18.973802950345803</v>
      </c>
      <c r="H67" s="20">
        <v>955.94217067880606</v>
      </c>
      <c r="O67" s="20">
        <v>977.76892472404165</v>
      </c>
      <c r="P67" s="20">
        <v>1003.8134774958619</v>
      </c>
      <c r="R67" s="37">
        <v>1.1392601322368197</v>
      </c>
    </row>
    <row r="68" spans="1:22" x14ac:dyDescent="0.2">
      <c r="A68" s="2" t="s">
        <v>44</v>
      </c>
      <c r="B68" s="2" t="s">
        <v>63</v>
      </c>
      <c r="C68" s="2" t="s">
        <v>80</v>
      </c>
      <c r="D68" s="6" t="s">
        <v>165</v>
      </c>
      <c r="E68" s="21">
        <v>4</v>
      </c>
      <c r="F68" s="20">
        <v>852.42341045987962</v>
      </c>
      <c r="G68" s="20">
        <v>14.926003705319118</v>
      </c>
      <c r="H68" s="20">
        <v>1008.5906261164583</v>
      </c>
      <c r="O68" s="20">
        <v>934.4855291733179</v>
      </c>
      <c r="P68" s="20">
        <v>959.92752963919952</v>
      </c>
      <c r="R68" s="37">
        <v>1.4132323096243744</v>
      </c>
    </row>
    <row r="69" spans="1:22" x14ac:dyDescent="0.2">
      <c r="A69" s="2" t="s">
        <v>45</v>
      </c>
      <c r="B69" s="2" t="s">
        <v>63</v>
      </c>
      <c r="C69" s="2" t="s">
        <v>80</v>
      </c>
      <c r="D69" s="6" t="s">
        <v>165</v>
      </c>
      <c r="E69" s="21">
        <v>4</v>
      </c>
      <c r="F69" s="20">
        <v>796.65727837320912</v>
      </c>
      <c r="G69" s="20">
        <v>18.029575191879015</v>
      </c>
      <c r="H69" s="20">
        <v>984.02881405693768</v>
      </c>
      <c r="O69" s="20">
        <v>897.63241024876766</v>
      </c>
      <c r="P69" s="20">
        <v>930.4286223385966</v>
      </c>
      <c r="R69" s="37">
        <v>1.0868150677895516</v>
      </c>
    </row>
    <row r="70" spans="1:22" x14ac:dyDescent="0.2">
      <c r="A70" s="1" t="s">
        <v>46</v>
      </c>
      <c r="B70" s="2" t="s">
        <v>63</v>
      </c>
      <c r="C70" s="2" t="s">
        <v>80</v>
      </c>
      <c r="D70" s="6" t="s">
        <v>165</v>
      </c>
      <c r="E70" s="24">
        <v>4</v>
      </c>
      <c r="F70" s="25">
        <v>895.8773616044781</v>
      </c>
      <c r="G70" s="20">
        <v>18.136475365721552</v>
      </c>
      <c r="H70" s="20">
        <v>1064.3285218555329</v>
      </c>
      <c r="O70" s="25">
        <v>1004.0800605592424</v>
      </c>
      <c r="P70" s="25">
        <v>1055.9127785793523</v>
      </c>
      <c r="R70" s="37">
        <v>0.94394391686909684</v>
      </c>
    </row>
    <row r="71" spans="1:22" x14ac:dyDescent="0.2">
      <c r="A71" s="1" t="s">
        <v>89</v>
      </c>
      <c r="B71" s="2" t="s">
        <v>63</v>
      </c>
      <c r="C71" s="2" t="s">
        <v>101</v>
      </c>
      <c r="D71" s="6" t="s">
        <v>164</v>
      </c>
      <c r="E71" s="21">
        <v>1.5</v>
      </c>
      <c r="F71" s="25"/>
      <c r="G71" s="25"/>
      <c r="H71" s="25">
        <v>827.37929778802379</v>
      </c>
      <c r="I71" s="25">
        <v>902.65307109577395</v>
      </c>
      <c r="J71" s="25"/>
      <c r="K71" s="25">
        <v>886.89069609706894</v>
      </c>
      <c r="L71" s="25">
        <v>888.47650235645096</v>
      </c>
      <c r="M71" s="36">
        <f t="shared" ref="M71:M111" si="2">K71-L71</f>
        <v>-1.585806259382025</v>
      </c>
      <c r="N71" s="25">
        <v>1113.0515201569565</v>
      </c>
      <c r="O71" s="25"/>
      <c r="P71" s="25"/>
      <c r="R71" s="37">
        <v>0.88476179436251667</v>
      </c>
      <c r="S71" s="37">
        <v>1.3536754006147251</v>
      </c>
      <c r="T71" s="37">
        <v>2.3784050026516006</v>
      </c>
      <c r="U71" s="37">
        <v>0.18324412189485373</v>
      </c>
      <c r="V71" s="37">
        <v>1.8421662703920205</v>
      </c>
    </row>
    <row r="72" spans="1:22" x14ac:dyDescent="0.2">
      <c r="A72" s="1" t="s">
        <v>90</v>
      </c>
      <c r="B72" s="2" t="s">
        <v>63</v>
      </c>
      <c r="C72" s="2" t="s">
        <v>101</v>
      </c>
      <c r="D72" s="6" t="s">
        <v>164</v>
      </c>
      <c r="E72" s="21">
        <v>1.5</v>
      </c>
      <c r="F72" s="25"/>
      <c r="G72" s="25"/>
      <c r="H72" s="25">
        <v>901.91638245398201</v>
      </c>
      <c r="I72" s="25">
        <v>1029.2204662202362</v>
      </c>
      <c r="J72" s="25"/>
      <c r="K72" s="25">
        <v>980.07347830686194</v>
      </c>
      <c r="L72" s="25">
        <v>979.42536156253732</v>
      </c>
      <c r="M72" s="36">
        <f t="shared" si="2"/>
        <v>0.64811674432462496</v>
      </c>
      <c r="N72" s="25">
        <v>888.86402859944167</v>
      </c>
      <c r="O72" s="25"/>
      <c r="P72" s="25"/>
      <c r="R72" s="37">
        <v>1.1416354663851767</v>
      </c>
      <c r="S72" s="37">
        <v>0.18293186893927188</v>
      </c>
      <c r="T72" s="37">
        <v>1.6792030649237215</v>
      </c>
      <c r="U72" s="41">
        <v>-0.46867811535374237</v>
      </c>
      <c r="V72" s="37">
        <v>1.9035907673257775</v>
      </c>
    </row>
    <row r="73" spans="1:22" x14ac:dyDescent="0.2">
      <c r="A73" s="1" t="s">
        <v>91</v>
      </c>
      <c r="B73" s="2" t="s">
        <v>63</v>
      </c>
      <c r="C73" s="2" t="s">
        <v>101</v>
      </c>
      <c r="D73" s="6" t="s">
        <v>164</v>
      </c>
      <c r="E73" s="21">
        <v>1.5</v>
      </c>
      <c r="F73" s="25"/>
      <c r="G73" s="25"/>
      <c r="H73" s="25">
        <v>987.47678904249017</v>
      </c>
      <c r="I73" s="25">
        <v>1045.1359821794117</v>
      </c>
      <c r="J73" s="25"/>
      <c r="K73" s="25">
        <v>977.64067817080877</v>
      </c>
      <c r="L73" s="25">
        <v>973.72166787905121</v>
      </c>
      <c r="M73" s="36">
        <f t="shared" si="2"/>
        <v>3.9190102917575587</v>
      </c>
      <c r="N73" s="25">
        <v>1050.0301232308248</v>
      </c>
      <c r="O73" s="25"/>
      <c r="P73" s="25"/>
      <c r="R73" s="37">
        <v>1.0207454190843703</v>
      </c>
      <c r="S73" s="37">
        <v>1.1755393836119477</v>
      </c>
      <c r="T73" s="37">
        <v>1.852642004877844</v>
      </c>
      <c r="U73" s="37">
        <v>1.2884580122853406</v>
      </c>
      <c r="V73" s="37">
        <v>2.2779013128473249</v>
      </c>
    </row>
    <row r="74" spans="1:22" x14ac:dyDescent="0.2">
      <c r="A74" s="1" t="s">
        <v>92</v>
      </c>
      <c r="B74" s="2" t="s">
        <v>63</v>
      </c>
      <c r="C74" s="2" t="s">
        <v>101</v>
      </c>
      <c r="D74" s="6" t="s">
        <v>164</v>
      </c>
      <c r="E74" s="21">
        <v>1.5</v>
      </c>
      <c r="F74" s="25"/>
      <c r="G74" s="25"/>
      <c r="H74" s="25">
        <v>914.42299279808014</v>
      </c>
      <c r="I74" s="25">
        <v>1005.8479033010145</v>
      </c>
      <c r="J74" s="25"/>
      <c r="K74" s="25">
        <v>957.3163880584616</v>
      </c>
      <c r="L74" s="25">
        <v>956.15024185473658</v>
      </c>
      <c r="M74" s="36">
        <f t="shared" si="2"/>
        <v>1.1661462037250203</v>
      </c>
      <c r="N74" s="25">
        <v>1059.7359351685141</v>
      </c>
      <c r="O74" s="25"/>
      <c r="P74" s="25"/>
      <c r="R74" s="37">
        <v>0.78971339345890224</v>
      </c>
      <c r="S74" s="37">
        <v>0.90497524637984395</v>
      </c>
      <c r="T74" s="37">
        <v>2.0238096094405065</v>
      </c>
      <c r="U74" s="37">
        <v>0.33282016662824165</v>
      </c>
      <c r="V74" s="37">
        <v>2.0493561677051462</v>
      </c>
    </row>
    <row r="75" spans="1:22" x14ac:dyDescent="0.2">
      <c r="A75" s="1" t="s">
        <v>93</v>
      </c>
      <c r="B75" s="2" t="s">
        <v>63</v>
      </c>
      <c r="C75" s="2" t="s">
        <v>101</v>
      </c>
      <c r="D75" s="6" t="s">
        <v>164</v>
      </c>
      <c r="E75" s="21">
        <v>1.5</v>
      </c>
      <c r="F75" s="25"/>
      <c r="G75" s="25"/>
      <c r="H75" s="25">
        <v>864.03457014553976</v>
      </c>
      <c r="I75" s="25">
        <v>914.3928081142077</v>
      </c>
      <c r="J75" s="25"/>
      <c r="K75" s="25">
        <v>889.38874860771784</v>
      </c>
      <c r="L75" s="25">
        <v>889.02551857264143</v>
      </c>
      <c r="M75" s="36">
        <f t="shared" si="2"/>
        <v>0.36323003507641261</v>
      </c>
      <c r="N75" s="25">
        <v>989.65448516773188</v>
      </c>
      <c r="O75" s="25"/>
      <c r="P75" s="25"/>
      <c r="R75" s="37">
        <v>0.92887481788550907</v>
      </c>
      <c r="S75" s="37">
        <v>1.712088386571273</v>
      </c>
      <c r="T75" s="37">
        <v>2.3914079013705787</v>
      </c>
      <c r="U75" s="37">
        <v>0.98714898490962621</v>
      </c>
      <c r="V75" s="37">
        <v>2.0505787479480868</v>
      </c>
    </row>
    <row r="76" spans="1:22" x14ac:dyDescent="0.2">
      <c r="A76" s="1" t="s">
        <v>94</v>
      </c>
      <c r="B76" s="2" t="s">
        <v>63</v>
      </c>
      <c r="C76" s="2" t="s">
        <v>101</v>
      </c>
      <c r="D76" s="6" t="s">
        <v>164</v>
      </c>
      <c r="E76" s="21">
        <v>1.5</v>
      </c>
      <c r="F76" s="25"/>
      <c r="G76" s="25"/>
      <c r="H76" s="25">
        <v>954.91466261389598</v>
      </c>
      <c r="I76" s="25">
        <v>1045.1206873396377</v>
      </c>
      <c r="J76" s="25"/>
      <c r="K76" s="25">
        <v>985.35285366341782</v>
      </c>
      <c r="L76" s="25">
        <v>983.10300662724399</v>
      </c>
      <c r="M76" s="36">
        <f t="shared" si="2"/>
        <v>2.2498470361738327</v>
      </c>
      <c r="N76" s="25">
        <v>1156.6622676857851</v>
      </c>
      <c r="O76" s="25"/>
      <c r="P76" s="25"/>
      <c r="R76" s="37">
        <v>0.7915251018326378</v>
      </c>
      <c r="S76" s="37">
        <v>0.73704991854610591</v>
      </c>
      <c r="T76" s="37">
        <v>1.7922348062276185</v>
      </c>
      <c r="U76" s="37">
        <v>0.48067800829251556</v>
      </c>
      <c r="V76" s="37">
        <v>2.0696938677993453</v>
      </c>
    </row>
    <row r="77" spans="1:22" x14ac:dyDescent="0.2">
      <c r="A77" s="1" t="s">
        <v>95</v>
      </c>
      <c r="B77" s="2" t="s">
        <v>63</v>
      </c>
      <c r="C77" s="2" t="s">
        <v>101</v>
      </c>
      <c r="D77" s="6" t="s">
        <v>164</v>
      </c>
      <c r="E77" s="21">
        <v>1.5</v>
      </c>
      <c r="F77" s="25"/>
      <c r="G77" s="25"/>
      <c r="H77" s="25">
        <v>919.5433516333959</v>
      </c>
      <c r="I77" s="25">
        <v>1013.2314734652904</v>
      </c>
      <c r="J77" s="25"/>
      <c r="K77" s="25">
        <v>974.88771243492238</v>
      </c>
      <c r="L77" s="25">
        <v>970.98646307520403</v>
      </c>
      <c r="M77" s="36">
        <f t="shared" si="2"/>
        <v>3.9012493597183493</v>
      </c>
      <c r="N77" s="25">
        <v>1199.5079440886507</v>
      </c>
      <c r="O77" s="25"/>
      <c r="P77" s="25"/>
      <c r="R77" s="37">
        <v>1.0380106491474073</v>
      </c>
      <c r="S77" s="37">
        <v>0.47304406587660353</v>
      </c>
      <c r="T77" s="37">
        <v>1.5807239039971395</v>
      </c>
      <c r="U77" s="37">
        <v>6.2668134020348959E-2</v>
      </c>
      <c r="V77" s="37">
        <v>1.8040919319784361</v>
      </c>
    </row>
    <row r="78" spans="1:22" x14ac:dyDescent="0.2">
      <c r="A78" s="1" t="s">
        <v>96</v>
      </c>
      <c r="B78" s="2" t="s">
        <v>63</v>
      </c>
      <c r="C78" s="2" t="s">
        <v>101</v>
      </c>
      <c r="D78" s="6" t="s">
        <v>164</v>
      </c>
      <c r="E78" s="21">
        <v>1.5</v>
      </c>
      <c r="F78" s="25"/>
      <c r="G78" s="25"/>
      <c r="H78" s="25">
        <v>985.14514000286442</v>
      </c>
      <c r="I78" s="25">
        <v>1019.0012385036147</v>
      </c>
      <c r="J78" s="25"/>
      <c r="K78" s="25">
        <v>969.76388241478594</v>
      </c>
      <c r="L78" s="25">
        <v>966.72689982523571</v>
      </c>
      <c r="M78" s="36">
        <f t="shared" si="2"/>
        <v>3.0369825895502345</v>
      </c>
      <c r="N78" s="25">
        <v>1083.1619336222639</v>
      </c>
      <c r="O78" s="25"/>
      <c r="P78" s="25"/>
      <c r="R78" s="37">
        <v>0.92028363563000448</v>
      </c>
      <c r="S78" s="37">
        <v>1.3396159028973595</v>
      </c>
      <c r="T78" s="37">
        <v>1.7423457779166331</v>
      </c>
      <c r="U78" s="37">
        <v>1.4177357738363212</v>
      </c>
      <c r="V78" s="37">
        <v>2.0115622536857236</v>
      </c>
    </row>
    <row r="79" spans="1:22" x14ac:dyDescent="0.2">
      <c r="A79" s="1" t="s">
        <v>97</v>
      </c>
      <c r="B79" s="2" t="s">
        <v>63</v>
      </c>
      <c r="C79" s="2" t="s">
        <v>101</v>
      </c>
      <c r="D79" s="6" t="s">
        <v>164</v>
      </c>
      <c r="E79" s="21">
        <v>1.5</v>
      </c>
      <c r="F79" s="25"/>
      <c r="G79" s="25"/>
      <c r="H79" s="25">
        <v>1054.4592139600413</v>
      </c>
      <c r="I79" s="25">
        <v>1081.8449366083787</v>
      </c>
      <c r="J79" s="25"/>
      <c r="K79" s="25">
        <v>1004.1840990059684</v>
      </c>
      <c r="L79" s="25">
        <v>998.22909382165926</v>
      </c>
      <c r="M79" s="36">
        <f t="shared" si="2"/>
        <v>5.9550051843091296</v>
      </c>
      <c r="N79" s="25">
        <v>1166.9735290321646</v>
      </c>
      <c r="O79" s="25"/>
      <c r="P79" s="25"/>
      <c r="R79" s="37">
        <v>1.0849815419819406</v>
      </c>
      <c r="S79" s="37">
        <v>1.3746598074278276</v>
      </c>
      <c r="T79" s="37">
        <v>1.8428077000427923</v>
      </c>
      <c r="U79" s="37">
        <v>1.8533829665621813</v>
      </c>
      <c r="V79" s="37">
        <v>2.287527955725118</v>
      </c>
    </row>
    <row r="80" spans="1:22" x14ac:dyDescent="0.2">
      <c r="A80" s="1" t="s">
        <v>98</v>
      </c>
      <c r="B80" s="2" t="s">
        <v>63</v>
      </c>
      <c r="C80" s="2" t="s">
        <v>101</v>
      </c>
      <c r="D80" s="6" t="s">
        <v>164</v>
      </c>
      <c r="E80" s="21">
        <v>1.5</v>
      </c>
      <c r="F80" s="25"/>
      <c r="G80" s="25"/>
      <c r="H80" s="25">
        <v>979.08607953940293</v>
      </c>
      <c r="I80" s="25">
        <v>1013.060681375964</v>
      </c>
      <c r="J80" s="25"/>
      <c r="K80" s="25">
        <v>975.28699924443436</v>
      </c>
      <c r="L80" s="25">
        <v>971.40765781792356</v>
      </c>
      <c r="M80" s="36">
        <f t="shared" si="2"/>
        <v>3.8793414265107913</v>
      </c>
      <c r="N80" s="25">
        <v>1026.5367763618906</v>
      </c>
      <c r="O80" s="25"/>
      <c r="P80" s="25"/>
      <c r="R80" s="37">
        <v>1.0098110044833435</v>
      </c>
      <c r="S80" s="37">
        <v>1.1671869615387593</v>
      </c>
      <c r="T80" s="37">
        <v>1.5686037457641508</v>
      </c>
      <c r="U80" s="37">
        <v>1.1911706209417883</v>
      </c>
      <c r="V80" s="37">
        <v>1.7927245515317782</v>
      </c>
    </row>
    <row r="81" spans="1:22" x14ac:dyDescent="0.2">
      <c r="A81" s="1" t="s">
        <v>99</v>
      </c>
      <c r="B81" s="2" t="s">
        <v>63</v>
      </c>
      <c r="C81" s="2" t="s">
        <v>101</v>
      </c>
      <c r="D81" s="6" t="s">
        <v>164</v>
      </c>
      <c r="E81" s="21">
        <v>1.5</v>
      </c>
      <c r="F81" s="25"/>
      <c r="G81" s="25"/>
      <c r="H81" s="25">
        <v>993.65950373010685</v>
      </c>
      <c r="I81" s="25">
        <v>1057.7218731839475</v>
      </c>
      <c r="J81" s="25"/>
      <c r="K81" s="25">
        <v>987.79799385106753</v>
      </c>
      <c r="L81" s="25">
        <v>982.42997233246592</v>
      </c>
      <c r="M81" s="36">
        <f t="shared" si="2"/>
        <v>5.3680215186016085</v>
      </c>
      <c r="N81" s="25">
        <v>1113.4033964844598</v>
      </c>
      <c r="O81" s="25"/>
      <c r="P81" s="25"/>
      <c r="R81" s="37">
        <v>1.0404739460903036</v>
      </c>
      <c r="S81" s="37">
        <v>0.91726611256580493</v>
      </c>
      <c r="T81" s="37">
        <v>1.7446442008179222</v>
      </c>
      <c r="U81" s="37">
        <v>1.1865044379984018</v>
      </c>
      <c r="V81" s="37">
        <v>2.2701168120537796</v>
      </c>
    </row>
    <row r="82" spans="1:22" x14ac:dyDescent="0.2">
      <c r="A82" s="1" t="s">
        <v>100</v>
      </c>
      <c r="B82" s="2" t="s">
        <v>63</v>
      </c>
      <c r="C82" s="2" t="s">
        <v>101</v>
      </c>
      <c r="D82" s="6" t="s">
        <v>164</v>
      </c>
      <c r="E82" s="21">
        <v>1.5</v>
      </c>
      <c r="F82" s="25"/>
      <c r="G82" s="25"/>
      <c r="H82" s="25">
        <v>1047.0739318376</v>
      </c>
      <c r="I82" s="25">
        <v>1079.5960612540052</v>
      </c>
      <c r="J82" s="25"/>
      <c r="K82" s="25">
        <v>1004.0838907758966</v>
      </c>
      <c r="L82" s="25">
        <v>999.22069437967662</v>
      </c>
      <c r="M82" s="36">
        <f t="shared" si="2"/>
        <v>4.8631963962200189</v>
      </c>
      <c r="N82" s="25">
        <v>1091.5312023423544</v>
      </c>
      <c r="O82" s="25"/>
      <c r="P82" s="25"/>
      <c r="R82" s="37">
        <v>1.2552506231740144</v>
      </c>
      <c r="S82" s="37">
        <v>1.2393101035473426</v>
      </c>
      <c r="T82" s="37">
        <v>1.795038600818565</v>
      </c>
      <c r="U82" s="37">
        <v>1.7187339788103906</v>
      </c>
      <c r="V82" s="37">
        <v>2.2380522613449427</v>
      </c>
    </row>
    <row r="83" spans="1:22" x14ac:dyDescent="0.2">
      <c r="A83" s="1" t="s">
        <v>105</v>
      </c>
      <c r="B83" s="2" t="s">
        <v>127</v>
      </c>
      <c r="C83" s="2" t="s">
        <v>126</v>
      </c>
      <c r="D83" s="6" t="s">
        <v>163</v>
      </c>
      <c r="E83" s="21">
        <v>1.5</v>
      </c>
      <c r="F83" s="25">
        <v>1146.5</v>
      </c>
      <c r="G83" s="25">
        <v>45.9</v>
      </c>
      <c r="H83" s="25">
        <v>1114.0639016893983</v>
      </c>
      <c r="I83" s="25">
        <v>1039.1196412962781</v>
      </c>
      <c r="J83" s="25"/>
      <c r="K83" s="25">
        <v>1057.7529451486603</v>
      </c>
      <c r="L83" s="25">
        <v>1050.1030819962909</v>
      </c>
      <c r="M83" s="36">
        <f t="shared" si="2"/>
        <v>7.6498631523693348</v>
      </c>
      <c r="N83" s="25">
        <v>1065.5616085440256</v>
      </c>
      <c r="O83" s="20">
        <v>1116.6767896673982</v>
      </c>
      <c r="P83" s="20">
        <v>1124.0200298165603</v>
      </c>
      <c r="R83" s="37">
        <v>0.78450068169728016</v>
      </c>
      <c r="S83" s="37">
        <v>1.4823433070417251</v>
      </c>
      <c r="T83" s="37">
        <v>0.25043084657740483</v>
      </c>
      <c r="U83" s="37">
        <v>1.6389543669350477</v>
      </c>
      <c r="V83" s="37">
        <v>0.46489412507893035</v>
      </c>
    </row>
    <row r="84" spans="1:22" x14ac:dyDescent="0.2">
      <c r="A84" s="1" t="s">
        <v>106</v>
      </c>
      <c r="B84" s="2" t="s">
        <v>127</v>
      </c>
      <c r="C84" s="2" t="s">
        <v>126</v>
      </c>
      <c r="D84" s="6" t="s">
        <v>163</v>
      </c>
      <c r="E84" s="21">
        <v>1.5</v>
      </c>
      <c r="F84" s="25">
        <v>1135.5</v>
      </c>
      <c r="G84" s="25">
        <v>35.4</v>
      </c>
      <c r="H84" s="25">
        <v>1121.6957598369963</v>
      </c>
      <c r="I84" s="25">
        <v>1062.6700898276399</v>
      </c>
      <c r="J84" s="25"/>
      <c r="K84" s="25">
        <v>1046.186636767344</v>
      </c>
      <c r="L84" s="25">
        <v>1036.8565535943362</v>
      </c>
      <c r="M84" s="36">
        <f t="shared" si="2"/>
        <v>9.3300831730077789</v>
      </c>
      <c r="N84" s="25">
        <v>1008.1356459798468</v>
      </c>
      <c r="O84" s="20">
        <v>1136.1721016384945</v>
      </c>
      <c r="P84" s="20">
        <v>1132.0871710670619</v>
      </c>
      <c r="R84" s="37">
        <v>0.94414761451623086</v>
      </c>
      <c r="S84" s="37">
        <v>1.7137877809233077</v>
      </c>
      <c r="T84" s="37">
        <v>0.73905523325981293</v>
      </c>
      <c r="U84" s="37">
        <v>2.0231688740411466</v>
      </c>
      <c r="V84" s="37">
        <v>1.1197580580139541</v>
      </c>
    </row>
    <row r="85" spans="1:22" x14ac:dyDescent="0.2">
      <c r="A85" s="1" t="s">
        <v>107</v>
      </c>
      <c r="B85" s="2" t="s">
        <v>127</v>
      </c>
      <c r="C85" s="2" t="s">
        <v>126</v>
      </c>
      <c r="D85" s="6" t="s">
        <v>163</v>
      </c>
      <c r="E85" s="21">
        <v>1.5</v>
      </c>
      <c r="F85" s="25">
        <v>1162.4000000000001</v>
      </c>
      <c r="G85" s="25">
        <v>39.6</v>
      </c>
      <c r="H85" s="25">
        <v>1119.2321930683156</v>
      </c>
      <c r="I85" s="25">
        <v>1072.320363588688</v>
      </c>
      <c r="J85" s="25"/>
      <c r="K85" s="25">
        <v>1049.6597324637019</v>
      </c>
      <c r="L85" s="25">
        <v>1039.0550015862732</v>
      </c>
      <c r="M85" s="36">
        <f t="shared" si="2"/>
        <v>10.604730877428665</v>
      </c>
      <c r="N85" s="25">
        <v>1086.7681436581443</v>
      </c>
      <c r="O85" s="20">
        <v>1178.4329684704796</v>
      </c>
      <c r="P85" s="20">
        <v>1176.0558435822945</v>
      </c>
      <c r="R85" s="37">
        <v>0.92939678204120812</v>
      </c>
      <c r="S85" s="37">
        <v>1.6445177020417485</v>
      </c>
      <c r="T85" s="37">
        <v>0.87079271506311695</v>
      </c>
      <c r="U85" s="37">
        <v>1.9327326308393586</v>
      </c>
      <c r="V85" s="37">
        <v>1.2186174082176118</v>
      </c>
    </row>
    <row r="86" spans="1:22" x14ac:dyDescent="0.2">
      <c r="A86" s="1" t="s">
        <v>108</v>
      </c>
      <c r="B86" s="2" t="s">
        <v>127</v>
      </c>
      <c r="C86" s="2" t="s">
        <v>126</v>
      </c>
      <c r="D86" s="6" t="s">
        <v>163</v>
      </c>
      <c r="E86" s="21">
        <v>1.5</v>
      </c>
      <c r="F86" s="25">
        <v>1155.3</v>
      </c>
      <c r="G86" s="25">
        <v>21.1</v>
      </c>
      <c r="H86" s="25">
        <v>1110.4367484530458</v>
      </c>
      <c r="I86" s="25">
        <v>1058.0568039109162</v>
      </c>
      <c r="J86" s="25"/>
      <c r="K86" s="25">
        <v>1047.2387984771485</v>
      </c>
      <c r="L86" s="25">
        <v>1039.8721906131452</v>
      </c>
      <c r="M86" s="36">
        <f t="shared" si="2"/>
        <v>7.3666078640032993</v>
      </c>
      <c r="N86" s="25">
        <v>1034.2578258808539</v>
      </c>
      <c r="O86" s="20">
        <v>1136.9537724510744</v>
      </c>
      <c r="P86" s="20">
        <v>1129.4729660001672</v>
      </c>
      <c r="R86" s="37">
        <v>0.78087783052203075</v>
      </c>
      <c r="S86" s="37">
        <v>1.5961137064062707</v>
      </c>
      <c r="T86" s="37">
        <v>0.72854275081240094</v>
      </c>
      <c r="U86" s="37">
        <v>1.8051619808848336</v>
      </c>
      <c r="V86" s="37">
        <v>0.99414185924761489</v>
      </c>
    </row>
    <row r="87" spans="1:22" x14ac:dyDescent="0.2">
      <c r="A87" s="1" t="s">
        <v>109</v>
      </c>
      <c r="B87" s="2" t="s">
        <v>127</v>
      </c>
      <c r="C87" s="2" t="s">
        <v>126</v>
      </c>
      <c r="D87" s="6" t="s">
        <v>163</v>
      </c>
      <c r="E87" s="21">
        <v>1.5</v>
      </c>
      <c r="F87" s="25"/>
      <c r="G87" s="25"/>
      <c r="H87" s="25"/>
      <c r="I87" s="25">
        <v>1046.8604029211983</v>
      </c>
      <c r="J87" s="25"/>
      <c r="K87" s="25">
        <v>1055.1127170541658</v>
      </c>
      <c r="L87" s="25">
        <v>1040.8002705019753</v>
      </c>
      <c r="M87" s="36">
        <f t="shared" si="2"/>
        <v>14.312446552190522</v>
      </c>
      <c r="N87" s="25">
        <v>1109.765878266342</v>
      </c>
      <c r="V87" s="37">
        <v>0.74644804300077994</v>
      </c>
    </row>
    <row r="88" spans="1:22" x14ac:dyDescent="0.2">
      <c r="A88" s="1" t="s">
        <v>110</v>
      </c>
      <c r="B88" s="2" t="s">
        <v>127</v>
      </c>
      <c r="C88" s="2" t="s">
        <v>126</v>
      </c>
      <c r="D88" s="6" t="s">
        <v>163</v>
      </c>
      <c r="E88" s="21">
        <v>1.5</v>
      </c>
      <c r="F88" s="25">
        <v>1159</v>
      </c>
      <c r="G88" s="25">
        <v>33.799999999999997</v>
      </c>
      <c r="H88" s="25">
        <v>1116.8821313974563</v>
      </c>
      <c r="I88" s="25">
        <v>1024.3455963200263</v>
      </c>
      <c r="J88" s="25"/>
      <c r="K88" s="25">
        <v>1041.920382420785</v>
      </c>
      <c r="L88" s="25">
        <v>1032.2925064104802</v>
      </c>
      <c r="M88" s="36">
        <f t="shared" si="2"/>
        <v>9.6278760103048171</v>
      </c>
      <c r="N88" s="25">
        <v>1062.3975785206944</v>
      </c>
      <c r="O88" s="20">
        <v>1164.0627146754632</v>
      </c>
      <c r="P88" s="20">
        <v>1136.7882574956727</v>
      </c>
      <c r="R88" s="37">
        <v>1.0206502678221496</v>
      </c>
      <c r="S88" s="37">
        <v>1.6672846790264337</v>
      </c>
      <c r="T88" s="37">
        <v>0.13696752166830503</v>
      </c>
      <c r="U88" s="37">
        <v>2.0445772979944117</v>
      </c>
      <c r="V88" s="37">
        <v>0.58138630364004773</v>
      </c>
    </row>
    <row r="89" spans="1:22" x14ac:dyDescent="0.2">
      <c r="A89" s="1" t="s">
        <v>111</v>
      </c>
      <c r="B89" s="2" t="s">
        <v>127</v>
      </c>
      <c r="C89" s="2" t="s">
        <v>126</v>
      </c>
      <c r="D89" s="6" t="s">
        <v>163</v>
      </c>
      <c r="E89" s="21">
        <v>1.5</v>
      </c>
      <c r="F89" s="25">
        <v>1144.2</v>
      </c>
      <c r="G89" s="25">
        <v>50</v>
      </c>
      <c r="H89" s="25">
        <v>1120.093311601493</v>
      </c>
      <c r="I89" s="25">
        <v>1075.6561227306961</v>
      </c>
      <c r="J89" s="25"/>
      <c r="K89" s="25">
        <v>1046.8792449524524</v>
      </c>
      <c r="L89" s="25">
        <v>1034.3740800065107</v>
      </c>
      <c r="M89" s="36">
        <f t="shared" si="2"/>
        <v>12.505164945941715</v>
      </c>
      <c r="N89" s="25">
        <v>1077.8498422930211</v>
      </c>
      <c r="O89" s="20">
        <v>1115.6888013318694</v>
      </c>
      <c r="P89" s="20">
        <v>1132.8981382552931</v>
      </c>
      <c r="R89" s="37">
        <v>0.95473927422342886</v>
      </c>
      <c r="S89" s="37">
        <v>1.675188410719554</v>
      </c>
      <c r="T89" s="37">
        <v>0.94175285558375332</v>
      </c>
      <c r="U89" s="37">
        <v>2.0293313789686289</v>
      </c>
      <c r="V89" s="37">
        <v>1.3549763519645679</v>
      </c>
    </row>
    <row r="90" spans="1:22" x14ac:dyDescent="0.2">
      <c r="A90" s="1" t="s">
        <v>112</v>
      </c>
      <c r="B90" s="2" t="s">
        <v>127</v>
      </c>
      <c r="C90" s="2" t="s">
        <v>126</v>
      </c>
      <c r="D90" s="6" t="s">
        <v>163</v>
      </c>
      <c r="E90" s="21">
        <v>1.5</v>
      </c>
      <c r="F90" s="25">
        <v>1161.5</v>
      </c>
      <c r="G90" s="25">
        <v>41.7</v>
      </c>
      <c r="H90" s="25">
        <v>1116.2025799806829</v>
      </c>
      <c r="I90" s="25">
        <v>1067.4151805163237</v>
      </c>
      <c r="J90" s="25"/>
      <c r="K90" s="25">
        <v>1053.8792277372879</v>
      </c>
      <c r="L90" s="25">
        <v>1042.9812806500033</v>
      </c>
      <c r="M90" s="36">
        <f t="shared" si="2"/>
        <v>10.897947087284592</v>
      </c>
      <c r="N90" s="25">
        <v>1099.5642320826719</v>
      </c>
      <c r="O90" s="20">
        <v>1086.7022298364705</v>
      </c>
      <c r="P90" s="20">
        <v>1125.4432128474425</v>
      </c>
      <c r="R90" s="37">
        <v>0.95753346687317809</v>
      </c>
      <c r="S90" s="37">
        <v>1.5045199199827439</v>
      </c>
      <c r="T90" s="37">
        <v>0.70302224645123701</v>
      </c>
      <c r="U90" s="37">
        <v>1.8030188872875907</v>
      </c>
      <c r="V90" s="37">
        <v>1.0560099805139567</v>
      </c>
    </row>
    <row r="91" spans="1:22" x14ac:dyDescent="0.2">
      <c r="A91" s="1" t="s">
        <v>113</v>
      </c>
      <c r="B91" s="2" t="s">
        <v>127</v>
      </c>
      <c r="C91" s="2" t="s">
        <v>126</v>
      </c>
      <c r="D91" s="6" t="s">
        <v>163</v>
      </c>
      <c r="E91" s="21">
        <v>1.5</v>
      </c>
      <c r="F91" s="25">
        <v>1174.4000000000001</v>
      </c>
      <c r="G91" s="25">
        <v>33</v>
      </c>
      <c r="H91" s="25">
        <v>1103.2742274896759</v>
      </c>
      <c r="I91" s="25">
        <v>1052.5734276225985</v>
      </c>
      <c r="J91" s="25"/>
      <c r="K91" s="25">
        <v>1047.1113211357806</v>
      </c>
      <c r="L91" s="25">
        <v>1038.2523857060726</v>
      </c>
      <c r="M91" s="36">
        <f t="shared" si="2"/>
        <v>8.8589354297080263</v>
      </c>
      <c r="N91" s="25">
        <v>1073.0308833088961</v>
      </c>
      <c r="O91" s="20">
        <v>1107.8909143300652</v>
      </c>
      <c r="P91" s="20">
        <v>1156.8826725231872</v>
      </c>
      <c r="R91" s="37">
        <v>0.85612754463023111</v>
      </c>
      <c r="S91" s="37">
        <v>1.4499012757265304</v>
      </c>
      <c r="T91" s="37">
        <v>0.61115794434049331</v>
      </c>
      <c r="U91" s="37">
        <v>1.7201930766644484</v>
      </c>
      <c r="V91" s="37">
        <v>0.9278229585147143</v>
      </c>
    </row>
    <row r="92" spans="1:22" x14ac:dyDescent="0.2">
      <c r="A92" s="1" t="s">
        <v>114</v>
      </c>
      <c r="B92" s="2" t="s">
        <v>127</v>
      </c>
      <c r="C92" s="2" t="s">
        <v>126</v>
      </c>
      <c r="D92" s="6" t="s">
        <v>163</v>
      </c>
      <c r="E92" s="21">
        <v>1.5</v>
      </c>
      <c r="F92" s="25">
        <v>1165.0999999999999</v>
      </c>
      <c r="G92" s="25">
        <v>33.4</v>
      </c>
      <c r="H92" s="25">
        <v>1122.054680732002</v>
      </c>
      <c r="I92" s="25">
        <v>1122.3450311087254</v>
      </c>
      <c r="J92" s="25"/>
      <c r="K92" s="25">
        <v>1067.6746327565938</v>
      </c>
      <c r="L92" s="25">
        <v>1053.8110179127727</v>
      </c>
      <c r="M92" s="36">
        <f t="shared" si="2"/>
        <v>13.863614843821097</v>
      </c>
      <c r="N92" s="25">
        <v>1024.8994320400384</v>
      </c>
      <c r="O92" s="20">
        <v>1119.6307155974314</v>
      </c>
      <c r="P92" s="20">
        <v>1140.2748318883203</v>
      </c>
      <c r="R92" s="37">
        <v>0.81878104389175843</v>
      </c>
      <c r="S92" s="37">
        <v>1.4036518537733556</v>
      </c>
      <c r="T92" s="37">
        <v>1.4083808398708229</v>
      </c>
      <c r="U92" s="37">
        <v>1.6439541668194426</v>
      </c>
      <c r="V92" s="37">
        <v>1.6482069642057251</v>
      </c>
    </row>
    <row r="93" spans="1:22" x14ac:dyDescent="0.2">
      <c r="A93" s="1" t="s">
        <v>115</v>
      </c>
      <c r="B93" s="2" t="s">
        <v>127</v>
      </c>
      <c r="C93" s="2" t="s">
        <v>126</v>
      </c>
      <c r="D93" s="6" t="s">
        <v>163</v>
      </c>
      <c r="E93" s="21">
        <v>1.5</v>
      </c>
      <c r="F93" s="25">
        <v>1146.3</v>
      </c>
      <c r="G93" s="25">
        <v>12.4</v>
      </c>
      <c r="H93" s="25">
        <v>1138.0357111070634</v>
      </c>
      <c r="I93" s="25">
        <v>1125.6802817673156</v>
      </c>
      <c r="J93" s="25"/>
      <c r="K93" s="25">
        <v>1070.9191613911121</v>
      </c>
      <c r="L93" s="25">
        <v>1056.117632144123</v>
      </c>
      <c r="M93" s="36">
        <f t="shared" si="2"/>
        <v>14.801529246989048</v>
      </c>
      <c r="N93" s="25">
        <v>1006.0013500442966</v>
      </c>
      <c r="O93" s="20">
        <v>1127.6479282670778</v>
      </c>
      <c r="P93" s="20">
        <v>1139.9521907152646</v>
      </c>
      <c r="R93" s="37">
        <v>0.8573664120636213</v>
      </c>
      <c r="S93" s="37">
        <v>1.5785430740609729</v>
      </c>
      <c r="T93" s="37">
        <v>1.3780557489216483</v>
      </c>
      <c r="U93" s="37">
        <v>1.8238529657518245</v>
      </c>
      <c r="V93" s="37">
        <v>1.64535751035997</v>
      </c>
    </row>
    <row r="94" spans="1:22" x14ac:dyDescent="0.2">
      <c r="A94" s="1" t="s">
        <v>116</v>
      </c>
      <c r="B94" s="2" t="s">
        <v>127</v>
      </c>
      <c r="C94" s="2" t="s">
        <v>126</v>
      </c>
      <c r="D94" s="6" t="s">
        <v>163</v>
      </c>
      <c r="E94" s="21">
        <v>1.5</v>
      </c>
      <c r="F94" s="25">
        <v>1144.3</v>
      </c>
      <c r="G94" s="25">
        <v>27.5</v>
      </c>
      <c r="H94" s="25">
        <v>1121.8031448143424</v>
      </c>
      <c r="I94" s="25">
        <v>1054.7051361133035</v>
      </c>
      <c r="J94" s="25"/>
      <c r="K94" s="25">
        <v>1056.6870293982229</v>
      </c>
      <c r="L94" s="25">
        <v>1044.4608253534091</v>
      </c>
      <c r="M94" s="36">
        <f t="shared" si="2"/>
        <v>12.226204044813812</v>
      </c>
      <c r="N94" s="25">
        <v>1099.4636718727361</v>
      </c>
      <c r="O94" s="20">
        <v>1102.155640582831</v>
      </c>
      <c r="P94" s="20">
        <v>1112.1516626887735</v>
      </c>
      <c r="R94" s="37">
        <v>0.94529793037856324</v>
      </c>
      <c r="S94" s="37">
        <v>1.5409911808727919</v>
      </c>
      <c r="T94" s="37">
        <v>0.44135131590179927</v>
      </c>
      <c r="U94" s="37">
        <v>1.8469558395010164</v>
      </c>
      <c r="V94" s="37">
        <v>0.81391419095809137</v>
      </c>
    </row>
    <row r="95" spans="1:22" x14ac:dyDescent="0.2">
      <c r="A95" s="1" t="s">
        <v>117</v>
      </c>
      <c r="B95" s="2" t="s">
        <v>127</v>
      </c>
      <c r="C95" s="2" t="s">
        <v>126</v>
      </c>
      <c r="D95" s="6" t="s">
        <v>163</v>
      </c>
      <c r="E95" s="21">
        <v>1.5</v>
      </c>
      <c r="F95" s="25"/>
      <c r="G95" s="25"/>
      <c r="H95" s="25"/>
      <c r="I95" s="25">
        <v>1064.3461491578614</v>
      </c>
      <c r="J95" s="25"/>
      <c r="K95" s="25">
        <v>1050.285235259202</v>
      </c>
      <c r="L95" s="25">
        <v>1041.3092994688436</v>
      </c>
      <c r="M95" s="36">
        <f t="shared" si="2"/>
        <v>8.975935790358335</v>
      </c>
      <c r="N95" s="25">
        <v>1028.3712865428115</v>
      </c>
      <c r="V95" s="37">
        <v>1.0551370388709485</v>
      </c>
    </row>
    <row r="96" spans="1:22" x14ac:dyDescent="0.2">
      <c r="A96" s="1" t="s">
        <v>118</v>
      </c>
      <c r="B96" s="2" t="s">
        <v>127</v>
      </c>
      <c r="C96" s="2" t="s">
        <v>126</v>
      </c>
      <c r="D96" s="6" t="s">
        <v>163</v>
      </c>
      <c r="E96" s="21">
        <v>1.5</v>
      </c>
      <c r="F96" s="25">
        <v>1134.0999999999999</v>
      </c>
      <c r="G96" s="25">
        <v>35.1</v>
      </c>
      <c r="H96" s="25">
        <v>1130.1459449641316</v>
      </c>
      <c r="I96" s="25">
        <v>1082.6337559219046</v>
      </c>
      <c r="J96" s="25"/>
      <c r="K96" s="25">
        <v>1067.9631819882673</v>
      </c>
      <c r="L96" s="25">
        <v>1052.3779390088439</v>
      </c>
      <c r="M96" s="36">
        <f t="shared" si="2"/>
        <v>15.585242979423356</v>
      </c>
      <c r="N96" s="25">
        <v>1078.2142246004842</v>
      </c>
      <c r="O96" s="20">
        <v>1093.7350109637396</v>
      </c>
      <c r="P96" s="20">
        <v>1137.6336127487239</v>
      </c>
      <c r="R96" s="37">
        <v>0.87016675443531355</v>
      </c>
      <c r="S96" s="37">
        <v>1.5191183191661277</v>
      </c>
      <c r="T96" s="37">
        <v>0.74583165954593622</v>
      </c>
      <c r="U96" s="37">
        <v>1.7828598836976866</v>
      </c>
      <c r="V96" s="37">
        <v>1.0706895783884749</v>
      </c>
    </row>
    <row r="97" spans="1:22" x14ac:dyDescent="0.2">
      <c r="A97" s="1" t="s">
        <v>119</v>
      </c>
      <c r="B97" s="2" t="s">
        <v>127</v>
      </c>
      <c r="C97" s="2" t="s">
        <v>126</v>
      </c>
      <c r="D97" s="6" t="s">
        <v>163</v>
      </c>
      <c r="E97" s="21">
        <v>1.5</v>
      </c>
      <c r="F97" s="25">
        <v>1128.7</v>
      </c>
      <c r="G97" s="25">
        <v>27.3</v>
      </c>
      <c r="H97" s="25">
        <v>1115.2630254176929</v>
      </c>
      <c r="I97" s="25">
        <v>1047.0506896739435</v>
      </c>
      <c r="J97" s="25"/>
      <c r="K97" s="25">
        <v>1054.9608716415355</v>
      </c>
      <c r="L97" s="25">
        <v>1046.0696402232129</v>
      </c>
      <c r="M97" s="36">
        <f t="shared" si="2"/>
        <v>8.8912314183226044</v>
      </c>
      <c r="N97" s="25">
        <v>1037.1465739011664</v>
      </c>
      <c r="O97" s="20">
        <v>1071.097746258939</v>
      </c>
      <c r="P97" s="20">
        <v>1113.2212576157226</v>
      </c>
      <c r="R97" s="37">
        <v>0.80780291628955325</v>
      </c>
      <c r="S97" s="37">
        <v>1.5490856303211644</v>
      </c>
      <c r="T97" s="37">
        <v>0.42551999207689828</v>
      </c>
      <c r="U97" s="37">
        <v>1.7377164613775524</v>
      </c>
      <c r="V97" s="37">
        <v>0.67645399728821309</v>
      </c>
    </row>
    <row r="98" spans="1:22" x14ac:dyDescent="0.2">
      <c r="A98" s="1" t="s">
        <v>120</v>
      </c>
      <c r="B98" s="2" t="s">
        <v>127</v>
      </c>
      <c r="C98" s="2" t="s">
        <v>126</v>
      </c>
      <c r="D98" s="6" t="s">
        <v>163</v>
      </c>
      <c r="E98" s="21">
        <v>1.5</v>
      </c>
      <c r="F98" s="25">
        <v>1089.3</v>
      </c>
      <c r="G98" s="25">
        <v>7.6</v>
      </c>
      <c r="H98" s="25">
        <v>1114.4693526006554</v>
      </c>
      <c r="I98" s="25">
        <v>1057.0604270890094</v>
      </c>
      <c r="J98" s="25"/>
      <c r="K98" s="25">
        <v>1044.4440092355828</v>
      </c>
      <c r="L98" s="25">
        <v>1032.5526380845504</v>
      </c>
      <c r="M98" s="36">
        <f t="shared" si="2"/>
        <v>11.891371151032445</v>
      </c>
      <c r="N98" s="25">
        <v>1054.4162597813288</v>
      </c>
      <c r="O98" s="20">
        <v>1082.1383502265269</v>
      </c>
      <c r="P98" s="20">
        <v>1120.678166133865</v>
      </c>
      <c r="R98" s="37">
        <v>0.92296974457386116</v>
      </c>
      <c r="S98" s="37">
        <v>1.6597153440799755</v>
      </c>
      <c r="T98" s="37">
        <v>0.70898119052938802</v>
      </c>
      <c r="U98" s="37">
        <v>1.9922114785125984</v>
      </c>
      <c r="V98" s="37">
        <v>1.1052449317450861</v>
      </c>
    </row>
    <row r="99" spans="1:22" x14ac:dyDescent="0.2">
      <c r="A99" s="1" t="s">
        <v>121</v>
      </c>
      <c r="B99" s="2" t="s">
        <v>127</v>
      </c>
      <c r="C99" s="2" t="s">
        <v>126</v>
      </c>
      <c r="D99" s="6" t="s">
        <v>163</v>
      </c>
      <c r="E99" s="21">
        <v>1.5</v>
      </c>
      <c r="F99" s="25">
        <v>1180.5999999999999</v>
      </c>
      <c r="G99" s="25">
        <v>35.9</v>
      </c>
      <c r="H99" s="25">
        <v>1109.6574554745366</v>
      </c>
      <c r="I99" s="25">
        <v>1081.92518429048</v>
      </c>
      <c r="J99" s="25"/>
      <c r="K99" s="25">
        <v>1065.4181925925077</v>
      </c>
      <c r="L99" s="25">
        <v>1043.8140696886221</v>
      </c>
      <c r="M99" s="36">
        <f t="shared" si="2"/>
        <v>21.604122903885582</v>
      </c>
      <c r="N99" s="25">
        <v>1058.3089787608192</v>
      </c>
      <c r="O99" s="20">
        <v>1127.9360972077241</v>
      </c>
      <c r="P99" s="20">
        <v>1139.347596883209</v>
      </c>
      <c r="R99" s="37">
        <v>0.83763758862688031</v>
      </c>
      <c r="S99" s="37">
        <v>1.2231582675168036</v>
      </c>
      <c r="T99" s="37">
        <v>0.77104841574147898</v>
      </c>
      <c r="U99" s="37">
        <v>1.6216117827734962</v>
      </c>
      <c r="V99" s="37">
        <v>1.1995472570905337</v>
      </c>
    </row>
    <row r="100" spans="1:22" x14ac:dyDescent="0.2">
      <c r="A100" s="1" t="s">
        <v>122</v>
      </c>
      <c r="B100" s="2" t="s">
        <v>127</v>
      </c>
      <c r="C100" s="2" t="s">
        <v>126</v>
      </c>
      <c r="D100" s="6" t="s">
        <v>163</v>
      </c>
      <c r="E100" s="21">
        <v>1.5</v>
      </c>
      <c r="F100" s="25"/>
      <c r="G100" s="25"/>
      <c r="H100" s="25"/>
      <c r="I100" s="25"/>
      <c r="J100" s="25"/>
      <c r="K100" s="25"/>
      <c r="L100" s="25"/>
      <c r="M100" s="36"/>
      <c r="N100" s="25">
        <v>1131.2895200725206</v>
      </c>
    </row>
    <row r="101" spans="1:22" x14ac:dyDescent="0.2">
      <c r="A101" s="1" t="s">
        <v>123</v>
      </c>
      <c r="B101" s="2" t="s">
        <v>127</v>
      </c>
      <c r="C101" s="2" t="s">
        <v>126</v>
      </c>
      <c r="D101" s="6" t="s">
        <v>163</v>
      </c>
      <c r="E101" s="21">
        <v>1.5</v>
      </c>
      <c r="F101" s="25"/>
      <c r="G101" s="25"/>
      <c r="H101" s="25"/>
      <c r="I101" s="25">
        <v>1069.0108781365598</v>
      </c>
      <c r="J101" s="25"/>
      <c r="K101" s="25">
        <v>1085.479975824514</v>
      </c>
      <c r="L101" s="25">
        <v>1056.5458851070248</v>
      </c>
      <c r="M101" s="36">
        <f t="shared" si="2"/>
        <v>28.934090717489198</v>
      </c>
      <c r="N101" s="25">
        <v>1271.7007517789179</v>
      </c>
      <c r="V101" s="37">
        <v>0.69182918074888611</v>
      </c>
    </row>
    <row r="102" spans="1:22" x14ac:dyDescent="0.2">
      <c r="A102" s="1" t="s">
        <v>124</v>
      </c>
      <c r="B102" s="2" t="s">
        <v>127</v>
      </c>
      <c r="C102" s="2" t="s">
        <v>126</v>
      </c>
      <c r="D102" s="6" t="s">
        <v>163</v>
      </c>
      <c r="E102" s="21">
        <v>1.5</v>
      </c>
      <c r="F102" s="25">
        <v>1131.2</v>
      </c>
      <c r="G102" s="25">
        <v>48.5</v>
      </c>
      <c r="H102" s="25">
        <v>1123.446112901494</v>
      </c>
      <c r="I102" s="25"/>
      <c r="J102" s="25"/>
      <c r="K102" s="25"/>
      <c r="L102" s="25"/>
      <c r="M102" s="36"/>
      <c r="N102" s="25">
        <v>926.30989005199388</v>
      </c>
      <c r="O102" s="20">
        <v>1089.333731391544</v>
      </c>
      <c r="P102" s="20">
        <v>1111.4756840478092</v>
      </c>
      <c r="R102" s="37">
        <v>0.90785915724506094</v>
      </c>
    </row>
    <row r="103" spans="1:22" x14ac:dyDescent="0.2">
      <c r="A103" s="1" t="s">
        <v>125</v>
      </c>
      <c r="B103" s="2" t="s">
        <v>127</v>
      </c>
      <c r="C103" s="2" t="s">
        <v>126</v>
      </c>
      <c r="D103" s="6" t="s">
        <v>163</v>
      </c>
      <c r="E103" s="21">
        <v>1.5</v>
      </c>
      <c r="F103" s="25">
        <v>1193.3</v>
      </c>
      <c r="G103" s="25">
        <v>70.3</v>
      </c>
      <c r="H103" s="25">
        <v>1116.4674210232683</v>
      </c>
      <c r="I103" s="25">
        <v>1073.302855472291</v>
      </c>
      <c r="J103" s="25"/>
      <c r="K103" s="25">
        <v>1055.0611211305625</v>
      </c>
      <c r="L103" s="25">
        <v>1038.4228405795707</v>
      </c>
      <c r="M103" s="36">
        <f t="shared" si="2"/>
        <v>16.638280550991794</v>
      </c>
      <c r="N103" s="25">
        <v>1065.2489521195866</v>
      </c>
      <c r="O103" s="20">
        <v>1129.9673766149256</v>
      </c>
      <c r="P103" s="20">
        <v>1154.7774689763753</v>
      </c>
      <c r="R103" s="37">
        <v>0.77847135632553488</v>
      </c>
      <c r="S103" s="37">
        <v>1.5226674734297512</v>
      </c>
      <c r="T103" s="37">
        <v>0.81311526759005981</v>
      </c>
      <c r="U103" s="37">
        <v>1.8619254881118923</v>
      </c>
      <c r="V103" s="37">
        <v>1.2040260886930199</v>
      </c>
    </row>
    <row r="104" spans="1:22" x14ac:dyDescent="0.2">
      <c r="A104" s="1" t="s">
        <v>128</v>
      </c>
      <c r="B104" s="2" t="s">
        <v>63</v>
      </c>
      <c r="C104" s="2" t="s">
        <v>154</v>
      </c>
      <c r="D104" s="6" t="s">
        <v>162</v>
      </c>
      <c r="E104" s="21">
        <v>1.5</v>
      </c>
      <c r="F104" s="25">
        <v>953.3</v>
      </c>
      <c r="G104" s="25">
        <v>26.4</v>
      </c>
      <c r="H104" s="25">
        <v>1000.7093879906992</v>
      </c>
      <c r="I104" s="25">
        <v>950.81030647964656</v>
      </c>
      <c r="J104" s="25"/>
      <c r="K104" s="25">
        <v>932.52288767163304</v>
      </c>
      <c r="L104" s="25">
        <v>928.22190327347175</v>
      </c>
      <c r="M104" s="36">
        <f t="shared" si="2"/>
        <v>4.3009843981612903</v>
      </c>
      <c r="N104" s="25">
        <v>1152.2106389045057</v>
      </c>
      <c r="O104" s="25"/>
      <c r="P104" s="25"/>
      <c r="R104" s="37">
        <v>1.1913534513985986</v>
      </c>
      <c r="S104" s="37">
        <v>2.2893512335187958</v>
      </c>
      <c r="T104" s="37">
        <v>1.6658342621091031</v>
      </c>
      <c r="U104" s="37">
        <v>2.6287932375455441</v>
      </c>
      <c r="V104" s="37">
        <v>1.7161054414412793</v>
      </c>
    </row>
    <row r="105" spans="1:22" x14ac:dyDescent="0.2">
      <c r="A105" s="1" t="s">
        <v>129</v>
      </c>
      <c r="B105" s="2" t="s">
        <v>127</v>
      </c>
      <c r="C105" s="2" t="s">
        <v>154</v>
      </c>
      <c r="D105" s="6" t="s">
        <v>162</v>
      </c>
      <c r="E105" s="21">
        <v>1.5</v>
      </c>
      <c r="F105" s="25"/>
      <c r="G105" s="25"/>
      <c r="H105" s="25">
        <v>1015.4887699751933</v>
      </c>
      <c r="I105" s="25"/>
      <c r="J105" s="25"/>
      <c r="K105" s="25"/>
      <c r="L105" s="25"/>
      <c r="M105" s="36"/>
      <c r="N105" s="25">
        <v>1195.4794930239018</v>
      </c>
      <c r="O105" s="25"/>
      <c r="P105" s="25"/>
      <c r="R105" s="37">
        <v>1.1953665581348618</v>
      </c>
    </row>
    <row r="106" spans="1:22" x14ac:dyDescent="0.2">
      <c r="A106" s="1" t="s">
        <v>130</v>
      </c>
      <c r="B106" s="1" t="s">
        <v>62</v>
      </c>
      <c r="C106" s="2" t="s">
        <v>154</v>
      </c>
      <c r="D106" s="6" t="s">
        <v>162</v>
      </c>
      <c r="E106" s="21">
        <v>1.5</v>
      </c>
      <c r="F106" s="25">
        <v>987.44</v>
      </c>
      <c r="G106" s="25">
        <v>24.5</v>
      </c>
      <c r="H106" s="25">
        <v>969.7454333460945</v>
      </c>
      <c r="I106" s="25">
        <v>915.88534911292243</v>
      </c>
      <c r="J106" s="25"/>
      <c r="K106" s="25">
        <v>932.54092376504968</v>
      </c>
      <c r="L106" s="25">
        <v>932.76963170144586</v>
      </c>
      <c r="M106" s="36">
        <f t="shared" si="2"/>
        <v>-0.22870793639617659</v>
      </c>
      <c r="N106" s="25">
        <v>1103.4962422182252</v>
      </c>
      <c r="O106" s="25"/>
      <c r="P106" s="25"/>
      <c r="R106" s="37">
        <v>0.57991932179288785</v>
      </c>
      <c r="S106" s="37">
        <v>2.2114535062852188</v>
      </c>
      <c r="T106" s="37">
        <v>1.5250506520079574</v>
      </c>
      <c r="U106" s="37">
        <v>1.9975734237653291</v>
      </c>
      <c r="V106" s="37">
        <v>0.95823690443179754</v>
      </c>
    </row>
    <row r="107" spans="1:22" x14ac:dyDescent="0.2">
      <c r="A107" s="1" t="s">
        <v>131</v>
      </c>
      <c r="B107" s="2" t="s">
        <v>127</v>
      </c>
      <c r="C107" s="2" t="s">
        <v>154</v>
      </c>
      <c r="D107" s="6" t="s">
        <v>162</v>
      </c>
      <c r="E107" s="21">
        <v>1.5</v>
      </c>
      <c r="F107" s="25">
        <v>1045.07</v>
      </c>
      <c r="G107" s="25">
        <v>47</v>
      </c>
      <c r="H107" s="25">
        <v>997.84255823580963</v>
      </c>
      <c r="I107" s="25"/>
      <c r="J107" s="25"/>
      <c r="K107" s="25"/>
      <c r="L107" s="25"/>
      <c r="M107" s="25"/>
      <c r="N107" s="25">
        <v>1170.4499766846029</v>
      </c>
      <c r="O107" s="25"/>
      <c r="P107" s="25"/>
      <c r="R107" s="37">
        <v>1.3296327091513518</v>
      </c>
    </row>
    <row r="108" spans="1:22" x14ac:dyDescent="0.2">
      <c r="A108" s="1" t="s">
        <v>132</v>
      </c>
      <c r="B108" s="2" t="s">
        <v>63</v>
      </c>
      <c r="C108" s="2" t="s">
        <v>154</v>
      </c>
      <c r="D108" s="6" t="s">
        <v>162</v>
      </c>
      <c r="E108" s="21">
        <v>1.5</v>
      </c>
      <c r="F108" s="25">
        <v>955.34</v>
      </c>
      <c r="G108" s="25">
        <v>35</v>
      </c>
      <c r="H108" s="25">
        <v>1015.3956049588306</v>
      </c>
      <c r="I108" s="25">
        <v>925.57950152970909</v>
      </c>
      <c r="J108" s="25"/>
      <c r="K108" s="25">
        <v>928.81669905951776</v>
      </c>
      <c r="L108" s="25">
        <v>923.26429174042573</v>
      </c>
      <c r="M108" s="36">
        <f t="shared" si="2"/>
        <v>5.5524073190920262</v>
      </c>
      <c r="N108" s="25">
        <v>1292.6438317164198</v>
      </c>
      <c r="O108" s="25"/>
      <c r="P108" s="25"/>
      <c r="R108" s="37">
        <v>1.3597767495064399</v>
      </c>
      <c r="S108" s="37">
        <v>2.4766712832121951</v>
      </c>
      <c r="T108" s="37">
        <v>1.3541033668736708</v>
      </c>
      <c r="U108" s="37">
        <v>3.0064148700714255</v>
      </c>
      <c r="V108" s="37">
        <v>1.348158250629433</v>
      </c>
    </row>
    <row r="109" spans="1:22" x14ac:dyDescent="0.2">
      <c r="A109" s="1" t="s">
        <v>133</v>
      </c>
      <c r="B109" s="2" t="s">
        <v>127</v>
      </c>
      <c r="C109" s="2" t="s">
        <v>154</v>
      </c>
      <c r="D109" s="6" t="s">
        <v>162</v>
      </c>
      <c r="E109" s="21">
        <v>1.5</v>
      </c>
      <c r="F109" s="25">
        <v>987.49</v>
      </c>
      <c r="G109" s="25">
        <v>62</v>
      </c>
      <c r="H109" s="25">
        <v>980.13345068210072</v>
      </c>
      <c r="I109" s="25"/>
      <c r="J109" s="25"/>
      <c r="K109" s="25"/>
      <c r="L109" s="25"/>
      <c r="M109" s="25"/>
      <c r="N109" s="25">
        <v>1160.1553690477253</v>
      </c>
      <c r="O109" s="25"/>
      <c r="P109" s="25"/>
      <c r="R109" s="37">
        <v>1.119236973931574</v>
      </c>
    </row>
    <row r="110" spans="1:22" x14ac:dyDescent="0.2">
      <c r="A110" s="1" t="s">
        <v>134</v>
      </c>
      <c r="B110" s="1" t="s">
        <v>62</v>
      </c>
      <c r="C110" s="2" t="s">
        <v>154</v>
      </c>
      <c r="D110" s="6" t="s">
        <v>162</v>
      </c>
      <c r="E110" s="21">
        <v>1.5</v>
      </c>
      <c r="F110" s="25">
        <v>970.67</v>
      </c>
      <c r="G110" s="25">
        <v>26.7</v>
      </c>
      <c r="H110" s="25">
        <v>1007.173201497238</v>
      </c>
      <c r="I110" s="25">
        <v>962.44170729644782</v>
      </c>
      <c r="J110" s="25"/>
      <c r="K110" s="25">
        <v>928.79447419847293</v>
      </c>
      <c r="L110" s="25">
        <v>927.10874430821491</v>
      </c>
      <c r="M110" s="36">
        <f t="shared" si="2"/>
        <v>1.6857298902580169</v>
      </c>
      <c r="N110" s="25">
        <v>1121.937275216681</v>
      </c>
      <c r="O110" s="25"/>
      <c r="P110" s="25"/>
      <c r="R110" s="37">
        <v>1.1479128170669217</v>
      </c>
      <c r="S110" s="37">
        <v>2.4806446012102592</v>
      </c>
      <c r="T110" s="37">
        <v>1.917838063941834</v>
      </c>
      <c r="U110" s="37">
        <v>2.7973306613257729</v>
      </c>
      <c r="V110" s="37">
        <v>1.9909551644735526</v>
      </c>
    </row>
    <row r="111" spans="1:22" x14ac:dyDescent="0.2">
      <c r="A111" s="1" t="s">
        <v>135</v>
      </c>
      <c r="B111" s="2" t="s">
        <v>63</v>
      </c>
      <c r="C111" s="2" t="s">
        <v>154</v>
      </c>
      <c r="D111" s="6" t="s">
        <v>162</v>
      </c>
      <c r="E111" s="21">
        <v>1.5</v>
      </c>
      <c r="F111" s="25">
        <v>1013.92</v>
      </c>
      <c r="G111" s="25">
        <v>15.2</v>
      </c>
      <c r="H111" s="25">
        <v>1047.1963685333421</v>
      </c>
      <c r="I111" s="25">
        <v>972.00243197212819</v>
      </c>
      <c r="J111" s="25"/>
      <c r="K111" s="25">
        <v>946.71795806204523</v>
      </c>
      <c r="L111" s="25">
        <v>941.13497487327686</v>
      </c>
      <c r="M111" s="36">
        <f t="shared" si="2"/>
        <v>5.5829831887683667</v>
      </c>
      <c r="N111" s="25">
        <v>1207.4859085447406</v>
      </c>
      <c r="O111" s="25"/>
      <c r="P111" s="25"/>
      <c r="R111" s="37">
        <v>1.2743743122213871</v>
      </c>
      <c r="S111" s="37">
        <v>2.3828037790727445</v>
      </c>
      <c r="T111" s="37">
        <v>1.4709725467227481</v>
      </c>
      <c r="U111" s="37">
        <v>3.0872463495524056</v>
      </c>
      <c r="V111" s="37">
        <v>1.7829059597259806</v>
      </c>
    </row>
    <row r="112" spans="1:22" x14ac:dyDescent="0.2">
      <c r="A112" s="1" t="s">
        <v>136</v>
      </c>
      <c r="B112" s="2" t="s">
        <v>127</v>
      </c>
      <c r="C112" s="2" t="s">
        <v>154</v>
      </c>
      <c r="D112" s="6" t="s">
        <v>162</v>
      </c>
      <c r="E112" s="21">
        <v>1.5</v>
      </c>
      <c r="F112" s="25"/>
      <c r="G112" s="25"/>
      <c r="H112" s="25">
        <v>983.21071232458723</v>
      </c>
      <c r="I112" s="25"/>
      <c r="J112" s="25"/>
      <c r="K112" s="25"/>
      <c r="L112" s="25"/>
      <c r="M112" s="25"/>
      <c r="N112" s="25">
        <v>1082.423908370075</v>
      </c>
      <c r="O112" s="25"/>
      <c r="P112" s="25"/>
      <c r="R112" s="37">
        <v>0.97984510375048472</v>
      </c>
    </row>
    <row r="113" spans="1:22" x14ac:dyDescent="0.2">
      <c r="A113" s="1" t="s">
        <v>137</v>
      </c>
      <c r="B113" s="2" t="s">
        <v>127</v>
      </c>
      <c r="C113" s="2" t="s">
        <v>154</v>
      </c>
      <c r="D113" s="6" t="s">
        <v>162</v>
      </c>
      <c r="E113" s="21">
        <v>1.5</v>
      </c>
      <c r="F113" s="25"/>
      <c r="G113" s="25"/>
      <c r="H113" s="25">
        <v>1027.6105069872915</v>
      </c>
      <c r="I113" s="25"/>
      <c r="J113" s="25"/>
      <c r="K113" s="25"/>
      <c r="L113" s="25"/>
      <c r="M113" s="25"/>
      <c r="N113" s="25">
        <v>1100.6173110286863</v>
      </c>
      <c r="O113" s="25"/>
      <c r="P113" s="25"/>
      <c r="R113" s="37">
        <v>1.211711426569543</v>
      </c>
    </row>
    <row r="114" spans="1:22" x14ac:dyDescent="0.2">
      <c r="A114" s="1" t="s">
        <v>138</v>
      </c>
      <c r="B114" s="2" t="s">
        <v>63</v>
      </c>
      <c r="C114" s="2" t="s">
        <v>154</v>
      </c>
      <c r="D114" s="6" t="s">
        <v>162</v>
      </c>
      <c r="E114" s="21">
        <v>1.5</v>
      </c>
      <c r="F114" s="25">
        <v>1065.58</v>
      </c>
      <c r="G114" s="25">
        <v>42</v>
      </c>
      <c r="H114" s="25">
        <v>1001.1441848580829</v>
      </c>
      <c r="I114" s="25">
        <v>917.47394912206948</v>
      </c>
      <c r="J114" s="25"/>
      <c r="K114" s="25">
        <v>930.80750979563754</v>
      </c>
      <c r="L114" s="25">
        <v>925.01275727869597</v>
      </c>
      <c r="M114" s="36">
        <f t="shared" ref="M114" si="3">K114-L114</f>
        <v>5.7947525169415712</v>
      </c>
      <c r="N114" s="25">
        <v>1260.2098999932928</v>
      </c>
      <c r="O114" s="25"/>
      <c r="P114" s="25"/>
      <c r="R114" s="37">
        <v>1.3272311062557316</v>
      </c>
      <c r="S114" s="37">
        <v>2.3006055417171245</v>
      </c>
      <c r="T114" s="37">
        <v>1.2547168579481063</v>
      </c>
      <c r="U114" s="37">
        <v>2.716046590301886</v>
      </c>
      <c r="V114" s="37">
        <v>1.1433490960125743</v>
      </c>
    </row>
    <row r="115" spans="1:22" x14ac:dyDescent="0.2">
      <c r="A115" s="1" t="s">
        <v>139</v>
      </c>
      <c r="B115" s="2" t="s">
        <v>127</v>
      </c>
      <c r="C115" s="2" t="s">
        <v>154</v>
      </c>
      <c r="D115" s="6" t="s">
        <v>162</v>
      </c>
      <c r="E115" s="21">
        <v>1.5</v>
      </c>
      <c r="F115" s="25"/>
      <c r="G115" s="25"/>
      <c r="H115" s="25">
        <v>1074.6973319836411</v>
      </c>
      <c r="I115" s="25"/>
      <c r="J115" s="25"/>
      <c r="K115" s="25"/>
      <c r="L115" s="25"/>
      <c r="M115" s="25"/>
      <c r="N115" s="25">
        <v>1209.2757695633827</v>
      </c>
      <c r="O115" s="25"/>
      <c r="P115" s="25"/>
      <c r="R115" s="37">
        <v>1.2372871011019297</v>
      </c>
    </row>
    <row r="116" spans="1:22" x14ac:dyDescent="0.2">
      <c r="A116" s="1" t="s">
        <v>140</v>
      </c>
      <c r="B116" s="2" t="s">
        <v>127</v>
      </c>
      <c r="C116" s="2" t="s">
        <v>154</v>
      </c>
      <c r="D116" s="6" t="s">
        <v>162</v>
      </c>
      <c r="E116" s="21">
        <v>1.5</v>
      </c>
      <c r="F116" s="25"/>
      <c r="G116" s="25"/>
      <c r="H116" s="25">
        <v>973.07152491805266</v>
      </c>
      <c r="I116" s="25"/>
      <c r="J116" s="25"/>
      <c r="K116" s="25"/>
      <c r="L116" s="25"/>
      <c r="M116" s="25"/>
      <c r="N116" s="25">
        <v>1213.8259992258209</v>
      </c>
      <c r="O116" s="25"/>
      <c r="P116" s="25"/>
      <c r="R116" s="37">
        <v>1.0721262099225046</v>
      </c>
    </row>
    <row r="117" spans="1:22" x14ac:dyDescent="0.2">
      <c r="A117" s="1" t="s">
        <v>141</v>
      </c>
      <c r="B117" s="2" t="s">
        <v>63</v>
      </c>
      <c r="C117" s="2" t="s">
        <v>154</v>
      </c>
      <c r="D117" s="6" t="s">
        <v>162</v>
      </c>
      <c r="E117" s="21">
        <v>1.5</v>
      </c>
      <c r="F117" s="25">
        <v>1009.91</v>
      </c>
      <c r="G117" s="25">
        <v>6.4</v>
      </c>
      <c r="H117" s="25">
        <v>1040.7353144144408</v>
      </c>
      <c r="I117" s="25">
        <v>991.70687917824341</v>
      </c>
      <c r="J117" s="25"/>
      <c r="K117" s="25">
        <v>971.80003338433653</v>
      </c>
      <c r="L117" s="25">
        <v>966.18735322467933</v>
      </c>
      <c r="M117" s="36">
        <f t="shared" ref="M117" si="4">K117-L117</f>
        <v>5.6126801596572022</v>
      </c>
      <c r="N117" s="25">
        <v>1192.1473651097117</v>
      </c>
      <c r="O117" s="25"/>
      <c r="P117" s="25"/>
      <c r="R117" s="37">
        <v>1.2130458393792847</v>
      </c>
      <c r="S117" s="37">
        <v>1.7646070835339358</v>
      </c>
      <c r="T117" s="37">
        <v>1.190213742399723</v>
      </c>
      <c r="U117" s="37">
        <v>2.3739676591033829</v>
      </c>
      <c r="V117" s="37">
        <v>1.5326350834187574</v>
      </c>
    </row>
    <row r="118" spans="1:22" x14ac:dyDescent="0.2">
      <c r="A118" s="1" t="s">
        <v>142</v>
      </c>
      <c r="B118" s="2" t="s">
        <v>63</v>
      </c>
      <c r="C118" s="2" t="s">
        <v>154</v>
      </c>
      <c r="D118" s="6" t="s">
        <v>162</v>
      </c>
      <c r="E118" s="21">
        <v>1.5</v>
      </c>
      <c r="F118" s="25"/>
      <c r="G118" s="25"/>
      <c r="H118" s="25">
        <v>1055.7379687333328</v>
      </c>
      <c r="I118" s="25"/>
      <c r="J118" s="25"/>
      <c r="K118" s="25"/>
      <c r="L118" s="25"/>
      <c r="M118" s="25"/>
      <c r="N118" s="25">
        <v>1324.985055117133</v>
      </c>
      <c r="O118" s="25"/>
      <c r="P118" s="25"/>
      <c r="R118" s="37">
        <v>1.2987888273184143</v>
      </c>
    </row>
    <row r="119" spans="1:22" x14ac:dyDescent="0.2">
      <c r="A119" s="1" t="s">
        <v>143</v>
      </c>
      <c r="B119" s="2" t="s">
        <v>63</v>
      </c>
      <c r="C119" s="2" t="s">
        <v>154</v>
      </c>
      <c r="D119" s="6" t="s">
        <v>162</v>
      </c>
      <c r="E119" s="21">
        <v>1.5</v>
      </c>
      <c r="F119" s="25">
        <v>1106.99</v>
      </c>
      <c r="G119" s="25">
        <v>18</v>
      </c>
      <c r="H119" s="25">
        <v>1057.8849005675497</v>
      </c>
      <c r="I119" s="25">
        <v>972.11861412017049</v>
      </c>
      <c r="J119" s="25"/>
      <c r="K119" s="25">
        <v>975.17126426436403</v>
      </c>
      <c r="L119" s="25">
        <v>968.00541268248685</v>
      </c>
      <c r="M119" s="36">
        <f t="shared" ref="M119:M124" si="5">K119-L119</f>
        <v>7.1658515818771775</v>
      </c>
      <c r="N119" s="25">
        <v>1316.8036535501719</v>
      </c>
      <c r="O119" s="25"/>
      <c r="P119" s="25"/>
      <c r="R119" s="37">
        <v>1.3842114800773135</v>
      </c>
      <c r="S119" s="37">
        <v>1.8997026469197145</v>
      </c>
      <c r="T119" s="37">
        <v>0.85826825347000513</v>
      </c>
      <c r="U119" s="37">
        <v>2.6077593168615421</v>
      </c>
      <c r="V119" s="37">
        <v>1.1321117761263826</v>
      </c>
    </row>
    <row r="120" spans="1:22" x14ac:dyDescent="0.2">
      <c r="A120" s="1" t="s">
        <v>144</v>
      </c>
      <c r="B120" s="2" t="s">
        <v>63</v>
      </c>
      <c r="C120" s="2" t="s">
        <v>154</v>
      </c>
      <c r="D120" s="6" t="s">
        <v>162</v>
      </c>
      <c r="E120" s="21">
        <v>1.5</v>
      </c>
      <c r="F120" s="25">
        <v>1028.9100000000001</v>
      </c>
      <c r="G120" s="25">
        <v>24.2</v>
      </c>
      <c r="H120" s="25">
        <v>1059.3806203778386</v>
      </c>
      <c r="I120" s="25">
        <v>967.62646306799104</v>
      </c>
      <c r="J120" s="25"/>
      <c r="K120" s="25">
        <v>973.5502415951571</v>
      </c>
      <c r="L120" s="25">
        <v>966.39023692837941</v>
      </c>
      <c r="M120" s="36">
        <f t="shared" si="5"/>
        <v>7.1600046667776951</v>
      </c>
      <c r="N120" s="25">
        <v>1331.1768127329615</v>
      </c>
      <c r="O120" s="25"/>
      <c r="P120" s="25"/>
      <c r="R120" s="37">
        <v>1.3390606500509616</v>
      </c>
      <c r="S120" s="37">
        <v>1.9552199756367226</v>
      </c>
      <c r="T120" s="37">
        <v>0.84224025564380689</v>
      </c>
      <c r="U120" s="37">
        <v>2.669362566283525</v>
      </c>
      <c r="V120" s="37">
        <v>1.0867539552557877</v>
      </c>
    </row>
    <row r="121" spans="1:22" x14ac:dyDescent="0.2">
      <c r="A121" s="1" t="s">
        <v>145</v>
      </c>
      <c r="B121" s="2" t="s">
        <v>63</v>
      </c>
      <c r="C121" s="2" t="s">
        <v>154</v>
      </c>
      <c r="D121" s="6" t="s">
        <v>162</v>
      </c>
      <c r="E121" s="21">
        <v>1.5</v>
      </c>
      <c r="F121" s="25">
        <v>1005.93</v>
      </c>
      <c r="G121" s="25">
        <v>35.200000000000003</v>
      </c>
      <c r="H121" s="25">
        <v>1044.4391161316335</v>
      </c>
      <c r="I121" s="25">
        <v>999.16970745544529</v>
      </c>
      <c r="J121" s="25"/>
      <c r="K121" s="25">
        <v>974.11669405122279</v>
      </c>
      <c r="L121" s="25">
        <v>968.73497089657508</v>
      </c>
      <c r="M121" s="36">
        <f t="shared" si="5"/>
        <v>5.381723154647716</v>
      </c>
      <c r="N121" s="25">
        <v>1188.5868496317557</v>
      </c>
      <c r="O121" s="25"/>
      <c r="P121" s="25"/>
      <c r="R121" s="37">
        <v>1.15598533043066</v>
      </c>
      <c r="S121" s="37">
        <v>1.7356930705683045</v>
      </c>
      <c r="T121" s="37">
        <v>1.2078229299476493</v>
      </c>
      <c r="U121" s="37">
        <v>2.3716726801058514</v>
      </c>
      <c r="V121" s="37">
        <v>1.6015727459263516</v>
      </c>
    </row>
    <row r="122" spans="1:22" x14ac:dyDescent="0.2">
      <c r="A122" s="1" t="s">
        <v>146</v>
      </c>
      <c r="B122" s="2" t="s">
        <v>63</v>
      </c>
      <c r="C122" s="2" t="s">
        <v>154</v>
      </c>
      <c r="D122" s="6" t="s">
        <v>162</v>
      </c>
      <c r="E122" s="21">
        <v>1.5</v>
      </c>
      <c r="F122" s="25">
        <v>1012.17</v>
      </c>
      <c r="G122" s="25">
        <v>23.5</v>
      </c>
      <c r="H122" s="25">
        <v>1019.709925156432</v>
      </c>
      <c r="I122" s="25">
        <v>976.67227462810899</v>
      </c>
      <c r="J122" s="25"/>
      <c r="K122" s="25">
        <v>964.4200821180425</v>
      </c>
      <c r="L122" s="25">
        <v>958.40526339463599</v>
      </c>
      <c r="M122" s="36">
        <f t="shared" si="5"/>
        <v>6.0148187234065063</v>
      </c>
      <c r="N122" s="25">
        <v>1094.1877979907222</v>
      </c>
      <c r="O122" s="25"/>
      <c r="P122" s="25"/>
      <c r="R122" s="37">
        <v>1.1932402308434806</v>
      </c>
      <c r="S122" s="37">
        <v>1.7019195539136587</v>
      </c>
      <c r="T122" s="37">
        <v>1.1915983396376273</v>
      </c>
      <c r="U122" s="37">
        <v>2.2021203594711589</v>
      </c>
      <c r="V122" s="37">
        <v>1.442551173744417</v>
      </c>
    </row>
    <row r="123" spans="1:22" x14ac:dyDescent="0.2">
      <c r="A123" s="1" t="s">
        <v>147</v>
      </c>
      <c r="B123" s="2" t="s">
        <v>63</v>
      </c>
      <c r="C123" s="2" t="s">
        <v>154</v>
      </c>
      <c r="D123" s="6" t="s">
        <v>162</v>
      </c>
      <c r="E123" s="21">
        <v>1.5</v>
      </c>
      <c r="F123" s="25">
        <v>1012.52</v>
      </c>
      <c r="G123" s="25">
        <v>26.7</v>
      </c>
      <c r="H123" s="25">
        <v>1017.9231469849718</v>
      </c>
      <c r="I123" s="25">
        <v>933.37381914321156</v>
      </c>
      <c r="J123" s="25"/>
      <c r="K123" s="25">
        <v>941.223377497824</v>
      </c>
      <c r="L123" s="25">
        <v>937.85545446494075</v>
      </c>
      <c r="M123" s="36">
        <f t="shared" si="5"/>
        <v>3.3679230328832546</v>
      </c>
      <c r="N123" s="25">
        <v>1158.18843475723</v>
      </c>
      <c r="O123" s="25"/>
      <c r="P123" s="25"/>
      <c r="R123" s="37">
        <v>1.2074360379577631</v>
      </c>
      <c r="S123" s="37">
        <v>2.2555464309907269</v>
      </c>
      <c r="T123" s="37">
        <v>1.2153551207002495</v>
      </c>
      <c r="U123" s="37">
        <v>2.692205591954477</v>
      </c>
      <c r="V123" s="37">
        <v>1.1443090557530951</v>
      </c>
    </row>
    <row r="124" spans="1:22" x14ac:dyDescent="0.2">
      <c r="A124" s="1" t="s">
        <v>148</v>
      </c>
      <c r="B124" s="2" t="s">
        <v>63</v>
      </c>
      <c r="C124" s="2" t="s">
        <v>154</v>
      </c>
      <c r="D124" s="6" t="s">
        <v>162</v>
      </c>
      <c r="E124" s="21">
        <v>1.5</v>
      </c>
      <c r="F124" s="25">
        <v>1063.45</v>
      </c>
      <c r="G124" s="25">
        <v>20.5</v>
      </c>
      <c r="H124" s="25">
        <v>1080.880085806793</v>
      </c>
      <c r="I124" s="25">
        <v>1037.7412604818201</v>
      </c>
      <c r="J124" s="25"/>
      <c r="K124" s="25">
        <v>1007.0103963990146</v>
      </c>
      <c r="L124" s="25">
        <v>998.69664901182887</v>
      </c>
      <c r="M124" s="36">
        <f t="shared" si="5"/>
        <v>8.3137473871856855</v>
      </c>
      <c r="N124" s="25">
        <v>1224.6757678274003</v>
      </c>
      <c r="O124" s="25"/>
      <c r="P124" s="25"/>
      <c r="R124" s="37">
        <v>1.2591807821005974</v>
      </c>
      <c r="S124" s="37">
        <v>1.6967669069786435</v>
      </c>
      <c r="T124" s="37">
        <v>0.9634533867917987</v>
      </c>
      <c r="U124" s="37">
        <v>2.2508810989580317</v>
      </c>
      <c r="V124" s="37">
        <v>1.5577875601907991</v>
      </c>
    </row>
    <row r="125" spans="1:22" x14ac:dyDescent="0.2">
      <c r="A125" s="1" t="s">
        <v>149</v>
      </c>
      <c r="B125" s="2" t="s">
        <v>127</v>
      </c>
      <c r="C125" s="2" t="s">
        <v>154</v>
      </c>
      <c r="D125" s="6" t="s">
        <v>162</v>
      </c>
      <c r="E125" s="21">
        <v>1.5</v>
      </c>
      <c r="F125" s="25">
        <v>1037.7</v>
      </c>
      <c r="G125" s="25">
        <v>23</v>
      </c>
      <c r="H125" s="25">
        <v>1028.1041105862514</v>
      </c>
      <c r="I125" s="25"/>
      <c r="J125" s="25"/>
      <c r="K125" s="25"/>
      <c r="L125" s="25"/>
      <c r="M125" s="25"/>
      <c r="N125" s="25">
        <v>1299.7419956298659</v>
      </c>
      <c r="O125" s="25"/>
      <c r="P125" s="25"/>
      <c r="R125" s="37">
        <v>1.1962098236489127</v>
      </c>
    </row>
    <row r="126" spans="1:22" x14ac:dyDescent="0.2">
      <c r="A126" s="1" t="s">
        <v>150</v>
      </c>
      <c r="B126" s="2" t="s">
        <v>127</v>
      </c>
      <c r="C126" s="2" t="s">
        <v>154</v>
      </c>
      <c r="D126" s="6" t="s">
        <v>162</v>
      </c>
      <c r="E126" s="21">
        <v>1.5</v>
      </c>
      <c r="F126" s="25"/>
      <c r="G126" s="25"/>
      <c r="H126" s="25">
        <v>999.6889432749698</v>
      </c>
      <c r="I126" s="25"/>
      <c r="J126" s="25"/>
      <c r="K126" s="25"/>
      <c r="L126" s="25"/>
      <c r="M126" s="25"/>
      <c r="N126" s="25">
        <v>1240.5311635432599</v>
      </c>
      <c r="O126" s="25"/>
      <c r="P126" s="25"/>
      <c r="R126" s="37">
        <v>1.3076321384858784</v>
      </c>
    </row>
    <row r="127" spans="1:22" x14ac:dyDescent="0.2">
      <c r="A127" s="1" t="s">
        <v>151</v>
      </c>
      <c r="B127" s="2" t="s">
        <v>63</v>
      </c>
      <c r="C127" s="2" t="s">
        <v>154</v>
      </c>
      <c r="D127" s="6" t="s">
        <v>162</v>
      </c>
      <c r="E127" s="21">
        <v>1.5</v>
      </c>
      <c r="F127" s="25">
        <v>1058.8499999999999</v>
      </c>
      <c r="G127" s="25">
        <v>20.3</v>
      </c>
      <c r="H127" s="25">
        <v>1001.5766669807612</v>
      </c>
      <c r="I127" s="25">
        <v>932.38981691592528</v>
      </c>
      <c r="J127" s="25"/>
      <c r="K127" s="25">
        <v>941.44704956598184</v>
      </c>
      <c r="L127" s="25">
        <v>937.15828830398937</v>
      </c>
      <c r="M127" s="36">
        <f t="shared" ref="M127" si="6">K127-L127</f>
        <v>4.2887612619924766</v>
      </c>
      <c r="N127" s="25">
        <v>1150.1125334770159</v>
      </c>
      <c r="O127" s="25"/>
      <c r="P127" s="25"/>
      <c r="R127" s="37">
        <v>1.2388931134663048</v>
      </c>
      <c r="S127" s="37">
        <v>2.0806991383583555</v>
      </c>
      <c r="T127" s="37">
        <v>1.2280836566156648</v>
      </c>
      <c r="U127" s="37">
        <v>2.419003238523119</v>
      </c>
      <c r="V127" s="37">
        <v>1.1350670323397367</v>
      </c>
    </row>
    <row r="128" spans="1:22" x14ac:dyDescent="0.2">
      <c r="A128" s="1" t="s">
        <v>152</v>
      </c>
      <c r="B128" s="1" t="s">
        <v>63</v>
      </c>
      <c r="C128" s="1" t="s">
        <v>154</v>
      </c>
      <c r="D128" s="9" t="s">
        <v>162</v>
      </c>
      <c r="E128" s="24">
        <v>1.5</v>
      </c>
      <c r="F128" s="25"/>
      <c r="G128" s="25"/>
      <c r="H128" s="25">
        <v>1023.2115623388073</v>
      </c>
      <c r="I128" s="25"/>
      <c r="J128" s="25"/>
      <c r="K128" s="25"/>
      <c r="L128" s="25"/>
      <c r="M128" s="25"/>
      <c r="N128" s="25">
        <v>1184.1858203780898</v>
      </c>
      <c r="O128" s="25"/>
      <c r="P128" s="25"/>
      <c r="R128" s="37">
        <v>1.2022996286502896</v>
      </c>
    </row>
    <row r="129" spans="1:22" x14ac:dyDescent="0.2">
      <c r="A129" s="12" t="s">
        <v>153</v>
      </c>
      <c r="B129" s="12" t="s">
        <v>63</v>
      </c>
      <c r="C129" s="12" t="s">
        <v>154</v>
      </c>
      <c r="D129" s="31" t="s">
        <v>162</v>
      </c>
      <c r="E129" s="26">
        <v>1.5</v>
      </c>
      <c r="F129" s="23"/>
      <c r="G129" s="23"/>
      <c r="H129" s="23">
        <v>973.12201010923002</v>
      </c>
      <c r="I129" s="23"/>
      <c r="J129" s="23"/>
      <c r="K129" s="23"/>
      <c r="L129" s="23"/>
      <c r="M129" s="23"/>
      <c r="N129" s="23">
        <v>1265.2436380288359</v>
      </c>
      <c r="O129" s="23"/>
      <c r="P129" s="23"/>
      <c r="Q129" s="46"/>
      <c r="R129" s="47">
        <v>1.3006063265394263</v>
      </c>
      <c r="S129" s="47"/>
      <c r="T129" s="47"/>
      <c r="U129" s="47"/>
      <c r="V129" s="47"/>
    </row>
    <row r="130" spans="1:22" ht="14.25" x14ac:dyDescent="0.25">
      <c r="A130" s="32" t="s">
        <v>176</v>
      </c>
      <c r="B130" s="1"/>
      <c r="C130" s="1"/>
      <c r="D130" s="9"/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</row>
    <row r="131" spans="1:22" ht="14.25" x14ac:dyDescent="0.25">
      <c r="A131" s="32" t="s">
        <v>174</v>
      </c>
      <c r="B131" s="1"/>
      <c r="C131" s="1"/>
      <c r="D131" s="9"/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</row>
    <row r="132" spans="1:22" ht="14.25" x14ac:dyDescent="0.25">
      <c r="A132" s="32" t="s">
        <v>175</v>
      </c>
      <c r="B132" s="1"/>
      <c r="C132" s="1"/>
      <c r="D132" s="9"/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</row>
    <row r="133" spans="1:22" ht="14.25" x14ac:dyDescent="0.25">
      <c r="A133" s="32" t="s">
        <v>205</v>
      </c>
      <c r="B133" s="1"/>
      <c r="C133" s="1"/>
      <c r="D133" s="9"/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</row>
    <row r="134" spans="1:22" ht="16.5" x14ac:dyDescent="0.25">
      <c r="A134" s="32" t="s">
        <v>178</v>
      </c>
      <c r="B134" s="1"/>
      <c r="C134" s="1"/>
      <c r="D134" s="9"/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</row>
    <row r="135" spans="1:22" ht="14.25" x14ac:dyDescent="0.25">
      <c r="A135" s="32" t="s">
        <v>177</v>
      </c>
      <c r="B135" s="1"/>
      <c r="C135" s="1"/>
      <c r="D135" s="9"/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</row>
    <row r="136" spans="1:22" ht="14.25" x14ac:dyDescent="0.25">
      <c r="A136" s="32" t="s">
        <v>211</v>
      </c>
      <c r="B136" s="1"/>
      <c r="C136" s="1"/>
      <c r="D136" s="9"/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</row>
    <row r="137" spans="1:22" ht="14.25" x14ac:dyDescent="0.25">
      <c r="A137" s="32" t="s">
        <v>204</v>
      </c>
      <c r="B137" s="1"/>
      <c r="C137" s="1"/>
      <c r="D137" s="9"/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</row>
    <row r="138" spans="1:22" ht="14.25" x14ac:dyDescent="0.25">
      <c r="A138" s="32" t="s">
        <v>206</v>
      </c>
      <c r="B138" s="1"/>
      <c r="C138" s="1"/>
      <c r="D138" s="9"/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</row>
    <row r="140" spans="1:22" x14ac:dyDescent="0.2">
      <c r="A140" s="10" t="s">
        <v>47</v>
      </c>
      <c r="B140" s="13"/>
      <c r="C140" s="13"/>
      <c r="E140" s="19"/>
    </row>
    <row r="141" spans="1:22" x14ac:dyDescent="0.2">
      <c r="A141" s="3" t="s">
        <v>155</v>
      </c>
    </row>
    <row r="142" spans="1:22" x14ac:dyDescent="0.2">
      <c r="A142" s="33" t="s">
        <v>180</v>
      </c>
    </row>
    <row r="143" spans="1:22" x14ac:dyDescent="0.2">
      <c r="A143" s="3" t="s">
        <v>161</v>
      </c>
    </row>
    <row r="144" spans="1:22" x14ac:dyDescent="0.2">
      <c r="A144" s="3" t="s">
        <v>160</v>
      </c>
    </row>
    <row r="145" spans="1:159" x14ac:dyDescent="0.2">
      <c r="A145" s="33" t="s">
        <v>181</v>
      </c>
    </row>
    <row r="146" spans="1:159" x14ac:dyDescent="0.2">
      <c r="A146" s="3" t="s">
        <v>159</v>
      </c>
    </row>
    <row r="147" spans="1:159" x14ac:dyDescent="0.2">
      <c r="A147" s="33" t="s">
        <v>184</v>
      </c>
    </row>
    <row r="148" spans="1:159" x14ac:dyDescent="0.2">
      <c r="A148" s="3" t="s">
        <v>170</v>
      </c>
    </row>
    <row r="149" spans="1:159" s="50" customFormat="1" x14ac:dyDescent="0.2">
      <c r="A149" s="49" t="s">
        <v>207</v>
      </c>
      <c r="B149" s="49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P149" s="51"/>
      <c r="Q149" s="52"/>
      <c r="R149" s="51"/>
      <c r="S149" s="51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H149" s="35"/>
      <c r="AI149" s="35"/>
      <c r="AJ149" s="53"/>
      <c r="AK149" s="54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5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56"/>
      <c r="DA149" s="54"/>
      <c r="DB149" s="54"/>
      <c r="DC149" s="54"/>
      <c r="DD149" s="54"/>
      <c r="DE149" s="54"/>
      <c r="DF149" s="54"/>
      <c r="DG149" s="54"/>
      <c r="DH149" s="54"/>
      <c r="DI149" s="54"/>
      <c r="DJ149" s="54"/>
      <c r="DK149" s="54"/>
      <c r="DL149" s="56"/>
      <c r="DN149" s="55"/>
      <c r="DO149" s="55"/>
      <c r="DP149" s="55"/>
      <c r="DQ149" s="55"/>
      <c r="DR149" s="55"/>
      <c r="DS149" s="55"/>
      <c r="DT149" s="55"/>
      <c r="DU149" s="55"/>
      <c r="DV149" s="55"/>
      <c r="DW149" s="55"/>
      <c r="DX149" s="5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N149" s="54"/>
      <c r="EO149" s="54"/>
      <c r="EP149" s="54"/>
      <c r="EQ149" s="54"/>
      <c r="ER149" s="54"/>
      <c r="ES149" s="54"/>
      <c r="ET149" s="54"/>
      <c r="EU149" s="54"/>
      <c r="EV149" s="54"/>
      <c r="EW149" s="54"/>
      <c r="EX149" s="54"/>
      <c r="EZ149" s="57"/>
      <c r="FA149" s="55"/>
      <c r="FB149" s="55"/>
      <c r="FC149" s="55"/>
    </row>
    <row r="150" spans="1:159" x14ac:dyDescent="0.2">
      <c r="A150" s="33" t="s">
        <v>182</v>
      </c>
    </row>
    <row r="151" spans="1:159" x14ac:dyDescent="0.2">
      <c r="A151" s="33" t="s">
        <v>179</v>
      </c>
    </row>
    <row r="152" spans="1:159" s="34" customFormat="1" x14ac:dyDescent="0.2">
      <c r="A152" s="30" t="s">
        <v>189</v>
      </c>
      <c r="R152" s="40"/>
      <c r="S152" s="40"/>
      <c r="T152" s="40"/>
      <c r="U152" s="40"/>
      <c r="V152" s="40"/>
    </row>
    <row r="153" spans="1:159" x14ac:dyDescent="0.2">
      <c r="A153" s="3" t="s">
        <v>156</v>
      </c>
    </row>
    <row r="154" spans="1:159" x14ac:dyDescent="0.2">
      <c r="A154" s="3" t="s">
        <v>209</v>
      </c>
    </row>
    <row r="155" spans="1:159" x14ac:dyDescent="0.2">
      <c r="A155" s="33" t="s">
        <v>183</v>
      </c>
    </row>
    <row r="156" spans="1:159" s="50" customFormat="1" x14ac:dyDescent="0.2">
      <c r="A156" s="58" t="s">
        <v>208</v>
      </c>
      <c r="B156" s="58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P156" s="51"/>
      <c r="Q156" s="52"/>
      <c r="R156" s="51"/>
      <c r="S156" s="51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H156" s="35"/>
      <c r="AI156" s="35"/>
      <c r="AJ156" s="53"/>
      <c r="AK156" s="54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5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56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6"/>
      <c r="DN156" s="55"/>
      <c r="DO156" s="55"/>
      <c r="DP156" s="55"/>
      <c r="DQ156" s="55"/>
      <c r="DR156" s="55"/>
      <c r="DS156" s="55"/>
      <c r="DT156" s="55"/>
      <c r="DU156" s="55"/>
      <c r="DV156" s="55"/>
      <c r="DW156" s="55"/>
      <c r="DX156" s="5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N156" s="54"/>
      <c r="EO156" s="54"/>
      <c r="EP156" s="54"/>
      <c r="EQ156" s="54"/>
      <c r="ER156" s="54"/>
      <c r="ES156" s="54"/>
      <c r="ET156" s="54"/>
      <c r="EU156" s="54"/>
      <c r="EV156" s="54"/>
      <c r="EW156" s="54"/>
      <c r="EX156" s="54"/>
      <c r="EZ156" s="57"/>
      <c r="FA156" s="55"/>
      <c r="FB156" s="55"/>
      <c r="FC156" s="55"/>
    </row>
    <row r="157" spans="1:159" x14ac:dyDescent="0.2">
      <c r="A157" s="3" t="s">
        <v>157</v>
      </c>
    </row>
    <row r="158" spans="1:159" x14ac:dyDescent="0.2">
      <c r="A158" s="3" t="s">
        <v>158</v>
      </c>
    </row>
    <row r="159" spans="1:159" x14ac:dyDescent="0.2">
      <c r="A159" s="33"/>
    </row>
  </sheetData>
  <mergeCells count="1">
    <mergeCell ref="I5:K5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2023-06-26T10:39:14Z</dcterms:modified>
</cp:coreProperties>
</file>